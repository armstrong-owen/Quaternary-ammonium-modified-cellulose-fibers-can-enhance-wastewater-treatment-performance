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owen_armstrong_mail_mcgill_ca/Documents/GRAD SCHOOL/Projects/Armstrong et al_/Data Feb 2026/"/>
    </mc:Choice>
  </mc:AlternateContent>
  <xr:revisionPtr revIDLastSave="0" documentId="8_{C6DA1C42-A488-A24A-93E6-72C55162621A}" xr6:coauthVersionLast="47" xr6:coauthVersionMax="47" xr10:uidLastSave="{00000000-0000-0000-0000-000000000000}"/>
  <bookViews>
    <workbookView xWindow="0" yWindow="500" windowWidth="28800" windowHeight="16240" xr2:uid="{980CDB93-2DAD-1F4F-B6DF-9E59BE5E07BA}"/>
  </bookViews>
  <sheets>
    <sheet name="Fig S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F16" i="1"/>
  <c r="G16" i="1"/>
  <c r="H16" i="1"/>
  <c r="F15" i="1"/>
  <c r="G15" i="1"/>
  <c r="H15" i="1"/>
  <c r="C16" i="1"/>
  <c r="D16" i="1"/>
  <c r="E16" i="1"/>
  <c r="C15" i="1"/>
  <c r="D21" i="1" s="1"/>
  <c r="D15" i="1"/>
  <c r="E15" i="1"/>
  <c r="E23" i="1" l="1"/>
  <c r="E30" i="1"/>
  <c r="D30" i="1"/>
  <c r="E28" i="1"/>
  <c r="D23" i="1"/>
  <c r="E21" i="1"/>
  <c r="D28" i="1"/>
  <c r="C32" i="1"/>
  <c r="C31" i="1"/>
  <c r="C29" i="1"/>
  <c r="C25" i="1"/>
  <c r="C24" i="1"/>
  <c r="C22" i="1"/>
  <c r="I16" i="1" l="1"/>
  <c r="J16" i="1"/>
  <c r="K16" i="1"/>
  <c r="L16" i="1"/>
  <c r="M16" i="1"/>
  <c r="N16" i="1"/>
  <c r="O16" i="1"/>
  <c r="P16" i="1"/>
  <c r="Q16" i="1"/>
  <c r="I15" i="1"/>
  <c r="J15" i="1"/>
  <c r="K15" i="1"/>
  <c r="L15" i="1"/>
  <c r="M15" i="1"/>
  <c r="N15" i="1"/>
  <c r="O15" i="1"/>
  <c r="P15" i="1"/>
  <c r="Q15" i="1"/>
  <c r="D25" i="1" l="1"/>
  <c r="D24" i="1"/>
  <c r="D22" i="1"/>
  <c r="E22" i="1"/>
  <c r="E29" i="1"/>
  <c r="D29" i="1"/>
  <c r="E25" i="1"/>
  <c r="E32" i="1"/>
  <c r="D32" i="1"/>
  <c r="E24" i="1"/>
  <c r="E31" i="1"/>
  <c r="D31" i="1"/>
</calcChain>
</file>

<file path=xl/sharedStrings.xml><?xml version="1.0" encoding="utf-8"?>
<sst xmlns="http://schemas.openxmlformats.org/spreadsheetml/2006/main" count="37" uniqueCount="23">
  <si>
    <t>Jar 1</t>
  </si>
  <si>
    <t>Jar 2</t>
  </si>
  <si>
    <t>Jar 3</t>
  </si>
  <si>
    <t>condition 1</t>
  </si>
  <si>
    <t>condition 2</t>
  </si>
  <si>
    <t>condition 3</t>
  </si>
  <si>
    <t>initial</t>
  </si>
  <si>
    <t>30s settling</t>
  </si>
  <si>
    <t>180s settling</t>
  </si>
  <si>
    <t>condition 4</t>
  </si>
  <si>
    <t>data</t>
  </si>
  <si>
    <t>avg initial</t>
  </si>
  <si>
    <t>avg 30s</t>
  </si>
  <si>
    <t>avg 180s</t>
  </si>
  <si>
    <t>30 s settling</t>
  </si>
  <si>
    <t>180 s settling</t>
  </si>
  <si>
    <t>stdev</t>
  </si>
  <si>
    <t>target</t>
  </si>
  <si>
    <t>average</t>
  </si>
  <si>
    <t>condition 5</t>
  </si>
  <si>
    <t>alum concentration (mg/L)</t>
  </si>
  <si>
    <t>conventional</t>
  </si>
  <si>
    <t>alum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</si>
</sst>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0" fontId="0" fillId="0" borderId="0" xfId="0" applyAlignment="1">
      <alignment horizontal="center"/>
    </xf>
    <xf numFmtId="164" fontId="0" fillId="2" borderId="0" xfId="0" applyNumberFormat="1" applyFill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5B72"/>
      <color rgb="FF85C6D4"/>
      <color rgb="FFAEA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64529914529915"/>
          <c:y val="5.0925925925925923E-2"/>
          <c:w val="0.78763888888888889"/>
          <c:h val="0.74387357830271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 S6'!$B$20</c:f>
              <c:strCache>
                <c:ptCount val="1"/>
                <c:pt idx="0">
                  <c:v>30 s settling</c:v>
                </c:pt>
              </c:strCache>
            </c:strRef>
          </c:tx>
          <c:spPr>
            <a:ln w="9525" cap="flat">
              <a:solidFill>
                <a:srgbClr val="85C6D4"/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S6'!$E$20:$E$25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1.0016652800877794</c:v>
                  </c:pt>
                  <c:pt idx="2">
                    <c:v>1.3383239933256517</c:v>
                  </c:pt>
                  <c:pt idx="3">
                    <c:v>2.2241935700466842</c:v>
                  </c:pt>
                  <c:pt idx="4">
                    <c:v>2.7276533123900739</c:v>
                  </c:pt>
                  <c:pt idx="5">
                    <c:v>6.6756605998540532</c:v>
                  </c:pt>
                </c:numCache>
              </c:numRef>
            </c:plus>
            <c:minus>
              <c:numRef>
                <c:f>'Fig S6'!$E$20:$E$25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1.0016652800877794</c:v>
                  </c:pt>
                  <c:pt idx="2">
                    <c:v>1.3383239933256517</c:v>
                  </c:pt>
                  <c:pt idx="3">
                    <c:v>2.2241935700466842</c:v>
                  </c:pt>
                  <c:pt idx="4">
                    <c:v>2.7276533123900739</c:v>
                  </c:pt>
                  <c:pt idx="5">
                    <c:v>6.6756605998540532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S6'!$C$21:$C$25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48</c:v>
                </c:pt>
                <c:pt idx="3">
                  <c:v>50</c:v>
                </c:pt>
                <c:pt idx="4">
                  <c:v>60</c:v>
                </c:pt>
              </c:numCache>
            </c:numRef>
          </c:xVal>
          <c:yVal>
            <c:numRef>
              <c:f>'Fig S6'!$D$21:$D$25</c:f>
              <c:numCache>
                <c:formatCode>0.0</c:formatCode>
                <c:ptCount val="5"/>
                <c:pt idx="0">
                  <c:v>64.5</c:v>
                </c:pt>
                <c:pt idx="1">
                  <c:v>67.36666666666666</c:v>
                </c:pt>
                <c:pt idx="2">
                  <c:v>69.288888888888891</c:v>
                </c:pt>
                <c:pt idx="3">
                  <c:v>80.194444444444443</c:v>
                </c:pt>
                <c:pt idx="4" formatCode="General">
                  <c:v>43.199999999999996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E-2B41-8528-8F631939D2B0}"/>
            </c:ext>
          </c:extLst>
        </c:ser>
        <c:ser>
          <c:idx val="1"/>
          <c:order val="1"/>
          <c:tx>
            <c:strRef>
              <c:f>'Fig S6'!$B$27</c:f>
              <c:strCache>
                <c:ptCount val="1"/>
                <c:pt idx="0">
                  <c:v>180 s settling</c:v>
                </c:pt>
              </c:strCache>
            </c:strRef>
          </c:tx>
          <c:spPr>
            <a:ln w="9525" cap="flat">
              <a:solidFill>
                <a:srgbClr val="0F5B72">
                  <a:alpha val="99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solidFill>
                <a:srgbClr val="0F5B72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S6'!$E$28:$E$32</c:f>
                <c:numCache>
                  <c:formatCode>General</c:formatCode>
                  <c:ptCount val="5"/>
                  <c:pt idx="0">
                    <c:v>0.57735026918962573</c:v>
                  </c:pt>
                  <c:pt idx="1">
                    <c:v>10.360555540660517</c:v>
                  </c:pt>
                  <c:pt idx="2">
                    <c:v>0.28349668493717878</c:v>
                  </c:pt>
                  <c:pt idx="3">
                    <c:v>1.9294021334580984</c:v>
                  </c:pt>
                  <c:pt idx="4">
                    <c:v>0.16563010998406463</c:v>
                  </c:pt>
                </c:numCache>
              </c:numRef>
            </c:plus>
            <c:minus>
              <c:numRef>
                <c:f>'Fig S6'!$E$28:$E$32</c:f>
                <c:numCache>
                  <c:formatCode>General</c:formatCode>
                  <c:ptCount val="5"/>
                  <c:pt idx="0">
                    <c:v>0.57735026918962573</c:v>
                  </c:pt>
                  <c:pt idx="1">
                    <c:v>10.360555540660517</c:v>
                  </c:pt>
                  <c:pt idx="2">
                    <c:v>0.28349668493717878</c:v>
                  </c:pt>
                  <c:pt idx="3">
                    <c:v>1.9294021334580984</c:v>
                  </c:pt>
                  <c:pt idx="4">
                    <c:v>0.16563010998406463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S6'!$C$28:$C$32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48</c:v>
                </c:pt>
                <c:pt idx="3">
                  <c:v>50</c:v>
                </c:pt>
                <c:pt idx="4">
                  <c:v>60</c:v>
                </c:pt>
              </c:numCache>
            </c:numRef>
          </c:xVal>
          <c:yVal>
            <c:numRef>
              <c:f>'Fig S6'!$D$28:$D$32</c:f>
              <c:numCache>
                <c:formatCode>General</c:formatCode>
                <c:ptCount val="5"/>
                <c:pt idx="0" formatCode="0.0">
                  <c:v>65.066666666666663</c:v>
                </c:pt>
                <c:pt idx="1">
                  <c:v>46.366666666666667</c:v>
                </c:pt>
                <c:pt idx="2" formatCode="0.0">
                  <c:v>24.288888888888891</c:v>
                </c:pt>
                <c:pt idx="3">
                  <c:v>15.52222222222222</c:v>
                </c:pt>
                <c:pt idx="4">
                  <c:v>5.0733333333333333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2E-2B41-8528-8F631939D2B0}"/>
            </c:ext>
          </c:extLst>
        </c:ser>
        <c:ser>
          <c:idx val="4"/>
          <c:order val="2"/>
          <c:tx>
            <c:v>Target</c:v>
          </c:tx>
          <c:spPr>
            <a:ln w="304800" cap="sq">
              <a:solidFill>
                <a:srgbClr val="0070C0">
                  <a:alpha val="1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'Fig S6'!$C$34:$C$35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'Fig S6'!$D$34:$D$35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2E-2B41-8528-8F631939D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62"/>
          <c:min val="3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alum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5"/>
      </c:valAx>
      <c:valAx>
        <c:axId val="1229934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5989401709401713"/>
          <c:y val="6.1768518518518521E-2"/>
          <c:w val="0.35831390407604918"/>
          <c:h val="0.16467952091365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235288</xdr:colOff>
      <xdr:row>19</xdr:row>
      <xdr:rowOff>20881</xdr:rowOff>
    </xdr:from>
    <xdr:to>
      <xdr:col>9</xdr:col>
      <xdr:colOff>341313</xdr:colOff>
      <xdr:row>26</xdr:row>
      <xdr:rowOff>191551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FA21307-EF2C-E61C-1595-47EA3C41AC2B}"/>
            </a:ext>
          </a:extLst>
        </xdr:cNvPr>
        <xdr:cNvGrpSpPr/>
      </xdr:nvGrpSpPr>
      <xdr:grpSpPr>
        <a:xfrm>
          <a:off x="3803988" y="3881681"/>
          <a:ext cx="2341225" cy="1593070"/>
          <a:chOff x="6190984" y="3981467"/>
          <a:chExt cx="2331548" cy="1612422"/>
        </a:xfrm>
      </xdr:grpSpPr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A6699115-327D-8143-9F67-8B6962A106BD}"/>
              </a:ext>
            </a:extLst>
          </xdr:cNvPr>
          <xdr:cNvGraphicFramePr>
            <a:graphicFrameLocks/>
          </xdr:cNvGraphicFramePr>
        </xdr:nvGraphicFramePr>
        <xdr:xfrm>
          <a:off x="6190984" y="3981467"/>
          <a:ext cx="2331548" cy="16124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" name="TextBox 13">
            <a:extLst>
              <a:ext uri="{FF2B5EF4-FFF2-40B4-BE49-F238E27FC236}">
                <a16:creationId xmlns:a16="http://schemas.microsoft.com/office/drawing/2014/main" id="{DA6B9C94-D96B-4FF3-74D2-6E39B7FD3DF0}"/>
              </a:ext>
            </a:extLst>
          </xdr:cNvPr>
          <xdr:cNvSpPr txBox="1"/>
        </xdr:nvSpPr>
        <xdr:spPr>
          <a:xfrm>
            <a:off x="7629669" y="4071086"/>
            <a:ext cx="789094" cy="1533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US" sz="700" b="1">
                <a:latin typeface="Arial" panose="020B0604020202020204" pitchFamily="34" charset="0"/>
                <a:cs typeface="Arial" panose="020B0604020202020204" pitchFamily="34" charset="0"/>
              </a:rPr>
              <a:t>0.5 mg/L PAM</a:t>
            </a:r>
          </a:p>
          <a:p>
            <a:pPr algn="r"/>
            <a:endParaRPr lang="en-US" sz="7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100F-B998-1947-A092-2D15C21482BF}">
  <dimension ref="B2:Q66"/>
  <sheetViews>
    <sheetView tabSelected="1" zoomScaleNormal="180" workbookViewId="0">
      <selection activeCell="L22" sqref="L22"/>
    </sheetView>
  </sheetViews>
  <sheetFormatPr baseColWidth="10" defaultRowHeight="16" x14ac:dyDescent="0.2"/>
  <cols>
    <col min="2" max="2" width="14" customWidth="1"/>
    <col min="3" max="14" width="7.33203125" bestFit="1" customWidth="1"/>
    <col min="15" max="20" width="6.83203125" customWidth="1"/>
  </cols>
  <sheetData>
    <row r="2" spans="2:17" x14ac:dyDescent="0.2">
      <c r="B2" s="6" t="s">
        <v>21</v>
      </c>
      <c r="C2" s="16" t="s">
        <v>3</v>
      </c>
      <c r="D2" s="16"/>
      <c r="E2" s="16"/>
      <c r="F2" s="16" t="s">
        <v>4</v>
      </c>
      <c r="G2" s="16"/>
      <c r="H2" s="16"/>
      <c r="I2" s="16" t="s">
        <v>5</v>
      </c>
      <c r="J2" s="16"/>
      <c r="K2" s="16"/>
      <c r="L2" s="16" t="s">
        <v>9</v>
      </c>
      <c r="M2" s="16"/>
      <c r="N2" s="16"/>
      <c r="O2" s="16" t="s">
        <v>19</v>
      </c>
      <c r="P2" s="16"/>
      <c r="Q2" s="16"/>
    </row>
    <row r="3" spans="2:17" x14ac:dyDescent="0.2">
      <c r="B3" t="s">
        <v>20</v>
      </c>
      <c r="C3" s="9">
        <v>40</v>
      </c>
      <c r="D3" s="9">
        <v>40</v>
      </c>
      <c r="E3" s="9">
        <v>40</v>
      </c>
      <c r="F3" s="9">
        <v>48</v>
      </c>
      <c r="G3" s="9">
        <v>48</v>
      </c>
      <c r="H3" s="9">
        <v>48</v>
      </c>
      <c r="I3" s="9">
        <v>45</v>
      </c>
      <c r="J3" s="9">
        <v>45</v>
      </c>
      <c r="K3" s="9">
        <v>45</v>
      </c>
      <c r="L3" s="9">
        <v>50</v>
      </c>
      <c r="M3" s="9">
        <v>50</v>
      </c>
      <c r="N3" s="9">
        <v>50</v>
      </c>
      <c r="O3" s="9">
        <v>60</v>
      </c>
      <c r="P3" s="9">
        <v>60</v>
      </c>
      <c r="Q3" s="9">
        <v>60</v>
      </c>
    </row>
    <row r="4" spans="2:17" x14ac:dyDescent="0.2">
      <c r="B4" s="1"/>
      <c r="C4" s="1" t="s">
        <v>0</v>
      </c>
      <c r="D4" s="1" t="s">
        <v>1</v>
      </c>
      <c r="E4" s="1" t="s">
        <v>2</v>
      </c>
      <c r="F4" s="1" t="s">
        <v>0</v>
      </c>
      <c r="G4" s="1" t="s">
        <v>1</v>
      </c>
      <c r="H4" s="1" t="s">
        <v>2</v>
      </c>
      <c r="I4" s="1" t="s">
        <v>0</v>
      </c>
      <c r="J4" s="1" t="s">
        <v>1</v>
      </c>
      <c r="K4" s="1" t="s">
        <v>2</v>
      </c>
      <c r="L4" s="1" t="s">
        <v>0</v>
      </c>
      <c r="M4" s="1" t="s">
        <v>1</v>
      </c>
      <c r="N4" s="1" t="s">
        <v>2</v>
      </c>
      <c r="O4" s="1" t="s">
        <v>0</v>
      </c>
      <c r="P4" s="1" t="s">
        <v>1</v>
      </c>
      <c r="Q4" s="1" t="s">
        <v>2</v>
      </c>
    </row>
    <row r="5" spans="2:17" x14ac:dyDescent="0.2">
      <c r="B5" s="13" t="s">
        <v>6</v>
      </c>
      <c r="C5" s="10">
        <v>63.2</v>
      </c>
      <c r="D5" s="10">
        <v>62.8</v>
      </c>
      <c r="E5" s="10">
        <v>62.6</v>
      </c>
      <c r="F5" s="10">
        <v>62.6</v>
      </c>
      <c r="G5" s="10">
        <v>62.2</v>
      </c>
      <c r="H5" s="10">
        <v>61.1</v>
      </c>
      <c r="I5" s="10">
        <v>63</v>
      </c>
      <c r="J5" s="10">
        <v>61.3</v>
      </c>
      <c r="K5" s="10">
        <v>61</v>
      </c>
      <c r="L5" s="10">
        <v>62.2</v>
      </c>
      <c r="M5" s="10">
        <v>59.9</v>
      </c>
      <c r="N5" s="10">
        <v>60.2</v>
      </c>
      <c r="O5" s="10">
        <v>62.6</v>
      </c>
      <c r="P5" s="10">
        <v>61.3</v>
      </c>
      <c r="Q5" s="10">
        <v>62.3</v>
      </c>
    </row>
    <row r="6" spans="2:17" x14ac:dyDescent="0.2">
      <c r="B6" s="14"/>
      <c r="C6" s="10">
        <v>63.2</v>
      </c>
      <c r="D6" s="10">
        <v>62.3</v>
      </c>
      <c r="E6" s="10">
        <v>61.2</v>
      </c>
      <c r="F6" s="10">
        <v>62.6</v>
      </c>
      <c r="G6" s="10">
        <v>62.5</v>
      </c>
      <c r="H6" s="10">
        <v>61.9</v>
      </c>
      <c r="I6" s="10">
        <v>62.6</v>
      </c>
      <c r="J6" s="10">
        <v>61.6</v>
      </c>
      <c r="K6" s="10">
        <v>61.7</v>
      </c>
      <c r="L6" s="10">
        <v>62.5</v>
      </c>
      <c r="M6" s="10">
        <v>61.4</v>
      </c>
      <c r="N6" s="10">
        <v>61.2</v>
      </c>
      <c r="O6" s="10">
        <v>62.8</v>
      </c>
      <c r="P6" s="10">
        <v>63.5</v>
      </c>
      <c r="Q6" s="10">
        <v>62.9</v>
      </c>
    </row>
    <row r="7" spans="2:17" x14ac:dyDescent="0.2">
      <c r="B7" s="15"/>
      <c r="C7" s="11">
        <v>63.3</v>
      </c>
      <c r="D7" s="11">
        <v>62.1</v>
      </c>
      <c r="E7" s="11">
        <v>61.6</v>
      </c>
      <c r="F7" s="11">
        <v>63</v>
      </c>
      <c r="G7" s="11">
        <v>62.4</v>
      </c>
      <c r="H7" s="11">
        <v>61.7</v>
      </c>
      <c r="I7" s="11">
        <v>62.8</v>
      </c>
      <c r="J7" s="11">
        <v>61.8</v>
      </c>
      <c r="K7" s="11">
        <v>61.7</v>
      </c>
      <c r="L7" s="11">
        <v>62.4</v>
      </c>
      <c r="M7" s="11">
        <v>61.4</v>
      </c>
      <c r="N7" s="11">
        <v>60.9</v>
      </c>
      <c r="O7" s="11">
        <v>62.6</v>
      </c>
      <c r="P7" s="11">
        <v>63.8</v>
      </c>
      <c r="Q7" s="11">
        <v>62.3</v>
      </c>
    </row>
    <row r="8" spans="2:17" x14ac:dyDescent="0.2">
      <c r="B8" s="13" t="s">
        <v>7</v>
      </c>
      <c r="C8" s="10">
        <v>64.400000000000006</v>
      </c>
      <c r="D8" s="10">
        <v>63.3</v>
      </c>
      <c r="E8" s="10">
        <v>65</v>
      </c>
      <c r="F8" s="10">
        <v>67.099999999999994</v>
      </c>
      <c r="G8" s="10">
        <v>71.599999999999994</v>
      </c>
      <c r="H8" s="10">
        <v>72.3</v>
      </c>
      <c r="I8" s="10">
        <v>67.400000000000006</v>
      </c>
      <c r="J8" s="12">
        <v>68.7</v>
      </c>
      <c r="K8" s="12">
        <v>65.5</v>
      </c>
      <c r="L8" s="12">
        <v>77.099999999999994</v>
      </c>
      <c r="M8" s="12">
        <v>81.8</v>
      </c>
      <c r="N8" s="12">
        <v>82.3</v>
      </c>
      <c r="O8" s="12">
        <v>36.1</v>
      </c>
      <c r="P8" s="12">
        <v>43.9</v>
      </c>
      <c r="Q8" s="12">
        <v>50.3</v>
      </c>
    </row>
    <row r="9" spans="2:17" x14ac:dyDescent="0.2">
      <c r="B9" s="14"/>
      <c r="C9" s="10">
        <v>65.3</v>
      </c>
      <c r="D9" s="10">
        <v>63.5</v>
      </c>
      <c r="E9" s="10">
        <v>64.5</v>
      </c>
      <c r="F9" s="10">
        <v>65.2</v>
      </c>
      <c r="G9" s="10">
        <v>67.3</v>
      </c>
      <c r="H9" s="10">
        <v>71.2</v>
      </c>
      <c r="I9" s="10">
        <v>67.599999999999994</v>
      </c>
      <c r="J9" s="10">
        <v>68.5</v>
      </c>
      <c r="K9" s="10">
        <v>66.2</v>
      </c>
      <c r="L9" s="10">
        <v>78.25</v>
      </c>
      <c r="M9" s="10">
        <v>80.3</v>
      </c>
      <c r="N9" s="10">
        <v>82.6</v>
      </c>
      <c r="O9" s="10">
        <v>36.200000000000003</v>
      </c>
      <c r="P9" s="10">
        <v>44.1</v>
      </c>
      <c r="Q9" s="10">
        <v>48.7</v>
      </c>
    </row>
    <row r="10" spans="2:17" x14ac:dyDescent="0.2">
      <c r="B10" s="15"/>
      <c r="C10" s="11">
        <v>66.099999999999994</v>
      </c>
      <c r="D10" s="11">
        <v>63.3</v>
      </c>
      <c r="E10" s="11">
        <v>65.099999999999994</v>
      </c>
      <c r="F10" s="11">
        <v>68.400000000000006</v>
      </c>
      <c r="G10" s="11">
        <v>70.099999999999994</v>
      </c>
      <c r="H10" s="11">
        <v>70.400000000000006</v>
      </c>
      <c r="I10" s="11">
        <v>67.5</v>
      </c>
      <c r="J10" s="11">
        <v>68.7</v>
      </c>
      <c r="K10" s="11">
        <v>66.2</v>
      </c>
      <c r="L10" s="11">
        <v>76.2</v>
      </c>
      <c r="M10" s="11">
        <v>80.599999999999994</v>
      </c>
      <c r="N10" s="11">
        <v>82.6</v>
      </c>
      <c r="O10" s="11">
        <v>36.1</v>
      </c>
      <c r="P10" s="11">
        <v>44.2</v>
      </c>
      <c r="Q10" s="11">
        <v>49.2</v>
      </c>
    </row>
    <row r="11" spans="2:17" x14ac:dyDescent="0.2">
      <c r="B11" s="13" t="s">
        <v>8</v>
      </c>
      <c r="C11" s="10">
        <v>64.7</v>
      </c>
      <c r="D11" s="10">
        <v>65.5</v>
      </c>
      <c r="E11" s="10">
        <v>65.2</v>
      </c>
      <c r="F11" s="10">
        <v>24</v>
      </c>
      <c r="G11" s="10">
        <v>24.1</v>
      </c>
      <c r="H11" s="10">
        <v>25.6</v>
      </c>
      <c r="I11" s="10">
        <v>38.200000000000003</v>
      </c>
      <c r="J11" s="12">
        <v>57.8</v>
      </c>
      <c r="K11" s="12">
        <v>43</v>
      </c>
      <c r="L11" s="12">
        <v>17.8</v>
      </c>
      <c r="M11" s="12">
        <v>13.9</v>
      </c>
      <c r="N11" s="12">
        <v>15</v>
      </c>
      <c r="O11" s="12">
        <v>5.14</v>
      </c>
      <c r="P11" s="12">
        <v>5.3</v>
      </c>
      <c r="Q11" s="12">
        <v>5.12</v>
      </c>
    </row>
    <row r="12" spans="2:17" x14ac:dyDescent="0.2">
      <c r="B12" s="14"/>
      <c r="C12" s="10">
        <v>64.7</v>
      </c>
      <c r="D12" s="10">
        <v>65.599999999999994</v>
      </c>
      <c r="E12" s="10">
        <v>64.2</v>
      </c>
      <c r="F12" s="10">
        <v>23.7</v>
      </c>
      <c r="G12" s="10">
        <v>24.6</v>
      </c>
      <c r="H12" s="10">
        <v>23.8</v>
      </c>
      <c r="I12" s="10">
        <v>38.1</v>
      </c>
      <c r="J12" s="10">
        <v>58.1</v>
      </c>
      <c r="K12" s="10">
        <v>43.1</v>
      </c>
      <c r="L12" s="10">
        <v>17.399999999999999</v>
      </c>
      <c r="M12" s="10">
        <v>13.6</v>
      </c>
      <c r="N12" s="10">
        <v>15.4</v>
      </c>
      <c r="O12" s="10">
        <v>4.7699999999999996</v>
      </c>
      <c r="P12" s="10">
        <v>5.21</v>
      </c>
      <c r="Q12" s="10">
        <v>5.0599999999999996</v>
      </c>
    </row>
    <row r="13" spans="2:17" x14ac:dyDescent="0.2">
      <c r="B13" s="15"/>
      <c r="C13" s="10">
        <v>64.8</v>
      </c>
      <c r="D13" s="10">
        <v>66.099999999999994</v>
      </c>
      <c r="E13" s="10">
        <v>64.8</v>
      </c>
      <c r="F13" s="10">
        <v>24.2</v>
      </c>
      <c r="G13" s="10">
        <v>24.5</v>
      </c>
      <c r="H13" s="10">
        <v>24.1</v>
      </c>
      <c r="I13" s="10">
        <v>38.1</v>
      </c>
      <c r="J13" s="10">
        <v>58.1</v>
      </c>
      <c r="K13" s="10">
        <v>42.8</v>
      </c>
      <c r="L13" s="10">
        <v>17.5</v>
      </c>
      <c r="M13" s="10">
        <v>13.7</v>
      </c>
      <c r="N13" s="10">
        <v>15.4</v>
      </c>
      <c r="O13" s="10">
        <v>4.84</v>
      </c>
      <c r="P13" s="10">
        <v>5.23</v>
      </c>
      <c r="Q13" s="10">
        <v>4.99</v>
      </c>
    </row>
    <row r="14" spans="2:17" x14ac:dyDescent="0.2">
      <c r="B14" s="3" t="s">
        <v>11</v>
      </c>
      <c r="C14" s="8">
        <f t="shared" ref="C14:P14" si="0">AVERAGE(C5:C7)</f>
        <v>63.233333333333327</v>
      </c>
      <c r="D14" s="8">
        <f t="shared" si="0"/>
        <v>62.4</v>
      </c>
      <c r="E14" s="8">
        <f t="shared" si="0"/>
        <v>61.800000000000004</v>
      </c>
      <c r="F14" s="8">
        <f t="shared" si="0"/>
        <v>62.733333333333327</v>
      </c>
      <c r="G14" s="8">
        <f t="shared" si="0"/>
        <v>62.366666666666667</v>
      </c>
      <c r="H14" s="8">
        <f t="shared" si="0"/>
        <v>61.566666666666663</v>
      </c>
      <c r="I14" s="8">
        <f t="shared" si="0"/>
        <v>62.79999999999999</v>
      </c>
      <c r="J14" s="8">
        <f t="shared" si="0"/>
        <v>61.566666666666663</v>
      </c>
      <c r="K14" s="8">
        <f t="shared" si="0"/>
        <v>61.466666666666669</v>
      </c>
      <c r="L14" s="8">
        <f t="shared" si="0"/>
        <v>62.366666666666667</v>
      </c>
      <c r="M14" s="8">
        <f t="shared" si="0"/>
        <v>60.9</v>
      </c>
      <c r="N14" s="8">
        <f t="shared" si="0"/>
        <v>60.766666666666673</v>
      </c>
      <c r="O14" s="8">
        <f t="shared" si="0"/>
        <v>62.666666666666664</v>
      </c>
      <c r="P14" s="8">
        <f t="shared" si="0"/>
        <v>62.866666666666667</v>
      </c>
      <c r="Q14" s="8">
        <f>AVERAGE(Q5:Q7)</f>
        <v>62.5</v>
      </c>
    </row>
    <row r="15" spans="2:17" x14ac:dyDescent="0.2">
      <c r="B15" s="4" t="s">
        <v>12</v>
      </c>
      <c r="C15" s="2">
        <f t="shared" ref="C15:H15" si="1">AVERAGE(C8:C10)</f>
        <v>65.266666666666666</v>
      </c>
      <c r="D15" s="2">
        <f t="shared" si="1"/>
        <v>63.366666666666667</v>
      </c>
      <c r="E15" s="2">
        <f t="shared" si="1"/>
        <v>64.86666666666666</v>
      </c>
      <c r="F15" s="2">
        <f t="shared" si="1"/>
        <v>66.900000000000006</v>
      </c>
      <c r="G15" s="2">
        <f t="shared" si="1"/>
        <v>69.666666666666657</v>
      </c>
      <c r="H15" s="2">
        <f t="shared" si="1"/>
        <v>71.3</v>
      </c>
      <c r="I15" s="2">
        <f t="shared" ref="I15:Q15" si="2">AVERAGE(I8:I10)</f>
        <v>67.5</v>
      </c>
      <c r="J15" s="2">
        <f t="shared" si="2"/>
        <v>68.633333333333326</v>
      </c>
      <c r="K15" s="2">
        <f t="shared" si="2"/>
        <v>65.966666666666654</v>
      </c>
      <c r="L15" s="2">
        <f t="shared" si="2"/>
        <v>77.183333333333337</v>
      </c>
      <c r="M15" s="2">
        <f t="shared" si="2"/>
        <v>80.899999999999991</v>
      </c>
      <c r="N15" s="2">
        <f t="shared" si="2"/>
        <v>82.499999999999986</v>
      </c>
      <c r="O15" s="2">
        <f t="shared" si="2"/>
        <v>36.133333333333333</v>
      </c>
      <c r="P15" s="2">
        <f t="shared" si="2"/>
        <v>44.066666666666663</v>
      </c>
      <c r="Q15" s="2">
        <f t="shared" si="2"/>
        <v>49.4</v>
      </c>
    </row>
    <row r="16" spans="2:17" x14ac:dyDescent="0.2">
      <c r="B16" s="5" t="s">
        <v>13</v>
      </c>
      <c r="C16" s="7">
        <f t="shared" ref="C16:H16" si="3">AVERAGE(C11:C13)</f>
        <v>64.733333333333334</v>
      </c>
      <c r="D16" s="7">
        <f t="shared" si="3"/>
        <v>65.733333333333334</v>
      </c>
      <c r="E16" s="7">
        <f t="shared" si="3"/>
        <v>64.733333333333334</v>
      </c>
      <c r="F16" s="7">
        <f t="shared" si="3"/>
        <v>23.966666666666669</v>
      </c>
      <c r="G16" s="7">
        <f t="shared" si="3"/>
        <v>24.400000000000002</v>
      </c>
      <c r="H16" s="7">
        <f t="shared" si="3"/>
        <v>24.5</v>
      </c>
      <c r="I16" s="7">
        <f t="shared" ref="I16:Q16" si="4">AVERAGE(I11:I13)</f>
        <v>38.133333333333333</v>
      </c>
      <c r="J16" s="7">
        <f t="shared" si="4"/>
        <v>58</v>
      </c>
      <c r="K16" s="7">
        <f t="shared" si="4"/>
        <v>42.966666666666661</v>
      </c>
      <c r="L16" s="7">
        <f t="shared" si="4"/>
        <v>17.566666666666666</v>
      </c>
      <c r="M16" s="7">
        <f t="shared" si="4"/>
        <v>13.733333333333334</v>
      </c>
      <c r="N16" s="7">
        <f t="shared" si="4"/>
        <v>15.266666666666666</v>
      </c>
      <c r="O16" s="7">
        <f t="shared" si="4"/>
        <v>4.916666666666667</v>
      </c>
      <c r="P16" s="7">
        <f t="shared" si="4"/>
        <v>5.246666666666667</v>
      </c>
      <c r="Q16" s="7">
        <f t="shared" si="4"/>
        <v>5.0566666666666666</v>
      </c>
    </row>
    <row r="19" spans="2:6" x14ac:dyDescent="0.2">
      <c r="B19" t="s">
        <v>10</v>
      </c>
    </row>
    <row r="20" spans="2:6" x14ac:dyDescent="0.2">
      <c r="B20" t="s">
        <v>14</v>
      </c>
      <c r="C20" t="s">
        <v>22</v>
      </c>
      <c r="D20" t="s">
        <v>18</v>
      </c>
      <c r="E20" t="s">
        <v>16</v>
      </c>
    </row>
    <row r="21" spans="2:6" x14ac:dyDescent="0.2">
      <c r="C21">
        <v>40</v>
      </c>
      <c r="D21" s="2">
        <f>AVERAGE(C15:E15)</f>
        <v>64.5</v>
      </c>
      <c r="E21">
        <f>STDEV(C15:E15)</f>
        <v>1.0016652800877794</v>
      </c>
    </row>
    <row r="22" spans="2:6" x14ac:dyDescent="0.2">
      <c r="C22">
        <f>I3</f>
        <v>45</v>
      </c>
      <c r="D22" s="2">
        <f>AVERAGE(I15:K15)</f>
        <v>67.36666666666666</v>
      </c>
      <c r="E22">
        <f>STDEV(I15:K15)</f>
        <v>1.3383239933256517</v>
      </c>
    </row>
    <row r="23" spans="2:6" x14ac:dyDescent="0.2">
      <c r="C23">
        <v>48</v>
      </c>
      <c r="D23" s="2">
        <f>AVERAGE(F15:H15)</f>
        <v>69.288888888888891</v>
      </c>
      <c r="E23">
        <f>STDEV(F15:H15)</f>
        <v>2.2241935700466842</v>
      </c>
    </row>
    <row r="24" spans="2:6" x14ac:dyDescent="0.2">
      <c r="C24">
        <f>L3</f>
        <v>50</v>
      </c>
      <c r="D24" s="2">
        <f>AVERAGE(L15:N15)</f>
        <v>80.194444444444443</v>
      </c>
      <c r="E24">
        <f>STDEV(L15:N15)</f>
        <v>2.7276533123900739</v>
      </c>
    </row>
    <row r="25" spans="2:6" x14ac:dyDescent="0.2">
      <c r="C25">
        <f>O3</f>
        <v>60</v>
      </c>
      <c r="D25">
        <f>AVERAGE(O15:Q15)</f>
        <v>43.199999999999996</v>
      </c>
      <c r="E25">
        <f>STDEV(O15:Q15)</f>
        <v>6.6756605998540532</v>
      </c>
    </row>
    <row r="26" spans="2:6" x14ac:dyDescent="0.2">
      <c r="F26" s="2"/>
    </row>
    <row r="27" spans="2:6" x14ac:dyDescent="0.2">
      <c r="B27" t="s">
        <v>15</v>
      </c>
      <c r="D27" t="s">
        <v>18</v>
      </c>
      <c r="E27" t="s">
        <v>16</v>
      </c>
      <c r="F27" s="2"/>
    </row>
    <row r="28" spans="2:6" x14ac:dyDescent="0.2">
      <c r="C28">
        <v>40</v>
      </c>
      <c r="D28" s="2">
        <f>AVERAGE(C16:E16)</f>
        <v>65.066666666666663</v>
      </c>
      <c r="E28">
        <f>STDEV(C16:E16)</f>
        <v>0.57735026918962573</v>
      </c>
      <c r="F28" s="2"/>
    </row>
    <row r="29" spans="2:6" x14ac:dyDescent="0.2">
      <c r="C29">
        <f>I3</f>
        <v>45</v>
      </c>
      <c r="D29">
        <f>AVERAGE(I16:K16)</f>
        <v>46.366666666666667</v>
      </c>
      <c r="E29">
        <f>STDEV(I16:K16)</f>
        <v>10.360555540660517</v>
      </c>
    </row>
    <row r="30" spans="2:6" x14ac:dyDescent="0.2">
      <c r="C30">
        <v>48</v>
      </c>
      <c r="D30" s="2">
        <f>AVERAGE(F16:H16)</f>
        <v>24.288888888888891</v>
      </c>
      <c r="E30">
        <f>STDEV(F16:H16)</f>
        <v>0.28349668493717878</v>
      </c>
    </row>
    <row r="31" spans="2:6" x14ac:dyDescent="0.2">
      <c r="C31">
        <f>L3</f>
        <v>50</v>
      </c>
      <c r="D31">
        <f>AVERAGE(L16:N16)</f>
        <v>15.52222222222222</v>
      </c>
      <c r="E31">
        <f>STDEV(L16:N16)</f>
        <v>1.9294021334580984</v>
      </c>
    </row>
    <row r="32" spans="2:6" x14ac:dyDescent="0.2">
      <c r="C32">
        <f>O3</f>
        <v>60</v>
      </c>
      <c r="D32">
        <f>AVERAGE(O16:Q16)</f>
        <v>5.0733333333333333</v>
      </c>
      <c r="E32">
        <f>STDEV(O16:Q16)</f>
        <v>0.16563010998406463</v>
      </c>
    </row>
    <row r="34" spans="2:4" x14ac:dyDescent="0.2">
      <c r="B34" t="s">
        <v>17</v>
      </c>
      <c r="C34">
        <v>0</v>
      </c>
      <c r="D34">
        <v>12.5</v>
      </c>
    </row>
    <row r="35" spans="2:4" x14ac:dyDescent="0.2">
      <c r="C35">
        <v>63</v>
      </c>
      <c r="D35">
        <v>12.5</v>
      </c>
    </row>
    <row r="64" spans="6:13" x14ac:dyDescent="0.2">
      <c r="F64" s="2"/>
      <c r="G64" s="2"/>
      <c r="I64" s="2"/>
      <c r="J64" s="2"/>
      <c r="L64" s="2"/>
      <c r="M64" s="2"/>
    </row>
    <row r="65" spans="6:13" x14ac:dyDescent="0.2">
      <c r="F65" s="2"/>
      <c r="G65" s="2"/>
      <c r="I65" s="2"/>
      <c r="J65" s="2"/>
      <c r="L65" s="2"/>
      <c r="M65" s="2"/>
    </row>
    <row r="66" spans="6:13" x14ac:dyDescent="0.2">
      <c r="F66" s="2"/>
      <c r="G66" s="2"/>
      <c r="I66" s="2"/>
      <c r="J66" s="2"/>
      <c r="L66" s="2"/>
      <c r="M66" s="2"/>
    </row>
  </sheetData>
  <mergeCells count="8">
    <mergeCell ref="B11:B13"/>
    <mergeCell ref="O2:Q2"/>
    <mergeCell ref="C2:E2"/>
    <mergeCell ref="L2:N2"/>
    <mergeCell ref="B5:B7"/>
    <mergeCell ref="B8:B10"/>
    <mergeCell ref="F2:H2"/>
    <mergeCell ref="I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2024-10-09T20:29:59Z</dcterms:created>
  <dcterms:modified xsi:type="dcterms:W3CDTF">2026-02-04T22:11:26Z</dcterms:modified>
</cp:coreProperties>
</file>