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wen/Library/CloudStorage/OneDrive-McGillUniversity/GRAD SCHOOL/Projects/Armstrong et al_/Armstrong Data Feb 2026/"/>
    </mc:Choice>
  </mc:AlternateContent>
  <xr:revisionPtr revIDLastSave="0" documentId="13_ncr:1_{ED21D2E5-F4C9-BD43-B54C-1B2769F24A93}" xr6:coauthVersionLast="47" xr6:coauthVersionMax="47" xr10:uidLastSave="{00000000-0000-0000-0000-000000000000}"/>
  <bookViews>
    <workbookView xWindow="0" yWindow="520" windowWidth="38400" windowHeight="19840" xr2:uid="{980CDB93-2DAD-1F4F-B6DF-9E59BE5E07BA}"/>
  </bookViews>
  <sheets>
    <sheet name="Fig 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9" i="1" l="1"/>
  <c r="C38" i="1"/>
  <c r="D38" i="1"/>
  <c r="C37" i="1"/>
  <c r="D37" i="1"/>
  <c r="D39" i="1"/>
  <c r="I32" i="1"/>
  <c r="J32" i="1"/>
  <c r="K32" i="1"/>
  <c r="I31" i="1"/>
  <c r="E39" i="1" s="1"/>
  <c r="J31" i="1"/>
  <c r="K31" i="1"/>
  <c r="K30" i="1"/>
  <c r="I30" i="1"/>
  <c r="J30" i="1"/>
  <c r="I16" i="1"/>
  <c r="J16" i="1"/>
  <c r="K16" i="1"/>
  <c r="I15" i="1"/>
  <c r="J15" i="1"/>
  <c r="K15" i="1"/>
  <c r="I14" i="1"/>
  <c r="J14" i="1"/>
  <c r="K14" i="1"/>
  <c r="F32" i="1"/>
  <c r="G32" i="1"/>
  <c r="H32" i="1"/>
  <c r="F31" i="1"/>
  <c r="G31" i="1"/>
  <c r="H31" i="1"/>
  <c r="F30" i="1"/>
  <c r="G30" i="1"/>
  <c r="H30" i="1"/>
  <c r="F16" i="1"/>
  <c r="G42" i="1" s="1"/>
  <c r="G16" i="1"/>
  <c r="H16" i="1"/>
  <c r="F15" i="1"/>
  <c r="G15" i="1"/>
  <c r="H15" i="1"/>
  <c r="F14" i="1"/>
  <c r="G14" i="1"/>
  <c r="H14" i="1"/>
  <c r="C30" i="1"/>
  <c r="D30" i="1"/>
  <c r="E30" i="1"/>
  <c r="C14" i="1"/>
  <c r="D14" i="1"/>
  <c r="E14" i="1"/>
  <c r="C16" i="1"/>
  <c r="D16" i="1"/>
  <c r="E16" i="1"/>
  <c r="C15" i="1"/>
  <c r="D15" i="1"/>
  <c r="E15" i="1"/>
  <c r="D46" i="1" l="1"/>
  <c r="H42" i="1"/>
  <c r="G38" i="1"/>
  <c r="E43" i="1"/>
  <c r="H46" i="1"/>
  <c r="H38" i="1"/>
  <c r="G39" i="1"/>
  <c r="H43" i="1"/>
  <c r="D42" i="1"/>
  <c r="G46" i="1"/>
  <c r="H39" i="1"/>
  <c r="E46" i="1"/>
  <c r="E42" i="1"/>
  <c r="E38" i="1"/>
  <c r="D43" i="1"/>
  <c r="G43" i="1"/>
  <c r="G37" i="1" l="1"/>
  <c r="D41" i="1"/>
  <c r="G41" i="1"/>
  <c r="E32" i="1"/>
  <c r="D32" i="1"/>
  <c r="C32" i="1"/>
  <c r="E31" i="1"/>
  <c r="D31" i="1"/>
  <c r="C31" i="1"/>
  <c r="H37" i="1" l="1"/>
  <c r="E37" i="1"/>
  <c r="H41" i="1"/>
  <c r="E41" i="1"/>
</calcChain>
</file>

<file path=xl/sharedStrings.xml><?xml version="1.0" encoding="utf-8"?>
<sst xmlns="http://schemas.openxmlformats.org/spreadsheetml/2006/main" count="42" uniqueCount="20">
  <si>
    <t>Jar 1</t>
  </si>
  <si>
    <t>Jar 2</t>
  </si>
  <si>
    <t>Jar 3</t>
  </si>
  <si>
    <t>initial</t>
  </si>
  <si>
    <t>30s settling</t>
  </si>
  <si>
    <t>180s settling</t>
  </si>
  <si>
    <t>avg initial</t>
  </si>
  <si>
    <t>avg 30s</t>
  </si>
  <si>
    <t>avg 180s</t>
  </si>
  <si>
    <t>average data</t>
  </si>
  <si>
    <t>STDEV</t>
  </si>
  <si>
    <t>AVG</t>
  </si>
  <si>
    <t>pristine (150 mg/L)</t>
  </si>
  <si>
    <t>modified (150 mg/L)</t>
  </si>
  <si>
    <t>30 s</t>
  </si>
  <si>
    <t>180 s</t>
  </si>
  <si>
    <t>no SiO2</t>
  </si>
  <si>
    <t>with alum, no PAM, with SiO2</t>
  </si>
  <si>
    <t>no alum, no PAM, with SiO2</t>
  </si>
  <si>
    <t>no alum, with aPAM, no SiO2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</si>
</sst>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164" fontId="0" fillId="0" borderId="0" xfId="0" applyNumberFormat="1"/>
    <xf numFmtId="0" fontId="0" fillId="0" borderId="2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/>
    </xf>
    <xf numFmtId="164" fontId="0" fillId="0" borderId="1" xfId="0" applyNumberFormat="1" applyBorder="1"/>
    <xf numFmtId="164" fontId="0" fillId="0" borderId="2" xfId="0" applyNumberFormat="1" applyBorder="1"/>
    <xf numFmtId="0" fontId="0" fillId="0" borderId="0" xfId="0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wrapText="1"/>
    </xf>
    <xf numFmtId="0" fontId="1" fillId="0" borderId="0" xfId="0" applyFont="1" applyAlignment="1">
      <alignment horizontal="center" wrapText="1"/>
    </xf>
    <xf numFmtId="0" fontId="0" fillId="0" borderId="2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7ED1D4"/>
      <color rgb="FF0D5B6D"/>
      <color rgb="FFCC282F"/>
      <color rgb="FFDF9706"/>
      <color rgb="FF85C6D4"/>
      <color rgb="FF00BCCD"/>
      <color rgb="FFCC2930"/>
      <color rgb="FFE39504"/>
      <color rgb="FF0E5972"/>
      <color rgb="FFDC257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8419270560740672"/>
          <c:y val="5.0925925925925923E-2"/>
          <c:w val="0.77035587561123064"/>
          <c:h val="0.7750216049382716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'Fig 5'!$B$37</c:f>
              <c:strCache>
                <c:ptCount val="1"/>
                <c:pt idx="0">
                  <c:v>30 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'Fig 5'!$G$38:$H$38</c:f>
                <c:numCache>
                  <c:formatCode>General</c:formatCode>
                  <c:ptCount val="2"/>
                  <c:pt idx="0">
                    <c:v>6.8053355973524541</c:v>
                  </c:pt>
                  <c:pt idx="1">
                    <c:v>3.1750765520080142</c:v>
                  </c:pt>
                </c:numCache>
              </c:numRef>
            </c:plus>
            <c:minus>
              <c:numRef>
                <c:f>'Fig 5'!$G$38:$H$38</c:f>
                <c:numCache>
                  <c:formatCode>General</c:formatCode>
                  <c:ptCount val="2"/>
                  <c:pt idx="0">
                    <c:v>6.8053355973524541</c:v>
                  </c:pt>
                  <c:pt idx="1">
                    <c:v>3.1750765520080142</c:v>
                  </c:pt>
                </c:numCache>
              </c:numRef>
            </c:minus>
            <c:spPr>
              <a:noFill/>
              <a:ln w="9525" cap="rnd" cmpd="sng" algn="ctr">
                <a:solidFill>
                  <a:schemeClr val="tx1">
                    <a:lumMod val="95000"/>
                    <a:lumOff val="5000"/>
                  </a:schemeClr>
                </a:solidFill>
                <a:round/>
              </a:ln>
              <a:effectLst/>
            </c:spPr>
          </c:errBars>
          <c:cat>
            <c:strRef>
              <c:f>'Fig 5'!$D$44:$E$44</c:f>
              <c:strCache>
                <c:ptCount val="2"/>
                <c:pt idx="0">
                  <c:v>pristine (150 mg/L)</c:v>
                </c:pt>
                <c:pt idx="1">
                  <c:v>modified (150 mg/L)</c:v>
                </c:pt>
              </c:strCache>
            </c:strRef>
          </c:cat>
          <c:val>
            <c:numRef>
              <c:f>'Fig 5'!$D$38:$E$38</c:f>
              <c:numCache>
                <c:formatCode>0.0</c:formatCode>
                <c:ptCount val="2"/>
                <c:pt idx="0">
                  <c:v>86.577777777777783</c:v>
                </c:pt>
                <c:pt idx="1">
                  <c:v>89.066666666666649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82-D04F-AC1E-0B4F00145C62}"/>
            </c:ext>
          </c:extLst>
        </c:ser>
        <c:ser>
          <c:idx val="1"/>
          <c:order val="1"/>
          <c:tx>
            <c:strRef>
              <c:f>'Fig 5'!$B$41</c:f>
              <c:strCache>
                <c:ptCount val="1"/>
                <c:pt idx="0">
                  <c:v>180 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'Fig 5'!$G$42:$H$42</c:f>
                <c:numCache>
                  <c:formatCode>General</c:formatCode>
                  <c:ptCount val="2"/>
                  <c:pt idx="0">
                    <c:v>0.34047896546765888</c:v>
                  </c:pt>
                  <c:pt idx="1">
                    <c:v>2.8687976575562097</c:v>
                  </c:pt>
                </c:numCache>
              </c:numRef>
            </c:plus>
            <c:minus>
              <c:numRef>
                <c:f>'Fig 5'!$G$42:$H$42</c:f>
                <c:numCache>
                  <c:formatCode>General</c:formatCode>
                  <c:ptCount val="2"/>
                  <c:pt idx="0">
                    <c:v>0.34047896546765888</c:v>
                  </c:pt>
                  <c:pt idx="1">
                    <c:v>2.8687976575562097</c:v>
                  </c:pt>
                </c:numCache>
              </c:numRef>
            </c:minus>
            <c:spPr>
              <a:noFill/>
              <a:ln w="9525" cap="rnd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'Fig 5'!$D$44:$E$44</c:f>
              <c:strCache>
                <c:ptCount val="2"/>
                <c:pt idx="0">
                  <c:v>pristine (150 mg/L)</c:v>
                </c:pt>
                <c:pt idx="1">
                  <c:v>modified (150 mg/L)</c:v>
                </c:pt>
              </c:strCache>
            </c:strRef>
          </c:cat>
          <c:val>
            <c:numRef>
              <c:f>'Fig 5'!$D$42:$E$42</c:f>
              <c:numCache>
                <c:formatCode>0.0</c:formatCode>
                <c:ptCount val="2"/>
                <c:pt idx="0">
                  <c:v>66.12222222222222</c:v>
                </c:pt>
                <c:pt idx="1">
                  <c:v>56.133333333333333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882-D04F-AC1E-0B4F00145C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29046463"/>
        <c:axId val="1229934895"/>
      </c:barChart>
      <c:catAx>
        <c:axId val="1229046463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9934895"/>
        <c:crosses val="autoZero"/>
        <c:auto val="1"/>
        <c:lblAlgn val="ctr"/>
        <c:lblOffset val="100"/>
        <c:noMultiLvlLbl val="1"/>
      </c:catAx>
      <c:valAx>
        <c:axId val="1229934895"/>
        <c:scaling>
          <c:orientation val="minMax"/>
          <c:max val="120"/>
          <c:min val="20"/>
        </c:scaling>
        <c:delete val="0"/>
        <c:axPos val="l"/>
        <c:numFmt formatCode="0" sourceLinked="0"/>
        <c:majorTickMark val="in"/>
        <c:minorTickMark val="none"/>
        <c:tickLblPos val="nextTo"/>
        <c:spPr>
          <a:noFill/>
          <a:ln w="12700" cap="flat" cmpd="sng" algn="ctr">
            <a:solidFill>
              <a:schemeClr val="tx1">
                <a:lumMod val="95000"/>
                <a:lumOff val="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9046463"/>
        <c:crosses val="autoZero"/>
        <c:crossBetween val="between"/>
        <c:majorUnit val="20"/>
      </c:valAx>
      <c:spPr>
        <a:noFill/>
        <a:ln w="12700"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20054778512215607"/>
          <c:y val="0.16271238290570345"/>
          <c:w val="0.25710999823067399"/>
          <c:h val="6.42590655924160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8419270560740672"/>
          <c:y val="5.0925925925925923E-2"/>
          <c:w val="0.77035587561123064"/>
          <c:h val="0.77502160493827166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'Fig 5'!$B$46</c:f>
              <c:strCache>
                <c:ptCount val="1"/>
                <c:pt idx="0">
                  <c:v>initial</c:v>
                </c:pt>
              </c:strCache>
            </c:strRef>
          </c:tx>
          <c:spPr>
            <a:solidFill>
              <a:schemeClr val="bg2">
                <a:lumMod val="50000"/>
              </a:schemeClr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'Fig 5'!$G$46:$H$46</c:f>
                <c:numCache>
                  <c:formatCode>General</c:formatCode>
                  <c:ptCount val="2"/>
                  <c:pt idx="0">
                    <c:v>1.852025917745215</c:v>
                  </c:pt>
                  <c:pt idx="1">
                    <c:v>1.4550041364329649</c:v>
                  </c:pt>
                </c:numCache>
              </c:numRef>
            </c:plus>
            <c:minus>
              <c:numRef>
                <c:f>'Fig 5'!$G$46:$H$46</c:f>
                <c:numCache>
                  <c:formatCode>General</c:formatCode>
                  <c:ptCount val="2"/>
                  <c:pt idx="0">
                    <c:v>1.852025917745215</c:v>
                  </c:pt>
                  <c:pt idx="1">
                    <c:v>1.4550041364329649</c:v>
                  </c:pt>
                </c:numCache>
              </c:numRef>
            </c:minus>
            <c:spPr>
              <a:noFill/>
              <a:ln w="9525" cap="rnd" cmpd="sng" algn="ctr">
                <a:solidFill>
                  <a:schemeClr val="tx1"/>
                </a:solidFill>
                <a:round/>
              </a:ln>
              <a:effectLst/>
            </c:spPr>
          </c:errBars>
          <c:val>
            <c:numRef>
              <c:f>'Fig 5'!$D$46:$E$46</c:f>
              <c:numCache>
                <c:formatCode>0.0</c:formatCode>
                <c:ptCount val="2"/>
                <c:pt idx="0">
                  <c:v>57.966666666666669</c:v>
                </c:pt>
                <c:pt idx="1">
                  <c:v>55.74444444444444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DDD-C948-943D-C941526AC7AA}"/>
            </c:ext>
          </c:extLst>
        </c:ser>
        <c:ser>
          <c:idx val="0"/>
          <c:order val="1"/>
          <c:tx>
            <c:strRef>
              <c:f>'Fig 5'!$B$37</c:f>
              <c:strCache>
                <c:ptCount val="1"/>
                <c:pt idx="0">
                  <c:v>30 s</c:v>
                </c:pt>
              </c:strCache>
            </c:strRef>
          </c:tx>
          <c:spPr>
            <a:solidFill>
              <a:srgbClr val="0D5B6D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'Fig 5'!$G$39:$H$39</c:f>
                <c:numCache>
                  <c:formatCode>General</c:formatCode>
                  <c:ptCount val="2"/>
                  <c:pt idx="0">
                    <c:v>6.6199474094364259</c:v>
                  </c:pt>
                  <c:pt idx="1">
                    <c:v>2.0211905182617338</c:v>
                  </c:pt>
                </c:numCache>
              </c:numRef>
            </c:plus>
            <c:minus>
              <c:numRef>
                <c:f>'Fig 5'!$G$39:$H$39</c:f>
                <c:numCache>
                  <c:formatCode>General</c:formatCode>
                  <c:ptCount val="2"/>
                  <c:pt idx="0">
                    <c:v>6.6199474094364259</c:v>
                  </c:pt>
                  <c:pt idx="1">
                    <c:v>2.0211905182617338</c:v>
                  </c:pt>
                </c:numCache>
              </c:numRef>
            </c:minus>
            <c:spPr>
              <a:noFill/>
              <a:ln w="9525" cap="rnd" cmpd="sng" algn="ctr">
                <a:solidFill>
                  <a:schemeClr val="tx1">
                    <a:lumMod val="95000"/>
                    <a:lumOff val="5000"/>
                  </a:schemeClr>
                </a:solidFill>
                <a:round/>
              </a:ln>
              <a:effectLst/>
            </c:spPr>
          </c:errBars>
          <c:cat>
            <c:strRef>
              <c:f>'Fig 5'!$D$44:$E$44</c:f>
              <c:strCache>
                <c:ptCount val="2"/>
                <c:pt idx="0">
                  <c:v>pristine (150 mg/L)</c:v>
                </c:pt>
                <c:pt idx="1">
                  <c:v>modified (150 mg/L)</c:v>
                </c:pt>
              </c:strCache>
            </c:strRef>
          </c:cat>
          <c:val>
            <c:numRef>
              <c:f>'Fig 5'!$D$39:$E$39</c:f>
              <c:numCache>
                <c:formatCode>0.0</c:formatCode>
                <c:ptCount val="2"/>
                <c:pt idx="0">
                  <c:v>30.188888888888886</c:v>
                </c:pt>
                <c:pt idx="1">
                  <c:v>12.043333333333331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DD-C948-943D-C941526AC7AA}"/>
            </c:ext>
          </c:extLst>
        </c:ser>
        <c:ser>
          <c:idx val="1"/>
          <c:order val="2"/>
          <c:tx>
            <c:strRef>
              <c:f>'Fig 5'!$B$41</c:f>
              <c:strCache>
                <c:ptCount val="1"/>
                <c:pt idx="0">
                  <c:v>180 s</c:v>
                </c:pt>
              </c:strCache>
            </c:strRef>
          </c:tx>
          <c:spPr>
            <a:solidFill>
              <a:srgbClr val="7ED1D4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'Fig 5'!$G$43:$H$43</c:f>
                <c:numCache>
                  <c:formatCode>General</c:formatCode>
                  <c:ptCount val="2"/>
                  <c:pt idx="0">
                    <c:v>6.0766706283889825E-2</c:v>
                  </c:pt>
                  <c:pt idx="1">
                    <c:v>0.57074026005219236</c:v>
                  </c:pt>
                </c:numCache>
              </c:numRef>
            </c:plus>
            <c:minus>
              <c:numRef>
                <c:f>'Fig 5'!$G$43:$H$43</c:f>
                <c:numCache>
                  <c:formatCode>General</c:formatCode>
                  <c:ptCount val="2"/>
                  <c:pt idx="0">
                    <c:v>6.0766706283889825E-2</c:v>
                  </c:pt>
                  <c:pt idx="1">
                    <c:v>0.57074026005219236</c:v>
                  </c:pt>
                </c:numCache>
              </c:numRef>
            </c:minus>
            <c:spPr>
              <a:noFill/>
              <a:ln w="9525" cap="rnd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'Fig 5'!$D$44:$E$44</c:f>
              <c:strCache>
                <c:ptCount val="2"/>
                <c:pt idx="0">
                  <c:v>pristine (150 mg/L)</c:v>
                </c:pt>
                <c:pt idx="1">
                  <c:v>modified (150 mg/L)</c:v>
                </c:pt>
              </c:strCache>
            </c:strRef>
          </c:cat>
          <c:val>
            <c:numRef>
              <c:f>'Fig 5'!$D$43:$E$43</c:f>
              <c:numCache>
                <c:formatCode>0.0</c:formatCode>
                <c:ptCount val="2"/>
                <c:pt idx="0">
                  <c:v>6.692222222222223</c:v>
                </c:pt>
                <c:pt idx="1">
                  <c:v>3.2566666666666664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DDD-C948-943D-C941526AC7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29046463"/>
        <c:axId val="1229934895"/>
      </c:barChart>
      <c:catAx>
        <c:axId val="1229046463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9934895"/>
        <c:crosses val="autoZero"/>
        <c:auto val="1"/>
        <c:lblAlgn val="ctr"/>
        <c:lblOffset val="100"/>
        <c:noMultiLvlLbl val="1"/>
      </c:catAx>
      <c:valAx>
        <c:axId val="1229934895"/>
        <c:scaling>
          <c:orientation val="minMax"/>
          <c:max val="80"/>
          <c:min val="0"/>
        </c:scaling>
        <c:delete val="0"/>
        <c:axPos val="l"/>
        <c:numFmt formatCode="0" sourceLinked="0"/>
        <c:majorTickMark val="in"/>
        <c:minorTickMark val="none"/>
        <c:tickLblPos val="nextTo"/>
        <c:spPr>
          <a:noFill/>
          <a:ln w="12700" cap="flat" cmpd="sng" algn="ctr">
            <a:solidFill>
              <a:schemeClr val="tx1">
                <a:lumMod val="95000"/>
                <a:lumOff val="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9046463"/>
        <c:crosses val="autoZero"/>
        <c:crossBetween val="between"/>
        <c:majorUnit val="10"/>
      </c:valAx>
      <c:spPr>
        <a:noFill/>
        <a:ln w="12700"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20054778512215607"/>
          <c:y val="0.16271238290570345"/>
          <c:w val="0.40484509447257033"/>
          <c:h val="8.415706741344863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8419270560740672"/>
          <c:y val="5.0925925925925923E-2"/>
          <c:w val="0.77035587561123064"/>
          <c:h val="0.7750216049382716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'Fig 5'!$B$37</c:f>
              <c:strCache>
                <c:ptCount val="1"/>
                <c:pt idx="0">
                  <c:v>30 s</c:v>
                </c:pt>
              </c:strCache>
            </c:strRef>
          </c:tx>
          <c:spPr>
            <a:solidFill>
              <a:srgbClr val="0D5B6D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'Fig 5'!$I$38:$K$38</c:f>
                <c:numCache>
                  <c:formatCode>General</c:formatCode>
                  <c:ptCount val="3"/>
                </c:numCache>
              </c:numRef>
            </c:plus>
            <c:minus>
              <c:numRef>
                <c:f>'Fig 5'!$I$38:$K$38</c:f>
                <c:numCache>
                  <c:formatCode>General</c:formatCode>
                  <c:ptCount val="3"/>
                </c:numCache>
              </c:numRef>
            </c:minus>
            <c:spPr>
              <a:noFill/>
              <a:ln w="9525" cap="rnd" cmpd="sng" algn="ctr">
                <a:solidFill>
                  <a:schemeClr val="tx1">
                    <a:lumMod val="95000"/>
                    <a:lumOff val="5000"/>
                  </a:schemeClr>
                </a:solidFill>
                <a:round/>
              </a:ln>
              <a:effectLst/>
            </c:spPr>
          </c:errBars>
          <c:cat>
            <c:strRef>
              <c:f>'Fig 5'!$D$35:$E$35</c:f>
              <c:strCache>
                <c:ptCount val="2"/>
                <c:pt idx="0">
                  <c:v>pristine (150 mg/L)</c:v>
                </c:pt>
                <c:pt idx="1">
                  <c:v>modified (150 mg/L)</c:v>
                </c:pt>
              </c:strCache>
            </c:strRef>
          </c:cat>
          <c:val>
            <c:numRef>
              <c:f>'Fig 5'!$D$37:$E$37</c:f>
              <c:numCache>
                <c:formatCode>0.0</c:formatCode>
                <c:ptCount val="2"/>
                <c:pt idx="0">
                  <c:v>103.68888888888888</c:v>
                </c:pt>
                <c:pt idx="1">
                  <c:v>103.63333333333333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18-4F43-AD7D-C936FC0553FB}"/>
            </c:ext>
          </c:extLst>
        </c:ser>
        <c:ser>
          <c:idx val="1"/>
          <c:order val="1"/>
          <c:tx>
            <c:strRef>
              <c:f>'Fig 5'!$B$41</c:f>
              <c:strCache>
                <c:ptCount val="1"/>
                <c:pt idx="0">
                  <c:v>180 s</c:v>
                </c:pt>
              </c:strCache>
            </c:strRef>
          </c:tx>
          <c:spPr>
            <a:solidFill>
              <a:srgbClr val="7ED1D4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'Fig 5'!$I$45:$K$45</c:f>
                <c:numCache>
                  <c:formatCode>General</c:formatCode>
                  <c:ptCount val="3"/>
                </c:numCache>
              </c:numRef>
            </c:plus>
            <c:minus>
              <c:numRef>
                <c:f>'Fig 5'!$I$45:$K$45</c:f>
                <c:numCache>
                  <c:formatCode>General</c:formatCode>
                  <c:ptCount val="3"/>
                </c:numCache>
              </c:numRef>
            </c:minus>
            <c:spPr>
              <a:noFill/>
              <a:ln w="9525" cap="rnd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'Fig 5'!$D$35:$E$35</c:f>
              <c:strCache>
                <c:ptCount val="2"/>
                <c:pt idx="0">
                  <c:v>pristine (150 mg/L)</c:v>
                </c:pt>
                <c:pt idx="1">
                  <c:v>modified (150 mg/L)</c:v>
                </c:pt>
              </c:strCache>
            </c:strRef>
          </c:cat>
          <c:val>
            <c:numRef>
              <c:f>'Fig 5'!$D$41:$E$41</c:f>
              <c:numCache>
                <c:formatCode>0.0</c:formatCode>
                <c:ptCount val="2"/>
                <c:pt idx="0">
                  <c:v>59.68888888888889</c:v>
                </c:pt>
                <c:pt idx="1">
                  <c:v>36.088888888888896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18-4F43-AD7D-C936FC0553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29046463"/>
        <c:axId val="1229934895"/>
      </c:barChart>
      <c:catAx>
        <c:axId val="1229046463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9934895"/>
        <c:crosses val="autoZero"/>
        <c:auto val="1"/>
        <c:lblAlgn val="ctr"/>
        <c:lblOffset val="100"/>
        <c:noMultiLvlLbl val="1"/>
      </c:catAx>
      <c:valAx>
        <c:axId val="1229934895"/>
        <c:scaling>
          <c:orientation val="minMax"/>
          <c:min val="20"/>
        </c:scaling>
        <c:delete val="0"/>
        <c:axPos val="l"/>
        <c:numFmt formatCode="0" sourceLinked="0"/>
        <c:majorTickMark val="in"/>
        <c:minorTickMark val="none"/>
        <c:tickLblPos val="nextTo"/>
        <c:spPr>
          <a:noFill/>
          <a:ln w="12700" cap="flat" cmpd="sng" algn="ctr">
            <a:solidFill>
              <a:schemeClr val="tx1">
                <a:lumMod val="95000"/>
                <a:lumOff val="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9046463"/>
        <c:crosses val="autoZero"/>
        <c:crossBetween val="between"/>
        <c:majorUnit val="20"/>
      </c:valAx>
      <c:spPr>
        <a:noFill/>
        <a:ln w="12700"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20054778512215607"/>
          <c:y val="0.16271238290570345"/>
          <c:w val="0.25710999823067399"/>
          <c:h val="6.42590655924160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27</xdr:col>
      <xdr:colOff>761505</xdr:colOff>
      <xdr:row>16</xdr:row>
      <xdr:rowOff>178308</xdr:rowOff>
    </xdr:from>
    <xdr:to>
      <xdr:col>30</xdr:col>
      <xdr:colOff>21484</xdr:colOff>
      <xdr:row>25</xdr:row>
      <xdr:rowOff>52808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B69431BC-9063-8437-6F1F-47508FEA27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450248" y="3668907"/>
          <a:ext cx="1746745" cy="1722463"/>
        </a:xfrm>
        <a:prstGeom prst="rect">
          <a:avLst/>
        </a:prstGeom>
      </xdr:spPr>
    </xdr:pic>
    <xdr:clientData/>
  </xdr:twoCellAnchor>
  <xdr:twoCellAnchor>
    <xdr:from>
      <xdr:col>13</xdr:col>
      <xdr:colOff>186503</xdr:colOff>
      <xdr:row>32</xdr:row>
      <xdr:rowOff>195385</xdr:rowOff>
    </xdr:from>
    <xdr:to>
      <xdr:col>17</xdr:col>
      <xdr:colOff>281625</xdr:colOff>
      <xdr:row>41</xdr:row>
      <xdr:rowOff>1739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C8AEC0A-4388-D643-B724-5F88E62E89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301959</xdr:colOff>
      <xdr:row>32</xdr:row>
      <xdr:rowOff>195386</xdr:rowOff>
    </xdr:from>
    <xdr:to>
      <xdr:col>13</xdr:col>
      <xdr:colOff>397081</xdr:colOff>
      <xdr:row>41</xdr:row>
      <xdr:rowOff>1739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E63EC7A-B12F-9B49-9614-7FD46AC8AF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106574</xdr:colOff>
      <xdr:row>32</xdr:row>
      <xdr:rowOff>195385</xdr:rowOff>
    </xdr:from>
    <xdr:to>
      <xdr:col>20</xdr:col>
      <xdr:colOff>761206</xdr:colOff>
      <xdr:row>41</xdr:row>
      <xdr:rowOff>1739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2F694FF-0C2D-A848-8193-F2B998BB55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0.18477</cdr:x>
      <cdr:y>0.04982</cdr:y>
    </cdr:from>
    <cdr:to>
      <cdr:x>0.65471</cdr:x>
      <cdr:y>0.13499</cdr:y>
    </cdr:to>
    <cdr:sp macro="" textlink="">
      <cdr:nvSpPr>
        <cdr:cNvPr id="2" name="TextBox 13">
          <a:extLst xmlns:a="http://schemas.openxmlformats.org/drawingml/2006/main">
            <a:ext uri="{FF2B5EF4-FFF2-40B4-BE49-F238E27FC236}">
              <a16:creationId xmlns:a16="http://schemas.microsoft.com/office/drawing/2014/main" id="{87C9BF51-F0B5-4EBC-93A4-5C1FC1754B16}"/>
            </a:ext>
          </a:extLst>
        </cdr:cNvPr>
        <cdr:cNvSpPr txBox="1"/>
      </cdr:nvSpPr>
      <cdr:spPr>
        <a:xfrm xmlns:a="http://schemas.openxmlformats.org/drawingml/2006/main">
          <a:off x="431099" y="81941"/>
          <a:ext cx="1096454" cy="14008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en-US" sz="700" b="1" baseline="0">
              <a:latin typeface="Arial" panose="020B0604020202020204" pitchFamily="34" charset="0"/>
              <a:cs typeface="Arial" panose="020B0604020202020204" pitchFamily="34" charset="0"/>
            </a:rPr>
            <a:t>NO ALUM, NO PAM</a:t>
          </a:r>
          <a:endParaRPr lang="en-US" sz="700" b="1"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algn="l"/>
          <a:endParaRPr lang="en-US" sz="700" b="1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0.18477</cdr:x>
      <cdr:y>0.04982</cdr:y>
    </cdr:from>
    <cdr:to>
      <cdr:x>0.65471</cdr:x>
      <cdr:y>0.13499</cdr:y>
    </cdr:to>
    <cdr:sp macro="" textlink="">
      <cdr:nvSpPr>
        <cdr:cNvPr id="2" name="TextBox 13">
          <a:extLst xmlns:a="http://schemas.openxmlformats.org/drawingml/2006/main">
            <a:ext uri="{FF2B5EF4-FFF2-40B4-BE49-F238E27FC236}">
              <a16:creationId xmlns:a16="http://schemas.microsoft.com/office/drawing/2014/main" id="{87C9BF51-F0B5-4EBC-93A4-5C1FC1754B16}"/>
            </a:ext>
          </a:extLst>
        </cdr:cNvPr>
        <cdr:cNvSpPr txBox="1"/>
      </cdr:nvSpPr>
      <cdr:spPr>
        <a:xfrm xmlns:a="http://schemas.openxmlformats.org/drawingml/2006/main">
          <a:off x="431099" y="81941"/>
          <a:ext cx="1096454" cy="14008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en-US" sz="700" b="1" baseline="0">
              <a:latin typeface="Arial" panose="020B0604020202020204" pitchFamily="34" charset="0"/>
              <a:cs typeface="Arial" panose="020B0604020202020204" pitchFamily="34" charset="0"/>
            </a:rPr>
            <a:t>NO ALUM, NO SiO2</a:t>
          </a:r>
          <a:endParaRPr lang="en-US" sz="700" b="1"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algn="l"/>
          <a:endParaRPr lang="en-US" sz="700" b="1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0.18477</cdr:x>
      <cdr:y>0.04982</cdr:y>
    </cdr:from>
    <cdr:to>
      <cdr:x>0.59236</cdr:x>
      <cdr:y>0.14437</cdr:y>
    </cdr:to>
    <cdr:sp macro="" textlink="">
      <cdr:nvSpPr>
        <cdr:cNvPr id="2" name="TextBox 13">
          <a:extLst xmlns:a="http://schemas.openxmlformats.org/drawingml/2006/main">
            <a:ext uri="{FF2B5EF4-FFF2-40B4-BE49-F238E27FC236}">
              <a16:creationId xmlns:a16="http://schemas.microsoft.com/office/drawing/2014/main" id="{87C9BF51-F0B5-4EBC-93A4-5C1FC1754B16}"/>
            </a:ext>
          </a:extLst>
        </cdr:cNvPr>
        <cdr:cNvSpPr txBox="1"/>
      </cdr:nvSpPr>
      <cdr:spPr>
        <a:xfrm xmlns:a="http://schemas.openxmlformats.org/drawingml/2006/main">
          <a:off x="430173" y="81610"/>
          <a:ext cx="948926" cy="15487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en-US" sz="700" b="1" baseline="0">
              <a:latin typeface="Arial" panose="020B0604020202020204" pitchFamily="34" charset="0"/>
              <a:cs typeface="Arial" panose="020B0604020202020204" pitchFamily="34" charset="0"/>
            </a:rPr>
            <a:t>ALUM, NO PAM</a:t>
          </a:r>
          <a:endParaRPr lang="en-US" sz="700" b="1"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algn="l"/>
          <a:endParaRPr lang="en-US" sz="700" b="1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4100F-B998-1947-A092-2D15C21482BF}">
  <dimension ref="B2:T79"/>
  <sheetViews>
    <sheetView tabSelected="1" topLeftCell="A3" zoomScale="143" zoomScaleNormal="143" workbookViewId="0">
      <selection activeCell="M45" sqref="M45"/>
    </sheetView>
  </sheetViews>
  <sheetFormatPr baseColWidth="10" defaultRowHeight="16" x14ac:dyDescent="0.2"/>
  <cols>
    <col min="2" max="2" width="14" customWidth="1"/>
    <col min="3" max="4" width="7.33203125" bestFit="1" customWidth="1"/>
    <col min="5" max="5" width="7.83203125" bestFit="1" customWidth="1"/>
    <col min="6" max="14" width="7.33203125" bestFit="1" customWidth="1"/>
    <col min="15" max="20" width="7.33203125" customWidth="1"/>
  </cols>
  <sheetData>
    <row r="2" spans="2:20" ht="16" customHeight="1" x14ac:dyDescent="0.2">
      <c r="B2" s="13" t="s">
        <v>12</v>
      </c>
      <c r="C2" s="12" t="s">
        <v>17</v>
      </c>
      <c r="D2" s="12"/>
      <c r="E2" s="12"/>
      <c r="F2" s="12" t="s">
        <v>18</v>
      </c>
      <c r="G2" s="12"/>
      <c r="H2" s="12"/>
      <c r="I2" s="12" t="s">
        <v>19</v>
      </c>
      <c r="J2" s="12"/>
      <c r="K2" s="12"/>
      <c r="R2" s="17"/>
      <c r="S2" s="17"/>
      <c r="T2" s="17"/>
    </row>
    <row r="3" spans="2:20" x14ac:dyDescent="0.2">
      <c r="B3" s="13"/>
      <c r="C3" s="12"/>
      <c r="D3" s="12"/>
      <c r="E3" s="12"/>
      <c r="F3" s="12"/>
      <c r="G3" s="12"/>
      <c r="H3" s="12"/>
      <c r="I3" s="12"/>
      <c r="J3" s="12"/>
      <c r="K3" s="12"/>
      <c r="R3" s="8"/>
      <c r="S3" s="8"/>
      <c r="T3" s="8"/>
    </row>
    <row r="4" spans="2:20" x14ac:dyDescent="0.2">
      <c r="B4" s="1"/>
      <c r="C4" s="1" t="s">
        <v>0</v>
      </c>
      <c r="D4" s="1" t="s">
        <v>1</v>
      </c>
      <c r="E4" s="1" t="s">
        <v>2</v>
      </c>
      <c r="F4" s="1"/>
      <c r="G4" s="1"/>
      <c r="H4" s="1"/>
      <c r="I4" s="1"/>
      <c r="J4" s="1"/>
      <c r="K4" s="1"/>
    </row>
    <row r="5" spans="2:20" x14ac:dyDescent="0.2">
      <c r="B5" s="9" t="s">
        <v>3</v>
      </c>
      <c r="C5" s="2">
        <v>62.4</v>
      </c>
      <c r="D5" s="2">
        <v>62.5</v>
      </c>
      <c r="E5" s="2">
        <v>61.7</v>
      </c>
      <c r="F5" s="2">
        <v>59.7</v>
      </c>
      <c r="G5" s="2">
        <v>59.7</v>
      </c>
      <c r="H5" s="2">
        <v>60.3</v>
      </c>
      <c r="I5" s="2">
        <v>60.4</v>
      </c>
      <c r="J5" s="2">
        <v>64.400000000000006</v>
      </c>
      <c r="K5" s="2">
        <v>54.3</v>
      </c>
      <c r="R5" s="2"/>
      <c r="S5" s="2"/>
      <c r="T5" s="2"/>
    </row>
    <row r="6" spans="2:20" x14ac:dyDescent="0.2">
      <c r="B6" s="10"/>
      <c r="C6" s="2">
        <v>62.8</v>
      </c>
      <c r="D6" s="2">
        <v>63</v>
      </c>
      <c r="E6" s="2">
        <v>61.6</v>
      </c>
      <c r="F6" s="2">
        <v>59.4</v>
      </c>
      <c r="G6" s="2">
        <v>59.4</v>
      </c>
      <c r="H6" s="2">
        <v>60.3</v>
      </c>
      <c r="I6" s="2">
        <v>53.6</v>
      </c>
      <c r="J6" s="2">
        <v>61.2</v>
      </c>
      <c r="K6" s="2">
        <v>59.3</v>
      </c>
      <c r="R6" s="2"/>
      <c r="S6" s="2"/>
      <c r="T6" s="2"/>
    </row>
    <row r="7" spans="2:20" x14ac:dyDescent="0.2">
      <c r="B7" s="11"/>
      <c r="C7" s="6">
        <v>62.4</v>
      </c>
      <c r="D7" s="6">
        <v>62.7</v>
      </c>
      <c r="E7" s="6">
        <v>61.7</v>
      </c>
      <c r="F7" s="6">
        <v>59.1</v>
      </c>
      <c r="G7" s="6">
        <v>60.4</v>
      </c>
      <c r="H7" s="6">
        <v>60.2</v>
      </c>
      <c r="I7" s="6">
        <v>65.599999999999994</v>
      </c>
      <c r="J7" s="6">
        <v>42.9</v>
      </c>
      <c r="K7" s="6">
        <v>60</v>
      </c>
      <c r="R7" s="2"/>
      <c r="S7" s="2"/>
      <c r="T7" s="2"/>
    </row>
    <row r="8" spans="2:20" x14ac:dyDescent="0.2">
      <c r="B8" s="9" t="s">
        <v>4</v>
      </c>
      <c r="C8" s="2">
        <v>101</v>
      </c>
      <c r="D8" s="7">
        <v>86.5</v>
      </c>
      <c r="E8" s="7">
        <v>105</v>
      </c>
      <c r="F8" s="2">
        <v>83.9</v>
      </c>
      <c r="G8" s="7">
        <v>64.8</v>
      </c>
      <c r="H8" s="7">
        <v>86</v>
      </c>
      <c r="I8" s="2">
        <v>18</v>
      </c>
      <c r="J8" s="2">
        <v>37</v>
      </c>
      <c r="K8" s="2">
        <v>43</v>
      </c>
      <c r="R8" s="2"/>
      <c r="S8" s="2"/>
      <c r="T8" s="2"/>
    </row>
    <row r="9" spans="2:20" x14ac:dyDescent="0.2">
      <c r="B9" s="10"/>
      <c r="C9" s="2">
        <v>98.9</v>
      </c>
      <c r="D9" s="2">
        <v>83.8</v>
      </c>
      <c r="E9" s="2">
        <v>106</v>
      </c>
      <c r="F9" s="2">
        <v>88.2</v>
      </c>
      <c r="G9" s="2">
        <v>88</v>
      </c>
      <c r="H9" s="2">
        <v>87</v>
      </c>
      <c r="I9" s="2">
        <v>17.100000000000001</v>
      </c>
      <c r="J9" s="2">
        <v>24</v>
      </c>
      <c r="K9" s="2">
        <v>28.3</v>
      </c>
      <c r="R9" s="2"/>
      <c r="S9" s="2"/>
      <c r="T9" s="2"/>
    </row>
    <row r="10" spans="2:20" x14ac:dyDescent="0.2">
      <c r="B10" s="11"/>
      <c r="C10" s="6">
        <v>114</v>
      </c>
      <c r="D10" s="6">
        <v>115</v>
      </c>
      <c r="E10" s="6">
        <v>123</v>
      </c>
      <c r="F10" s="6">
        <v>92.9</v>
      </c>
      <c r="G10" s="6">
        <v>84.4</v>
      </c>
      <c r="H10" s="6">
        <v>104</v>
      </c>
      <c r="I10" s="6">
        <v>32.6</v>
      </c>
      <c r="J10" s="6">
        <v>39.5</v>
      </c>
      <c r="K10" s="6">
        <v>32.200000000000003</v>
      </c>
      <c r="R10" s="2"/>
      <c r="S10" s="2"/>
      <c r="T10" s="2"/>
    </row>
    <row r="11" spans="2:20" x14ac:dyDescent="0.2">
      <c r="B11" s="9" t="s">
        <v>5</v>
      </c>
      <c r="C11" s="2">
        <v>57.7</v>
      </c>
      <c r="D11" s="7">
        <v>64.599999999999994</v>
      </c>
      <c r="E11" s="7">
        <v>58.5</v>
      </c>
      <c r="F11" s="2">
        <v>67.2</v>
      </c>
      <c r="G11" s="7">
        <v>63.8</v>
      </c>
      <c r="H11" s="7">
        <v>67.7</v>
      </c>
      <c r="I11" s="2">
        <v>5.7</v>
      </c>
      <c r="J11" s="2">
        <v>8.32</v>
      </c>
      <c r="K11" s="2">
        <v>5.23</v>
      </c>
      <c r="R11" s="2"/>
      <c r="S11" s="2"/>
      <c r="T11" s="2"/>
    </row>
    <row r="12" spans="2:20" x14ac:dyDescent="0.2">
      <c r="B12" s="10"/>
      <c r="C12" s="2">
        <v>58.9</v>
      </c>
      <c r="D12" s="2">
        <v>62.7</v>
      </c>
      <c r="E12" s="2">
        <v>57.6</v>
      </c>
      <c r="F12" s="2">
        <v>66.599999999999994</v>
      </c>
      <c r="G12" s="2">
        <v>68.3</v>
      </c>
      <c r="H12" s="2">
        <v>65.2</v>
      </c>
      <c r="I12" s="2">
        <v>8.19</v>
      </c>
      <c r="J12" s="2">
        <v>6.39</v>
      </c>
      <c r="K12" s="2">
        <v>6.37</v>
      </c>
      <c r="R12" s="2"/>
      <c r="S12" s="2"/>
      <c r="T12" s="2"/>
    </row>
    <row r="13" spans="2:20" x14ac:dyDescent="0.2">
      <c r="B13" s="11"/>
      <c r="C13" s="2">
        <v>56.9</v>
      </c>
      <c r="D13" s="2">
        <v>62.2</v>
      </c>
      <c r="E13" s="2">
        <v>58.1</v>
      </c>
      <c r="F13" s="2">
        <v>65.3</v>
      </c>
      <c r="G13" s="2">
        <v>66.7</v>
      </c>
      <c r="H13" s="2">
        <v>64.3</v>
      </c>
      <c r="I13" s="2">
        <v>5.99</v>
      </c>
      <c r="J13" s="2">
        <v>5.53</v>
      </c>
      <c r="K13" s="2">
        <v>8.51</v>
      </c>
      <c r="R13" s="2"/>
      <c r="S13" s="2"/>
      <c r="T13" s="2"/>
    </row>
    <row r="14" spans="2:20" x14ac:dyDescent="0.2">
      <c r="B14" s="3" t="s">
        <v>6</v>
      </c>
      <c r="C14" s="7">
        <f>AVERAGE(C5:C7)</f>
        <v>62.533333333333331</v>
      </c>
      <c r="D14" s="7">
        <f>AVERAGE(D5:D7)</f>
        <v>62.733333333333327</v>
      </c>
      <c r="E14" s="7">
        <f>AVERAGE(E5:E7)</f>
        <v>61.666666666666664</v>
      </c>
      <c r="F14" s="7">
        <f t="shared" ref="F14:K14" si="0">AVERAGE(F5:F7)</f>
        <v>59.4</v>
      </c>
      <c r="G14" s="7">
        <f t="shared" si="0"/>
        <v>59.833333333333336</v>
      </c>
      <c r="H14" s="7">
        <f t="shared" si="0"/>
        <v>60.266666666666673</v>
      </c>
      <c r="I14" s="7">
        <f t="shared" si="0"/>
        <v>59.866666666666667</v>
      </c>
      <c r="J14" s="7">
        <f t="shared" si="0"/>
        <v>56.166666666666664</v>
      </c>
      <c r="K14" s="7">
        <f t="shared" si="0"/>
        <v>57.866666666666667</v>
      </c>
      <c r="R14" s="2"/>
      <c r="S14" s="2"/>
      <c r="T14" s="2"/>
    </row>
    <row r="15" spans="2:20" x14ac:dyDescent="0.2">
      <c r="B15" s="4" t="s">
        <v>7</v>
      </c>
      <c r="C15" s="2">
        <f t="shared" ref="C15:K15" si="1">AVERAGE(C8:C10)</f>
        <v>104.63333333333333</v>
      </c>
      <c r="D15" s="2">
        <f t="shared" si="1"/>
        <v>95.100000000000009</v>
      </c>
      <c r="E15" s="2">
        <f t="shared" si="1"/>
        <v>111.33333333333333</v>
      </c>
      <c r="F15" s="2">
        <f t="shared" si="1"/>
        <v>88.333333333333329</v>
      </c>
      <c r="G15" s="2">
        <f t="shared" si="1"/>
        <v>79.066666666666677</v>
      </c>
      <c r="H15" s="2">
        <f t="shared" si="1"/>
        <v>92.333333333333329</v>
      </c>
      <c r="I15" s="2">
        <f t="shared" si="1"/>
        <v>22.566666666666666</v>
      </c>
      <c r="J15" s="2">
        <f t="shared" si="1"/>
        <v>33.5</v>
      </c>
      <c r="K15" s="2">
        <f t="shared" si="1"/>
        <v>34.5</v>
      </c>
      <c r="R15" s="2"/>
      <c r="S15" s="2"/>
      <c r="T15" s="2"/>
    </row>
    <row r="16" spans="2:20" x14ac:dyDescent="0.2">
      <c r="B16" s="5" t="s">
        <v>8</v>
      </c>
      <c r="C16" s="6">
        <f t="shared" ref="C16:K16" si="2">AVERAGE(C11:C13)</f>
        <v>57.833333333333336</v>
      </c>
      <c r="D16" s="6">
        <f t="shared" si="2"/>
        <v>63.166666666666664</v>
      </c>
      <c r="E16" s="6">
        <f t="shared" si="2"/>
        <v>58.066666666666663</v>
      </c>
      <c r="F16" s="6">
        <f t="shared" si="2"/>
        <v>66.366666666666674</v>
      </c>
      <c r="G16" s="6">
        <f t="shared" si="2"/>
        <v>66.266666666666666</v>
      </c>
      <c r="H16" s="6">
        <f t="shared" si="2"/>
        <v>65.733333333333334</v>
      </c>
      <c r="I16" s="6">
        <f t="shared" si="2"/>
        <v>6.6266666666666678</v>
      </c>
      <c r="J16" s="6">
        <f t="shared" si="2"/>
        <v>6.746666666666667</v>
      </c>
      <c r="K16" s="6">
        <f t="shared" si="2"/>
        <v>6.7033333333333331</v>
      </c>
      <c r="R16" s="2"/>
      <c r="S16" s="2"/>
      <c r="T16" s="2"/>
    </row>
    <row r="18" spans="2:20" ht="16" customHeight="1" x14ac:dyDescent="0.2">
      <c r="B18" s="13" t="s">
        <v>13</v>
      </c>
      <c r="C18" s="12" t="s">
        <v>17</v>
      </c>
      <c r="D18" s="12"/>
      <c r="E18" s="12"/>
      <c r="F18" s="12" t="s">
        <v>18</v>
      </c>
      <c r="G18" s="12"/>
      <c r="H18" s="12"/>
      <c r="I18" s="12" t="s">
        <v>19</v>
      </c>
      <c r="J18" s="12"/>
      <c r="K18" s="12"/>
      <c r="R18" s="17"/>
      <c r="S18" s="17"/>
      <c r="T18" s="17"/>
    </row>
    <row r="19" spans="2:20" x14ac:dyDescent="0.2">
      <c r="B19" s="13"/>
      <c r="C19" s="12"/>
      <c r="D19" s="12"/>
      <c r="E19" s="12"/>
      <c r="F19" s="12"/>
      <c r="G19" s="12"/>
      <c r="H19" s="12"/>
      <c r="I19" s="12"/>
      <c r="J19" s="12"/>
      <c r="K19" s="12"/>
      <c r="R19" s="8"/>
      <c r="S19" s="8"/>
      <c r="T19" s="8"/>
    </row>
    <row r="20" spans="2:20" x14ac:dyDescent="0.2">
      <c r="B20" s="1"/>
      <c r="C20" s="1" t="s">
        <v>0</v>
      </c>
      <c r="D20" s="1" t="s">
        <v>1</v>
      </c>
      <c r="E20" s="1" t="s">
        <v>2</v>
      </c>
      <c r="F20" s="1"/>
      <c r="G20" s="1"/>
      <c r="H20" s="1"/>
      <c r="I20" s="1"/>
      <c r="J20" s="1"/>
      <c r="K20" s="1"/>
    </row>
    <row r="21" spans="2:20" x14ac:dyDescent="0.2">
      <c r="B21" s="14" t="s">
        <v>3</v>
      </c>
      <c r="C21" s="2">
        <v>61.3</v>
      </c>
      <c r="D21" s="2">
        <v>63.1</v>
      </c>
      <c r="E21" s="2">
        <v>60.7</v>
      </c>
      <c r="F21" s="2">
        <v>60.7</v>
      </c>
      <c r="G21" s="2">
        <v>63.7</v>
      </c>
      <c r="H21" s="2">
        <v>59.9</v>
      </c>
      <c r="I21" s="2">
        <v>51.8</v>
      </c>
      <c r="J21" s="2">
        <v>52.6</v>
      </c>
      <c r="K21" s="2">
        <v>62.4</v>
      </c>
      <c r="R21" s="2"/>
      <c r="S21" s="2"/>
      <c r="T21" s="2"/>
    </row>
    <row r="22" spans="2:20" x14ac:dyDescent="0.2">
      <c r="B22" s="15"/>
      <c r="C22" s="2">
        <v>61.5</v>
      </c>
      <c r="D22" s="2">
        <v>62.6</v>
      </c>
      <c r="E22" s="2">
        <v>61.3</v>
      </c>
      <c r="F22" s="2">
        <v>60.1</v>
      </c>
      <c r="G22" s="2">
        <v>60.3</v>
      </c>
      <c r="H22" s="2">
        <v>60</v>
      </c>
      <c r="I22" s="2">
        <v>53.4</v>
      </c>
      <c r="J22" s="2">
        <v>56.2</v>
      </c>
      <c r="K22" s="2">
        <v>61.7</v>
      </c>
      <c r="R22" s="2"/>
      <c r="S22" s="2"/>
      <c r="T22" s="2"/>
    </row>
    <row r="23" spans="2:20" x14ac:dyDescent="0.2">
      <c r="B23" s="16"/>
      <c r="C23" s="6">
        <v>62</v>
      </c>
      <c r="D23" s="6">
        <v>62.3</v>
      </c>
      <c r="E23" s="6">
        <v>61</v>
      </c>
      <c r="F23" s="6">
        <v>59.8</v>
      </c>
      <c r="G23" s="6">
        <v>60.3</v>
      </c>
      <c r="H23" s="6">
        <v>60.3</v>
      </c>
      <c r="I23" s="6">
        <v>62.9</v>
      </c>
      <c r="J23" s="6">
        <v>53.7</v>
      </c>
      <c r="K23" s="6">
        <v>47</v>
      </c>
      <c r="R23" s="2"/>
      <c r="S23" s="2"/>
      <c r="T23" s="2"/>
    </row>
    <row r="24" spans="2:20" x14ac:dyDescent="0.2">
      <c r="B24" s="14" t="s">
        <v>4</v>
      </c>
      <c r="C24" s="2">
        <v>86.3</v>
      </c>
      <c r="D24" s="7">
        <v>96.1</v>
      </c>
      <c r="E24" s="7">
        <v>110</v>
      </c>
      <c r="F24" s="2">
        <v>78.8</v>
      </c>
      <c r="G24" s="7">
        <v>91.5</v>
      </c>
      <c r="H24" s="7">
        <v>102</v>
      </c>
      <c r="I24" s="2">
        <v>12.7</v>
      </c>
      <c r="J24" s="2">
        <v>12.8</v>
      </c>
      <c r="K24" s="2">
        <v>6.11</v>
      </c>
      <c r="R24" s="2"/>
      <c r="S24" s="2"/>
      <c r="T24" s="2"/>
    </row>
    <row r="25" spans="2:20" x14ac:dyDescent="0.2">
      <c r="B25" s="15"/>
      <c r="C25" s="2">
        <v>98.6</v>
      </c>
      <c r="D25" s="2">
        <v>107</v>
      </c>
      <c r="E25" s="2">
        <v>129</v>
      </c>
      <c r="F25" s="2">
        <v>99</v>
      </c>
      <c r="G25" s="2">
        <v>73.2</v>
      </c>
      <c r="H25" s="2">
        <v>80.7</v>
      </c>
      <c r="I25" s="2">
        <v>9.58</v>
      </c>
      <c r="J25" s="2">
        <v>13.7</v>
      </c>
      <c r="K25" s="2">
        <v>10.199999999999999</v>
      </c>
      <c r="R25" s="2"/>
      <c r="S25" s="2"/>
      <c r="T25" s="2"/>
    </row>
    <row r="26" spans="2:20" x14ac:dyDescent="0.2">
      <c r="B26" s="16"/>
      <c r="C26" s="6">
        <v>102</v>
      </c>
      <c r="D26" s="6">
        <v>104</v>
      </c>
      <c r="E26" s="6">
        <v>99.7</v>
      </c>
      <c r="F26" s="6">
        <v>90.2</v>
      </c>
      <c r="G26" s="6">
        <v>92.6</v>
      </c>
      <c r="H26" s="6">
        <v>93.6</v>
      </c>
      <c r="I26" s="6">
        <v>14.9</v>
      </c>
      <c r="J26" s="6">
        <v>15.1</v>
      </c>
      <c r="K26" s="6">
        <v>13.3</v>
      </c>
      <c r="R26" s="2"/>
      <c r="S26" s="2"/>
      <c r="T26" s="2"/>
    </row>
    <row r="27" spans="2:20" x14ac:dyDescent="0.2">
      <c r="B27" s="9" t="s">
        <v>5</v>
      </c>
      <c r="C27" s="2">
        <v>32.700000000000003</v>
      </c>
      <c r="D27" s="7">
        <v>35.5</v>
      </c>
      <c r="E27" s="7">
        <v>38.6</v>
      </c>
      <c r="F27" s="2">
        <v>60.1</v>
      </c>
      <c r="G27" s="7">
        <v>59.6</v>
      </c>
      <c r="H27" s="7">
        <v>49.3</v>
      </c>
      <c r="I27" s="2">
        <v>6</v>
      </c>
      <c r="J27" s="2">
        <v>2.91</v>
      </c>
      <c r="K27" s="2">
        <v>2.5099999999999998</v>
      </c>
      <c r="R27" s="2"/>
      <c r="S27" s="2"/>
      <c r="T27" s="2"/>
    </row>
    <row r="28" spans="2:20" x14ac:dyDescent="0.2">
      <c r="B28" s="10"/>
      <c r="C28" s="2">
        <v>29.7</v>
      </c>
      <c r="D28" s="2">
        <v>35.6</v>
      </c>
      <c r="E28" s="2">
        <v>39.9</v>
      </c>
      <c r="F28" s="2">
        <v>56.8</v>
      </c>
      <c r="G28" s="2">
        <v>58.5</v>
      </c>
      <c r="H28" s="2">
        <v>53.9</v>
      </c>
      <c r="I28" s="2">
        <v>2.85</v>
      </c>
      <c r="J28" s="2">
        <v>2.33</v>
      </c>
      <c r="K28" s="2">
        <v>2.73</v>
      </c>
      <c r="R28" s="2"/>
      <c r="S28" s="2"/>
      <c r="T28" s="2"/>
    </row>
    <row r="29" spans="2:20" x14ac:dyDescent="0.2">
      <c r="B29" s="11"/>
      <c r="C29" s="2">
        <v>32.6</v>
      </c>
      <c r="D29" s="2">
        <v>38.5</v>
      </c>
      <c r="E29" s="2">
        <v>41.7</v>
      </c>
      <c r="F29" s="2">
        <v>55.7</v>
      </c>
      <c r="G29" s="2">
        <v>56</v>
      </c>
      <c r="H29" s="2">
        <v>55.3</v>
      </c>
      <c r="I29" s="2">
        <v>2.0499999999999998</v>
      </c>
      <c r="J29" s="2">
        <v>5.37</v>
      </c>
      <c r="K29" s="2">
        <v>2.56</v>
      </c>
      <c r="R29" s="2"/>
      <c r="S29" s="2"/>
      <c r="T29" s="2"/>
    </row>
    <row r="30" spans="2:20" x14ac:dyDescent="0.2">
      <c r="B30" s="3" t="s">
        <v>6</v>
      </c>
      <c r="C30" s="7">
        <f>AVERAGE(C21:C23)</f>
        <v>61.6</v>
      </c>
      <c r="D30" s="7">
        <f>AVERAGE(D21:D23)</f>
        <v>62.666666666666664</v>
      </c>
      <c r="E30" s="7">
        <f>AVERAGE(E21:E23)</f>
        <v>61</v>
      </c>
      <c r="F30" s="7">
        <f t="shared" ref="F30:K30" si="3">AVERAGE(F21:F23)</f>
        <v>60.20000000000001</v>
      </c>
      <c r="G30" s="7">
        <f t="shared" si="3"/>
        <v>61.433333333333337</v>
      </c>
      <c r="H30" s="7">
        <f t="shared" si="3"/>
        <v>60.066666666666663</v>
      </c>
      <c r="I30" s="7">
        <f t="shared" si="3"/>
        <v>56.033333333333331</v>
      </c>
      <c r="J30" s="7">
        <f t="shared" si="3"/>
        <v>54.166666666666664</v>
      </c>
      <c r="K30" s="7">
        <f t="shared" si="3"/>
        <v>57.033333333333331</v>
      </c>
      <c r="R30" s="2"/>
      <c r="S30" s="2"/>
      <c r="T30" s="2"/>
    </row>
    <row r="31" spans="2:20" x14ac:dyDescent="0.2">
      <c r="B31" s="4" t="s">
        <v>7</v>
      </c>
      <c r="C31" s="2">
        <f t="shared" ref="C31:K31" si="4">AVERAGE(C24:C26)</f>
        <v>95.633333333333326</v>
      </c>
      <c r="D31" s="2">
        <f t="shared" si="4"/>
        <v>102.36666666666667</v>
      </c>
      <c r="E31" s="2">
        <f t="shared" si="4"/>
        <v>112.89999999999999</v>
      </c>
      <c r="F31" s="2">
        <f t="shared" si="4"/>
        <v>89.333333333333329</v>
      </c>
      <c r="G31" s="2">
        <f t="shared" si="4"/>
        <v>85.766666666666652</v>
      </c>
      <c r="H31" s="2">
        <f t="shared" si="4"/>
        <v>92.09999999999998</v>
      </c>
      <c r="I31" s="2">
        <f t="shared" si="4"/>
        <v>12.393333333333333</v>
      </c>
      <c r="J31" s="2">
        <f t="shared" si="4"/>
        <v>13.866666666666667</v>
      </c>
      <c r="K31" s="2">
        <f t="shared" si="4"/>
        <v>9.8699999999999992</v>
      </c>
      <c r="R31" s="2"/>
      <c r="S31" s="2"/>
      <c r="T31" s="2"/>
    </row>
    <row r="32" spans="2:20" x14ac:dyDescent="0.2">
      <c r="B32" s="5" t="s">
        <v>8</v>
      </c>
      <c r="C32" s="6">
        <f t="shared" ref="C32:K32" si="5">AVERAGE(C27:C29)</f>
        <v>31.666666666666668</v>
      </c>
      <c r="D32" s="6">
        <f t="shared" si="5"/>
        <v>36.533333333333331</v>
      </c>
      <c r="E32" s="6">
        <f t="shared" si="5"/>
        <v>40.06666666666667</v>
      </c>
      <c r="F32" s="6">
        <f t="shared" si="5"/>
        <v>57.533333333333339</v>
      </c>
      <c r="G32" s="6">
        <f t="shared" si="5"/>
        <v>58.033333333333331</v>
      </c>
      <c r="H32" s="6">
        <f t="shared" si="5"/>
        <v>52.833333333333336</v>
      </c>
      <c r="I32" s="6">
        <f t="shared" si="5"/>
        <v>3.6333333333333329</v>
      </c>
      <c r="J32" s="6">
        <f t="shared" si="5"/>
        <v>3.5366666666666666</v>
      </c>
      <c r="K32" s="6">
        <f t="shared" si="5"/>
        <v>2.6</v>
      </c>
      <c r="R32" s="2"/>
      <c r="S32" s="2"/>
      <c r="T32" s="2"/>
    </row>
    <row r="34" spans="2:12" x14ac:dyDescent="0.2">
      <c r="D34" t="s">
        <v>11</v>
      </c>
      <c r="G34" t="s">
        <v>10</v>
      </c>
    </row>
    <row r="35" spans="2:12" x14ac:dyDescent="0.2">
      <c r="B35" t="s">
        <v>9</v>
      </c>
      <c r="D35" t="s">
        <v>12</v>
      </c>
      <c r="E35" t="s">
        <v>13</v>
      </c>
      <c r="G35" t="s">
        <v>12</v>
      </c>
      <c r="H35" t="s">
        <v>13</v>
      </c>
    </row>
    <row r="36" spans="2:12" x14ac:dyDescent="0.2">
      <c r="D36" s="2"/>
      <c r="E36" s="2"/>
      <c r="G36" s="2"/>
      <c r="H36" s="2"/>
      <c r="I36" s="2"/>
      <c r="L36" s="2"/>
    </row>
    <row r="37" spans="2:12" x14ac:dyDescent="0.2">
      <c r="B37" t="s">
        <v>14</v>
      </c>
      <c r="C37" t="str">
        <f>C2</f>
        <v>with alum, no PAM, with SiO2</v>
      </c>
      <c r="D37" s="2">
        <f>AVERAGE(C15:E15)</f>
        <v>103.68888888888888</v>
      </c>
      <c r="E37" s="2">
        <f>AVERAGE(C31:E31)</f>
        <v>103.63333333333333</v>
      </c>
      <c r="G37" s="2">
        <f>STDEV(C15:E15)</f>
        <v>8.1577729350147479</v>
      </c>
      <c r="H37" s="2">
        <f>STDEV(C31:E31)</f>
        <v>8.7027454161188551</v>
      </c>
      <c r="I37" s="2"/>
      <c r="L37" s="2"/>
    </row>
    <row r="38" spans="2:12" x14ac:dyDescent="0.2">
      <c r="C38" t="str">
        <f>F2</f>
        <v>no alum, no PAM, with SiO2</v>
      </c>
      <c r="D38" s="2">
        <f>AVERAGE(F15:H15)</f>
        <v>86.577777777777783</v>
      </c>
      <c r="E38" s="2">
        <f>AVERAGE(F31:H31)</f>
        <v>89.066666666666649</v>
      </c>
      <c r="G38" s="2">
        <f>STDEV(F15:H15)</f>
        <v>6.8053355973524541</v>
      </c>
      <c r="H38" s="2">
        <f>STDEV(F31:H31)</f>
        <v>3.1750765520080142</v>
      </c>
      <c r="I38" s="2"/>
      <c r="L38" s="2"/>
    </row>
    <row r="39" spans="2:12" x14ac:dyDescent="0.2">
      <c r="C39" t="str">
        <f>I2</f>
        <v>no alum, with aPAM, no SiO2</v>
      </c>
      <c r="D39" s="2">
        <f>AVERAGE(I15:K15)</f>
        <v>30.188888888888886</v>
      </c>
      <c r="E39" s="2">
        <f>AVERAGE(I31:K31)</f>
        <v>12.043333333333331</v>
      </c>
      <c r="G39" s="2">
        <f>STDEV(I15:K15)</f>
        <v>6.6199474094364259</v>
      </c>
      <c r="H39" s="2">
        <f>STDEV(I31:K31)</f>
        <v>2.0211905182617338</v>
      </c>
      <c r="I39" s="2"/>
      <c r="L39" s="2"/>
    </row>
    <row r="40" spans="2:12" x14ac:dyDescent="0.2">
      <c r="D40" s="2"/>
      <c r="E40" s="2"/>
      <c r="G40" s="2"/>
      <c r="H40" s="2"/>
      <c r="I40" s="2"/>
      <c r="L40" s="2"/>
    </row>
    <row r="41" spans="2:12" x14ac:dyDescent="0.2">
      <c r="B41" t="s">
        <v>15</v>
      </c>
      <c r="C41" t="s">
        <v>17</v>
      </c>
      <c r="D41" s="2">
        <f>AVERAGE(C16:E16)</f>
        <v>59.68888888888889</v>
      </c>
      <c r="E41" s="2">
        <f>AVERAGE(C32:E32)</f>
        <v>36.088888888888896</v>
      </c>
      <c r="G41" s="2">
        <f>STDEV(C16:E16)</f>
        <v>3.0141026549895091</v>
      </c>
      <c r="H41" s="2">
        <f>STDEV(C32:E32)</f>
        <v>4.2175998089136142</v>
      </c>
      <c r="I41" s="2"/>
      <c r="L41" s="2"/>
    </row>
    <row r="42" spans="2:12" x14ac:dyDescent="0.2">
      <c r="C42" t="s">
        <v>18</v>
      </c>
      <c r="D42" s="2">
        <f>AVERAGE(F16:H16)</f>
        <v>66.12222222222222</v>
      </c>
      <c r="E42" s="2">
        <f>AVERAGE(F32:H32)</f>
        <v>56.133333333333333</v>
      </c>
      <c r="G42" s="2">
        <f>STDEV(F16:H16)</f>
        <v>0.34047896546765888</v>
      </c>
      <c r="H42" s="2">
        <f>STDEV(F32:H32)</f>
        <v>2.8687976575562097</v>
      </c>
    </row>
    <row r="43" spans="2:12" x14ac:dyDescent="0.2">
      <c r="C43" t="s">
        <v>19</v>
      </c>
      <c r="D43" s="2">
        <f>AVERAGE(I16:K16)</f>
        <v>6.692222222222223</v>
      </c>
      <c r="E43" s="2">
        <f>AVERAGE(I32:K32)</f>
        <v>3.2566666666666664</v>
      </c>
      <c r="G43" s="2">
        <f>STDEV(I16:K16)</f>
        <v>6.0766706283889825E-2</v>
      </c>
      <c r="H43" s="2">
        <f>STDEV(I32:K32)</f>
        <v>0.57074026005219236</v>
      </c>
      <c r="I43" s="2"/>
      <c r="L43" s="2"/>
    </row>
    <row r="44" spans="2:12" x14ac:dyDescent="0.2">
      <c r="D44" t="s">
        <v>12</v>
      </c>
      <c r="E44" t="s">
        <v>13</v>
      </c>
      <c r="G44" s="2"/>
      <c r="H44" s="2"/>
      <c r="I44" s="2"/>
      <c r="L44" s="2"/>
    </row>
    <row r="45" spans="2:12" x14ac:dyDescent="0.2">
      <c r="I45" s="2"/>
      <c r="L45" s="2"/>
    </row>
    <row r="46" spans="2:12" x14ac:dyDescent="0.2">
      <c r="B46" t="s">
        <v>3</v>
      </c>
      <c r="C46" t="s">
        <v>16</v>
      </c>
      <c r="D46" s="2">
        <f>AVERAGE(I14:K14)</f>
        <v>57.966666666666669</v>
      </c>
      <c r="E46" s="2">
        <f>AVERAGE(I30:K30)</f>
        <v>55.74444444444444</v>
      </c>
      <c r="G46">
        <f>STDEV(I14:K14)</f>
        <v>1.852025917745215</v>
      </c>
      <c r="H46">
        <f>STDEV(I30:K30)</f>
        <v>1.4550041364329649</v>
      </c>
      <c r="I46" s="2"/>
      <c r="L46" s="2"/>
    </row>
    <row r="47" spans="2:12" x14ac:dyDescent="0.2">
      <c r="I47" s="2"/>
      <c r="L47" s="2"/>
    </row>
    <row r="48" spans="2:12" x14ac:dyDescent="0.2">
      <c r="I48" s="2"/>
      <c r="L48" s="2"/>
    </row>
    <row r="77" spans="6:13" x14ac:dyDescent="0.2">
      <c r="F77" s="2"/>
      <c r="G77" s="2"/>
      <c r="I77" s="2"/>
      <c r="J77" s="2"/>
      <c r="L77" s="2"/>
      <c r="M77" s="2"/>
    </row>
    <row r="78" spans="6:13" x14ac:dyDescent="0.2">
      <c r="F78" s="2"/>
      <c r="G78" s="2"/>
      <c r="I78" s="2"/>
      <c r="J78" s="2"/>
      <c r="L78" s="2"/>
      <c r="M78" s="2"/>
    </row>
    <row r="79" spans="6:13" x14ac:dyDescent="0.2">
      <c r="F79" s="2"/>
      <c r="G79" s="2"/>
      <c r="I79" s="2"/>
      <c r="J79" s="2"/>
      <c r="L79" s="2"/>
      <c r="M79" s="2"/>
    </row>
  </sheetData>
  <mergeCells count="16">
    <mergeCell ref="R2:T2"/>
    <mergeCell ref="R18:T18"/>
    <mergeCell ref="F2:H3"/>
    <mergeCell ref="I2:K3"/>
    <mergeCell ref="F18:H19"/>
    <mergeCell ref="I18:K19"/>
    <mergeCell ref="B27:B29"/>
    <mergeCell ref="C18:E19"/>
    <mergeCell ref="B2:B3"/>
    <mergeCell ref="B18:B19"/>
    <mergeCell ref="B21:B23"/>
    <mergeCell ref="B24:B26"/>
    <mergeCell ref="C2:E3"/>
    <mergeCell ref="B5:B7"/>
    <mergeCell ref="B8:B10"/>
    <mergeCell ref="B11:B1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Fig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Owen Armstrong</dc:creator>
  <cp:lastModifiedBy>Owen Armstrong</cp:lastModifiedBy>
  <dcterms:created xsi:type="dcterms:W3CDTF">2024-10-09T20:29:59Z</dcterms:created>
  <dcterms:modified xsi:type="dcterms:W3CDTF">2026-04-13T15:52:25Z</dcterms:modified>
</cp:coreProperties>
</file>