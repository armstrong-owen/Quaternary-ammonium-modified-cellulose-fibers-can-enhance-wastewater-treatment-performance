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A98EB481-9079-6246-8037-1D4D0A779C7E}" xr6:coauthVersionLast="47" xr6:coauthVersionMax="47" xr10:uidLastSave="{00000000-0000-0000-0000-000000000000}"/>
  <bookViews>
    <workbookView xWindow="0" yWindow="500" windowWidth="38400" windowHeight="19840" activeTab="1" xr2:uid="{5E8FC2DE-99DB-354A-89A6-793EC402E3B0}"/>
  </bookViews>
  <sheets>
    <sheet name="Fig 4c (settling rate)" sheetId="1" r:id="rId1"/>
    <sheet name="Fig 4c (floc size)" sheetId="2" r:id="rId2"/>
  </sheets>
  <definedNames>
    <definedName name="_xlchart.v1.0" hidden="1">'Fig 4c (settling rate)'!$G$3:$G$92</definedName>
    <definedName name="_xlchart.v1.1" hidden="1">'Fig 4c (settling rate)'!$H$3:$H$92</definedName>
    <definedName name="_xlchart.v1.2" hidden="1">'Fig 4c (floc size)'!$G$3:$G$92</definedName>
    <definedName name="_xlchart.v1.3" hidden="1">'Fig 4c (floc size)'!$H$3:$H$92</definedName>
    <definedName name="_xlchart.v1.4" hidden="1">'Fig 4c (floc size)'!$G$3:$G$92</definedName>
    <definedName name="_xlchart.v1.5" hidden="1">'Fig 4c (floc size)'!$H$3:$H$92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4" i="1"/>
  <c r="D35" i="2"/>
  <c r="E35" i="2"/>
  <c r="C35" i="2"/>
  <c r="E34" i="2"/>
  <c r="D34" i="2"/>
  <c r="C3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E34" i="1"/>
  <c r="E35" i="1"/>
  <c r="D35" i="1"/>
  <c r="D3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<sst xmlns="http://schemas.openxmlformats.org/spreadsheetml/2006/main" count="196" uniqueCount="11">
  <si>
    <t>settling rate (cm/s)</t>
  </si>
  <si>
    <t>pristine</t>
  </si>
  <si>
    <t>conventional</t>
  </si>
  <si>
    <t>modified</t>
  </si>
  <si>
    <t>average</t>
  </si>
  <si>
    <t>stdev</t>
  </si>
  <si>
    <t>floc number</t>
  </si>
  <si>
    <t>putting data in one long list for plot formatting</t>
  </si>
  <si>
    <t xml:space="preserve"> </t>
  </si>
  <si>
    <t>avg</t>
  </si>
  <si>
    <t>floc size (mm2)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</si>
</sst>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7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5A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plotSurface>
          <cx:spPr>
            <a:noFill/>
            <a:ln w="12700">
              <a:solidFill>
                <a:schemeClr val="tx1"/>
              </a:solidFill>
            </a:ln>
          </cx:spPr>
        </cx:plotSurface>
        <cx:series layoutId="boxWhisker" uniqueId="{081E5BD0-68C1-284A-8BBD-B8048B53E105}">
          <cx:spPr>
            <a:solidFill>
              <a:srgbClr val="0C5A6D"/>
            </a:solidFill>
            <a:ln w="12700">
              <a:solidFill>
                <a:schemeClr val="tx1"/>
              </a:solidFill>
            </a:ln>
          </cx:spPr>
          <cx:dataId val="0"/>
          <cx:layoutPr>
            <cx:visibility meanLine="0" meanMarker="0" nonoutliers="0" outliers="0"/>
            <cx:statistics quartileMethod="inclusive"/>
          </cx:layoutPr>
        </cx:series>
      </cx:plotAreaRegion>
      <cx:axis id="0">
        <cx:catScaling gapWidth="1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800" b="1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.2" min="0"/>
        <cx:title>
          <cx:tx>
            <cx:txData>
              <cx:v>Floc Settling Rate (cm/s)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800" b="1"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800" b="1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Floc Settling Rate (cm/s)</a:t>
              </a:r>
            </a:p>
          </cx:txPr>
        </cx:title>
        <cx:majorTickMarks type="in"/>
        <cx:minorTickMarks type="in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plotSurface>
          <cx:spPr>
            <a:noFill/>
            <a:ln w="12700">
              <a:solidFill>
                <a:schemeClr val="tx1"/>
              </a:solidFill>
            </a:ln>
          </cx:spPr>
        </cx:plotSurface>
        <cx:series layoutId="boxWhisker" uniqueId="{081E5BD0-68C1-284A-8BBD-B8048B53E105}">
          <cx:spPr>
            <a:solidFill>
              <a:srgbClr val="DF9706"/>
            </a:solidFill>
            <a:ln w="12700">
              <a:solidFill>
                <a:schemeClr val="tx1"/>
              </a:solidFill>
            </a:ln>
          </cx:spPr>
          <cx:dataId val="0"/>
          <cx:layoutPr>
            <cx:visibility meanLine="0" meanMarker="0" nonoutliers="0" outliers="0"/>
            <cx:statistics quartileMethod="inclusive"/>
          </cx:layoutPr>
        </cx:series>
      </cx:plotAreaRegion>
      <cx:axis id="0">
        <cx:catScaling gapWidth="1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800" b="1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Floc Size (mm^2)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800" b="1"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800" b="1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Floc Size (mm^2)</a:t>
              </a:r>
            </a:p>
          </cx:txPr>
        </cx:title>
        <cx:majorTickMarks type="in"/>
        <cx:minorTickMarks type="in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331139</xdr:colOff>
      <xdr:row>3</xdr:row>
      <xdr:rowOff>70902</xdr:rowOff>
    </xdr:from>
    <xdr:to>
      <xdr:col>11</xdr:col>
      <xdr:colOff>507998</xdr:colOff>
      <xdr:row>11</xdr:row>
      <xdr:rowOff>79836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4634B0F-1A7C-E879-33E0-56820C4B872A}"/>
            </a:ext>
          </a:extLst>
        </xdr:cNvPr>
        <xdr:cNvGrpSpPr/>
      </xdr:nvGrpSpPr>
      <xdr:grpSpPr>
        <a:xfrm>
          <a:off x="6919745" y="671266"/>
          <a:ext cx="2647586" cy="1609903"/>
          <a:chOff x="11475777" y="1662451"/>
          <a:chExt cx="2656204" cy="1646666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9D9A6EC3-B992-863C-FC3A-2A69833C5F79}"/>
              </a:ext>
            </a:extLst>
          </xdr:cNvPr>
          <xdr:cNvGrpSpPr/>
        </xdr:nvGrpSpPr>
        <xdr:grpSpPr>
          <a:xfrm>
            <a:off x="11475777" y="1662451"/>
            <a:ext cx="2656204" cy="1646666"/>
            <a:chOff x="11451062" y="1674071"/>
            <a:chExt cx="2650886" cy="1658284"/>
          </a:xfrm>
        </xdr:grpSpPr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4" name="Chart 3">
                  <a:extLst>
                    <a:ext uri="{FF2B5EF4-FFF2-40B4-BE49-F238E27FC236}">
                      <a16:creationId xmlns:a16="http://schemas.microsoft.com/office/drawing/2014/main" id="{25B2EBDC-75BF-631C-2022-754A20D9B724}"/>
                    </a:ext>
                  </a:extLst>
                </xdr:cNvPr>
                <xdr:cNvGraphicFramePr/>
              </xdr:nvGraphicFramePr>
              <xdr:xfrm>
                <a:off x="11451062" y="1674071"/>
                <a:ext cx="2650886" cy="1658284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1451062" y="1674071"/>
                  <a:ext cx="2650886" cy="165828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AB6C49-C247-68AE-4E78-66A94613F695}"/>
                </a:ext>
              </a:extLst>
            </xdr:cNvPr>
            <xdr:cNvSpPr txBox="1"/>
          </xdr:nvSpPr>
          <xdr:spPr>
            <a:xfrm>
              <a:off x="11995922" y="2436609"/>
              <a:ext cx="518091" cy="269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endParaRPr lang="en-US" sz="600" kern="120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n-US" sz="600" kern="1200">
                  <a:latin typeface="Arial" panose="020B0604020202020204" pitchFamily="34" charset="0"/>
                  <a:cs typeface="Arial" panose="020B0604020202020204" pitchFamily="34" charset="0"/>
                </a:rPr>
                <a:t>0.18 cm/s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9B30B83-F392-E542-BEBE-23F2608EB81E}"/>
              </a:ext>
            </a:extLst>
          </xdr:cNvPr>
          <xdr:cNvSpPr txBox="1"/>
        </xdr:nvSpPr>
        <xdr:spPr>
          <a:xfrm>
            <a:off x="12729039" y="1765203"/>
            <a:ext cx="518091" cy="2677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endParaRPr lang="en-US" sz="600" kern="12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sz="600" kern="1200">
                <a:latin typeface="Arial" panose="020B0604020202020204" pitchFamily="34" charset="0"/>
                <a:cs typeface="Arial" panose="020B0604020202020204" pitchFamily="34" charset="0"/>
              </a:rPr>
              <a:t>0.48 cm/s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DB41E85-FD53-E04B-8EB1-01AE8BB18742}"/>
              </a:ext>
            </a:extLst>
          </xdr:cNvPr>
          <xdr:cNvSpPr txBox="1"/>
        </xdr:nvSpPr>
        <xdr:spPr>
          <a:xfrm>
            <a:off x="13429516" y="1696935"/>
            <a:ext cx="519863" cy="2677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endParaRPr lang="en-US" sz="600" kern="12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sz="600" kern="1200">
                <a:latin typeface="Arial" panose="020B0604020202020204" pitchFamily="34" charset="0"/>
                <a:cs typeface="Arial" panose="020B0604020202020204" pitchFamily="34" charset="0"/>
              </a:rPr>
              <a:t>0.68 cm/s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430106</xdr:colOff>
      <xdr:row>3</xdr:row>
      <xdr:rowOff>36877</xdr:rowOff>
    </xdr:from>
    <xdr:to>
      <xdr:col>11</xdr:col>
      <xdr:colOff>710529</xdr:colOff>
      <xdr:row>11</xdr:row>
      <xdr:rowOff>28269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B079DB9-8185-0680-6DD5-34AE085761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3988" y="641995"/>
              <a:ext cx="2768129" cy="16050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B67C-E1E9-B84E-B4CD-A3B3E888B61A}">
  <dimension ref="B2:N92"/>
  <sheetViews>
    <sheetView topLeftCell="A16" zoomScale="165" zoomScaleNormal="165" workbookViewId="0">
      <selection activeCell="D39" sqref="D39"/>
    </sheetView>
  </sheetViews>
  <sheetFormatPr baseColWidth="10" defaultRowHeight="16" x14ac:dyDescent="0.2"/>
  <cols>
    <col min="14" max="14" width="13.6640625" bestFit="1" customWidth="1"/>
    <col min="18" max="19" width="12.1640625" bestFit="1" customWidth="1"/>
  </cols>
  <sheetData>
    <row r="2" spans="2:14" x14ac:dyDescent="0.2">
      <c r="C2" t="s">
        <v>0</v>
      </c>
      <c r="G2" t="s">
        <v>7</v>
      </c>
    </row>
    <row r="3" spans="2:14" x14ac:dyDescent="0.2">
      <c r="B3" t="s">
        <v>6</v>
      </c>
      <c r="C3" t="s">
        <v>2</v>
      </c>
      <c r="D3" t="s">
        <v>1</v>
      </c>
      <c r="E3" t="s">
        <v>3</v>
      </c>
      <c r="G3" s="3" t="s">
        <v>2</v>
      </c>
      <c r="H3" s="1">
        <v>0.31328320802005011</v>
      </c>
    </row>
    <row r="4" spans="2:14" x14ac:dyDescent="0.2">
      <c r="B4">
        <v>1</v>
      </c>
      <c r="C4" s="1">
        <v>0.31328320802005011</v>
      </c>
      <c r="D4" s="1">
        <v>0.23498944945328984</v>
      </c>
      <c r="E4" s="1">
        <v>0.45845808383233533</v>
      </c>
      <c r="G4" s="3" t="s">
        <v>2</v>
      </c>
      <c r="H4" s="1">
        <v>0.23277467411545624</v>
      </c>
      <c r="J4" s="1"/>
      <c r="K4" s="2"/>
      <c r="N4" s="1"/>
    </row>
    <row r="5" spans="2:14" x14ac:dyDescent="0.2">
      <c r="B5">
        <f>B4+1</f>
        <v>2</v>
      </c>
      <c r="C5" s="1">
        <v>0.23277467411545624</v>
      </c>
      <c r="D5" s="1">
        <v>0.478515625</v>
      </c>
      <c r="E5" s="1">
        <v>0.61650729743331656</v>
      </c>
      <c r="G5" s="3" t="s">
        <v>2</v>
      </c>
      <c r="H5" s="1">
        <v>8.1037277147487846E-2</v>
      </c>
      <c r="J5" s="1"/>
      <c r="N5" s="1"/>
    </row>
    <row r="6" spans="2:14" x14ac:dyDescent="0.2">
      <c r="B6">
        <f t="shared" ref="B6:B33" si="0">B5+1</f>
        <v>3</v>
      </c>
      <c r="C6" s="1">
        <v>8.1037277147487846E-2</v>
      </c>
      <c r="D6" s="1">
        <v>0.31295137217140107</v>
      </c>
      <c r="E6" s="1">
        <v>0.67661346287300483</v>
      </c>
      <c r="G6" s="3" t="s">
        <v>2</v>
      </c>
      <c r="H6" s="1">
        <v>5.9523809523809521E-2</v>
      </c>
      <c r="J6" s="1"/>
      <c r="N6" s="1"/>
    </row>
    <row r="7" spans="2:14" x14ac:dyDescent="0.2">
      <c r="B7">
        <f t="shared" si="0"/>
        <v>4</v>
      </c>
      <c r="C7" s="1">
        <v>5.9523809523809521E-2</v>
      </c>
      <c r="D7" s="1">
        <v>0.44626593806921677</v>
      </c>
      <c r="E7" s="1">
        <v>0.84337349397590355</v>
      </c>
      <c r="G7" s="3" t="s">
        <v>2</v>
      </c>
      <c r="H7" s="1">
        <v>0.24038461538461536</v>
      </c>
      <c r="J7" s="1"/>
      <c r="N7" s="1"/>
    </row>
    <row r="8" spans="2:14" x14ac:dyDescent="0.2">
      <c r="B8">
        <f t="shared" si="0"/>
        <v>5</v>
      </c>
      <c r="C8" s="1">
        <v>0.24038461538461536</v>
      </c>
      <c r="D8" s="1">
        <v>0.49266036597627189</v>
      </c>
      <c r="E8" s="1">
        <v>0.67829457364341095</v>
      </c>
      <c r="G8" s="3" t="s">
        <v>2</v>
      </c>
      <c r="H8" s="1">
        <v>3.6710719530102791E-2</v>
      </c>
      <c r="J8" s="1"/>
      <c r="N8" s="1"/>
    </row>
    <row r="9" spans="2:14" x14ac:dyDescent="0.2">
      <c r="B9">
        <f t="shared" si="0"/>
        <v>6</v>
      </c>
      <c r="C9" s="1">
        <v>3.6710719530102791E-2</v>
      </c>
      <c r="D9" s="1">
        <v>0.19076539749279761</v>
      </c>
      <c r="E9" s="1">
        <v>0.49847405900305192</v>
      </c>
      <c r="G9" s="3" t="s">
        <v>2</v>
      </c>
      <c r="H9" s="1">
        <v>7.3421439060205582E-2</v>
      </c>
      <c r="J9" s="1"/>
      <c r="N9" s="1"/>
    </row>
    <row r="10" spans="2:14" x14ac:dyDescent="0.2">
      <c r="B10">
        <f t="shared" si="0"/>
        <v>7</v>
      </c>
      <c r="C10" s="1">
        <v>7.3421439060205582E-2</v>
      </c>
      <c r="D10" s="1">
        <v>0.43977741877580329</v>
      </c>
      <c r="E10" s="1">
        <v>0.89743589743589747</v>
      </c>
      <c r="G10" s="3" t="s">
        <v>2</v>
      </c>
      <c r="H10" s="1">
        <v>0.29137529137529139</v>
      </c>
      <c r="J10" s="1"/>
      <c r="N10" s="1"/>
    </row>
    <row r="11" spans="2:14" x14ac:dyDescent="0.2">
      <c r="B11">
        <f t="shared" si="0"/>
        <v>8</v>
      </c>
      <c r="C11" s="1">
        <v>0.29137529137529139</v>
      </c>
      <c r="D11" s="1">
        <v>0.33667720214374058</v>
      </c>
      <c r="E11" s="1">
        <v>0.5617977528089888</v>
      </c>
      <c r="G11" s="3" t="s">
        <v>2</v>
      </c>
      <c r="H11" s="1">
        <v>0.16589250165892502</v>
      </c>
      <c r="J11" s="1"/>
      <c r="N11" s="1"/>
    </row>
    <row r="12" spans="2:14" x14ac:dyDescent="0.2">
      <c r="B12">
        <f t="shared" si="0"/>
        <v>9</v>
      </c>
      <c r="C12" s="1">
        <v>0.16589250165892502</v>
      </c>
      <c r="D12" s="1">
        <v>0.60822898032200357</v>
      </c>
      <c r="E12" s="1">
        <v>0.62484060188727364</v>
      </c>
      <c r="G12" s="3" t="s">
        <v>2</v>
      </c>
      <c r="H12" s="1">
        <v>0.13881177123820099</v>
      </c>
      <c r="J12" s="1"/>
      <c r="N12" s="1"/>
    </row>
    <row r="13" spans="2:14" x14ac:dyDescent="0.2">
      <c r="B13">
        <f t="shared" si="0"/>
        <v>10</v>
      </c>
      <c r="C13" s="1">
        <v>0.13881177123820099</v>
      </c>
      <c r="D13" s="1">
        <v>0.70402298850574718</v>
      </c>
      <c r="E13" s="1">
        <v>0.56025611708209466</v>
      </c>
      <c r="G13" s="3" t="s">
        <v>2</v>
      </c>
      <c r="H13" s="1">
        <v>4.4326241134751775E-2</v>
      </c>
      <c r="J13" s="1"/>
      <c r="N13" s="1"/>
    </row>
    <row r="14" spans="2:14" x14ac:dyDescent="0.2">
      <c r="B14">
        <f t="shared" si="0"/>
        <v>11</v>
      </c>
      <c r="C14" s="1">
        <v>4.4326241134751775E-2</v>
      </c>
      <c r="D14" s="1">
        <v>0.40124467736652469</v>
      </c>
      <c r="E14" s="1">
        <v>0.72037635989414883</v>
      </c>
      <c r="G14" s="3" t="s">
        <v>2</v>
      </c>
      <c r="H14" s="1">
        <v>9.6974398758727695E-2</v>
      </c>
      <c r="J14" s="1"/>
      <c r="N14" s="1"/>
    </row>
    <row r="15" spans="2:14" x14ac:dyDescent="0.2">
      <c r="B15">
        <f t="shared" si="0"/>
        <v>12</v>
      </c>
      <c r="C15" s="1">
        <v>9.6974398758727695E-2</v>
      </c>
      <c r="D15" s="1">
        <v>0.50297680147813595</v>
      </c>
      <c r="E15" s="1">
        <v>0.56399631675874773</v>
      </c>
      <c r="G15" s="3" t="s">
        <v>2</v>
      </c>
      <c r="H15" s="1">
        <v>0.24038461538461536</v>
      </c>
      <c r="J15" s="1"/>
      <c r="N15" s="1"/>
    </row>
    <row r="16" spans="2:14" x14ac:dyDescent="0.2">
      <c r="B16">
        <f t="shared" si="0"/>
        <v>13</v>
      </c>
      <c r="C16" s="1">
        <v>0.24038461538461536</v>
      </c>
      <c r="D16" s="1">
        <v>0.53018827093702658</v>
      </c>
      <c r="E16" s="1">
        <v>0.65736517306144349</v>
      </c>
      <c r="G16" s="3" t="s">
        <v>2</v>
      </c>
      <c r="H16" s="1">
        <v>0.33244680851063829</v>
      </c>
      <c r="J16" s="1"/>
      <c r="N16" s="1"/>
    </row>
    <row r="17" spans="2:14" x14ac:dyDescent="0.2">
      <c r="B17">
        <f t="shared" si="0"/>
        <v>14</v>
      </c>
      <c r="C17" s="1">
        <v>0.33244680851063829</v>
      </c>
      <c r="D17" s="1">
        <v>0.43594306049822062</v>
      </c>
      <c r="E17" s="1">
        <v>0.39458850056369782</v>
      </c>
      <c r="G17" s="3" t="s">
        <v>2</v>
      </c>
      <c r="H17" s="1">
        <v>0.12042389210019266</v>
      </c>
      <c r="J17" s="1"/>
      <c r="N17" s="1"/>
    </row>
    <row r="18" spans="2:14" x14ac:dyDescent="0.2">
      <c r="B18">
        <f t="shared" si="0"/>
        <v>15</v>
      </c>
      <c r="C18" s="1">
        <v>0.12042389210019266</v>
      </c>
      <c r="D18" s="1">
        <v>0.75268817204301086</v>
      </c>
      <c r="E18" s="1">
        <v>0.92174567343867575</v>
      </c>
      <c r="G18" s="3" t="s">
        <v>2</v>
      </c>
      <c r="H18" s="1">
        <v>3.3342224593224855E-2</v>
      </c>
      <c r="J18" s="1"/>
      <c r="N18" s="1"/>
    </row>
    <row r="19" spans="2:14" x14ac:dyDescent="0.2">
      <c r="B19">
        <f t="shared" si="0"/>
        <v>16</v>
      </c>
      <c r="C19" s="1">
        <v>3.3342224593224855E-2</v>
      </c>
      <c r="D19" s="1">
        <v>0.29701633589847443</v>
      </c>
      <c r="E19" s="1">
        <v>0.9186351706036745</v>
      </c>
      <c r="G19" s="3" t="s">
        <v>2</v>
      </c>
      <c r="H19" s="1">
        <v>0.30303030303030298</v>
      </c>
      <c r="J19" s="1"/>
      <c r="N19" s="1"/>
    </row>
    <row r="20" spans="2:14" x14ac:dyDescent="0.2">
      <c r="B20">
        <f t="shared" si="0"/>
        <v>17</v>
      </c>
      <c r="C20" s="1">
        <v>0.30303030303030298</v>
      </c>
      <c r="D20" s="1">
        <v>0.43710972346119537</v>
      </c>
      <c r="E20" s="1">
        <v>0.65263718700053275</v>
      </c>
      <c r="G20" s="3" t="s">
        <v>2</v>
      </c>
      <c r="H20" s="1">
        <v>0.22202486678507993</v>
      </c>
      <c r="J20" s="1"/>
      <c r="N20" s="1"/>
    </row>
    <row r="21" spans="2:14" x14ac:dyDescent="0.2">
      <c r="B21">
        <f t="shared" si="0"/>
        <v>18</v>
      </c>
      <c r="C21" s="1">
        <v>0.22202486678507993</v>
      </c>
      <c r="D21" s="1">
        <v>0.28860878784309107</v>
      </c>
      <c r="E21" s="1">
        <v>0.55043810379689961</v>
      </c>
      <c r="G21" s="3" t="s">
        <v>2</v>
      </c>
      <c r="H21" s="1">
        <v>0.20292207792207792</v>
      </c>
      <c r="J21" s="1"/>
      <c r="N21" s="1"/>
    </row>
    <row r="22" spans="2:14" x14ac:dyDescent="0.2">
      <c r="B22">
        <f t="shared" si="0"/>
        <v>19</v>
      </c>
      <c r="C22" s="1">
        <v>0.20292207792207792</v>
      </c>
      <c r="D22" s="1">
        <v>0.45161290322580644</v>
      </c>
      <c r="E22" s="1">
        <v>0.83589218696690548</v>
      </c>
      <c r="G22" s="3" t="s">
        <v>2</v>
      </c>
      <c r="H22" s="1">
        <v>0.17946877243359655</v>
      </c>
      <c r="J22" s="1"/>
      <c r="N22" s="1"/>
    </row>
    <row r="23" spans="2:14" x14ac:dyDescent="0.2">
      <c r="B23">
        <f t="shared" si="0"/>
        <v>20</v>
      </c>
      <c r="C23" s="1">
        <v>0.17946877243359655</v>
      </c>
      <c r="D23" s="1">
        <v>1.0082304526749</v>
      </c>
      <c r="E23" s="1">
        <v>1.0161758606387392</v>
      </c>
      <c r="G23" s="3" t="s">
        <v>2</v>
      </c>
      <c r="H23" s="1">
        <v>0.15625</v>
      </c>
      <c r="J23" s="1"/>
      <c r="N23" s="1"/>
    </row>
    <row r="24" spans="2:14" x14ac:dyDescent="0.2">
      <c r="B24">
        <f t="shared" si="0"/>
        <v>21</v>
      </c>
      <c r="C24" s="1">
        <v>0.15625</v>
      </c>
      <c r="D24" s="1">
        <v>0.62484060188727364</v>
      </c>
      <c r="E24" s="1">
        <v>0.4829489453972009</v>
      </c>
      <c r="G24" s="3" t="s">
        <v>2</v>
      </c>
      <c r="H24" s="1">
        <v>0.32552083333333337</v>
      </c>
      <c r="J24" s="1"/>
      <c r="N24" s="1"/>
    </row>
    <row r="25" spans="2:14" x14ac:dyDescent="0.2">
      <c r="B25">
        <f t="shared" si="0"/>
        <v>22</v>
      </c>
      <c r="C25" s="1">
        <v>0.32552083333333337</v>
      </c>
      <c r="D25" s="1">
        <v>0.27885272023674029</v>
      </c>
      <c r="E25" s="1">
        <v>0.8731290092658589</v>
      </c>
      <c r="G25" s="3" t="s">
        <v>2</v>
      </c>
      <c r="H25" s="1">
        <v>0.1249375312343828</v>
      </c>
      <c r="J25" s="1"/>
      <c r="N25" s="1"/>
    </row>
    <row r="26" spans="2:14" x14ac:dyDescent="0.2">
      <c r="B26">
        <f t="shared" si="0"/>
        <v>23</v>
      </c>
      <c r="C26" s="1">
        <v>0.1249375312343828</v>
      </c>
      <c r="D26" s="1">
        <v>0.26378122308354868</v>
      </c>
      <c r="E26" s="1">
        <v>0.98750503829101177</v>
      </c>
      <c r="G26" s="3" t="s">
        <v>2</v>
      </c>
      <c r="H26" s="1">
        <v>9.8463962189838522E-2</v>
      </c>
      <c r="J26" s="1"/>
      <c r="N26" s="1"/>
    </row>
    <row r="27" spans="2:14" x14ac:dyDescent="0.2">
      <c r="B27">
        <f t="shared" si="0"/>
        <v>24</v>
      </c>
      <c r="C27" s="1">
        <v>9.8463962189838522E-2</v>
      </c>
      <c r="D27" s="1">
        <v>0.45880149812734083</v>
      </c>
      <c r="E27" s="1">
        <v>0.75921908893709322</v>
      </c>
      <c r="G27" s="3" t="s">
        <v>2</v>
      </c>
      <c r="H27" s="1">
        <v>0.21739130434782608</v>
      </c>
      <c r="J27" s="1"/>
      <c r="N27" s="1"/>
    </row>
    <row r="28" spans="2:14" x14ac:dyDescent="0.2">
      <c r="B28">
        <f t="shared" si="0"/>
        <v>25</v>
      </c>
      <c r="C28" s="1">
        <v>0.21739130434782608</v>
      </c>
      <c r="D28" s="1">
        <v>0.7</v>
      </c>
      <c r="E28" s="1">
        <v>0.56192660550458717</v>
      </c>
      <c r="G28" s="3" t="s">
        <v>2</v>
      </c>
      <c r="H28" s="1">
        <v>0.18853695324283559</v>
      </c>
      <c r="J28" s="1"/>
      <c r="N28" s="1"/>
    </row>
    <row r="29" spans="2:14" x14ac:dyDescent="0.2">
      <c r="B29">
        <f t="shared" si="0"/>
        <v>26</v>
      </c>
      <c r="C29" s="1">
        <v>0.18853695324283559</v>
      </c>
      <c r="D29" s="1">
        <v>0.45036764705882354</v>
      </c>
      <c r="E29" s="1">
        <v>0.5797444391859915</v>
      </c>
      <c r="G29" s="3" t="s">
        <v>2</v>
      </c>
      <c r="H29" s="1">
        <v>0.15802781289506954</v>
      </c>
      <c r="J29" s="1"/>
      <c r="N29" s="1"/>
    </row>
    <row r="30" spans="2:14" x14ac:dyDescent="0.2">
      <c r="B30">
        <f t="shared" si="0"/>
        <v>27</v>
      </c>
      <c r="C30" s="1">
        <v>0.15802781289506954</v>
      </c>
      <c r="D30" s="1">
        <v>0.84163517691514944</v>
      </c>
      <c r="E30" s="1">
        <v>0.62547868266530504</v>
      </c>
      <c r="G30" s="3" t="s">
        <v>2</v>
      </c>
      <c r="H30" s="1">
        <v>0.27870680044593088</v>
      </c>
      <c r="J30" s="1"/>
      <c r="N30" s="1"/>
    </row>
    <row r="31" spans="2:14" x14ac:dyDescent="0.2">
      <c r="B31">
        <f t="shared" si="0"/>
        <v>28</v>
      </c>
      <c r="C31" s="1">
        <v>0.27870680044593088</v>
      </c>
      <c r="D31" s="1">
        <v>0.95442150370081802</v>
      </c>
      <c r="E31" s="1">
        <v>0.53458433340606593</v>
      </c>
      <c r="G31" s="3" t="s">
        <v>2</v>
      </c>
      <c r="H31" s="1">
        <v>0.1953125</v>
      </c>
      <c r="J31" s="1"/>
      <c r="N31" s="1"/>
    </row>
    <row r="32" spans="2:14" x14ac:dyDescent="0.2">
      <c r="B32">
        <f t="shared" si="0"/>
        <v>29</v>
      </c>
      <c r="C32" s="1">
        <v>0.1953125</v>
      </c>
      <c r="D32" s="1">
        <v>0.25257731958762886</v>
      </c>
      <c r="E32" s="1">
        <v>0.53260869565217395</v>
      </c>
      <c r="G32" s="3" t="s">
        <v>2</v>
      </c>
      <c r="H32" s="1">
        <v>0.14688601645123384</v>
      </c>
      <c r="J32" s="1"/>
      <c r="N32" s="1"/>
    </row>
    <row r="33" spans="2:14" x14ac:dyDescent="0.2">
      <c r="B33">
        <f t="shared" si="0"/>
        <v>30</v>
      </c>
      <c r="C33" s="1">
        <v>0.14688601645123384</v>
      </c>
      <c r="D33" s="1">
        <v>0.36605408635888237</v>
      </c>
      <c r="E33" s="1">
        <v>0.67604856512141276</v>
      </c>
      <c r="G33" t="s">
        <v>1</v>
      </c>
      <c r="H33" s="1">
        <v>0.23498944945328984</v>
      </c>
      <c r="J33" s="1"/>
      <c r="N33" s="1"/>
    </row>
    <row r="34" spans="2:14" x14ac:dyDescent="0.2">
      <c r="B34" t="s">
        <v>4</v>
      </c>
      <c r="C34" s="1">
        <f>AVERAGE(C4:C33)</f>
        <v>0.17661977406159343</v>
      </c>
      <c r="D34" s="1">
        <f>AVERAGE(D4:D33)</f>
        <v>0.48472685667642873</v>
      </c>
      <c r="E34" s="1">
        <f>AVERAGE(E4:E33)</f>
        <v>0.67536984253751497</v>
      </c>
      <c r="G34" t="s">
        <v>1</v>
      </c>
      <c r="H34" s="1">
        <v>0.478515625</v>
      </c>
      <c r="N34" s="1"/>
    </row>
    <row r="35" spans="2:14" x14ac:dyDescent="0.2">
      <c r="B35" t="s">
        <v>5</v>
      </c>
      <c r="C35" s="1">
        <f>STDEV(C4:C33)</f>
        <v>8.9726248429182739E-2</v>
      </c>
      <c r="D35" s="1">
        <f>STDEV(D4:D33)</f>
        <v>0.20982944909132106</v>
      </c>
      <c r="E35" s="1">
        <f>STDEV(E4:E33)</f>
        <v>0.16659565486138531</v>
      </c>
      <c r="G35" t="s">
        <v>1</v>
      </c>
      <c r="H35" s="1">
        <v>0.31295137217140107</v>
      </c>
      <c r="N35" s="1"/>
    </row>
    <row r="36" spans="2:14" x14ac:dyDescent="0.2">
      <c r="G36" t="s">
        <v>1</v>
      </c>
      <c r="H36" s="1">
        <v>0.44626593806921677</v>
      </c>
      <c r="J36" s="1"/>
      <c r="N36" s="1"/>
    </row>
    <row r="37" spans="2:14" x14ac:dyDescent="0.2">
      <c r="G37" t="s">
        <v>1</v>
      </c>
      <c r="H37" s="1">
        <v>0.49266036597627189</v>
      </c>
    </row>
    <row r="38" spans="2:14" x14ac:dyDescent="0.2">
      <c r="G38" t="s">
        <v>1</v>
      </c>
      <c r="H38" s="1">
        <v>0.19076539749279761</v>
      </c>
    </row>
    <row r="39" spans="2:14" x14ac:dyDescent="0.2">
      <c r="G39" t="s">
        <v>1</v>
      </c>
      <c r="H39" s="1">
        <v>0.43977741877580329</v>
      </c>
    </row>
    <row r="40" spans="2:14" x14ac:dyDescent="0.2">
      <c r="G40" t="s">
        <v>1</v>
      </c>
      <c r="H40" s="1">
        <v>0.33667720214374058</v>
      </c>
    </row>
    <row r="41" spans="2:14" x14ac:dyDescent="0.2">
      <c r="G41" t="s">
        <v>1</v>
      </c>
      <c r="H41" s="1">
        <v>0.60822898032200357</v>
      </c>
    </row>
    <row r="42" spans="2:14" x14ac:dyDescent="0.2">
      <c r="G42" t="s">
        <v>1</v>
      </c>
      <c r="H42" s="1">
        <v>0.70402298850574718</v>
      </c>
    </row>
    <row r="43" spans="2:14" x14ac:dyDescent="0.2">
      <c r="G43" t="s">
        <v>1</v>
      </c>
      <c r="H43" s="1">
        <v>0.40124467736652469</v>
      </c>
    </row>
    <row r="44" spans="2:14" x14ac:dyDescent="0.2">
      <c r="G44" t="s">
        <v>1</v>
      </c>
      <c r="H44" s="1">
        <v>0.50297680147813595</v>
      </c>
    </row>
    <row r="45" spans="2:14" x14ac:dyDescent="0.2">
      <c r="G45" t="s">
        <v>1</v>
      </c>
      <c r="H45" s="1">
        <v>0.53018827093702658</v>
      </c>
    </row>
    <row r="46" spans="2:14" x14ac:dyDescent="0.2">
      <c r="G46" t="s">
        <v>1</v>
      </c>
      <c r="H46" s="1">
        <v>0.43594306049822062</v>
      </c>
    </row>
    <row r="47" spans="2:14" x14ac:dyDescent="0.2">
      <c r="G47" t="s">
        <v>1</v>
      </c>
      <c r="H47" s="1">
        <v>0.75268817204301086</v>
      </c>
    </row>
    <row r="48" spans="2:14" x14ac:dyDescent="0.2">
      <c r="G48" t="s">
        <v>1</v>
      </c>
      <c r="H48" s="1">
        <v>0.29701633589847443</v>
      </c>
    </row>
    <row r="49" spans="7:8" x14ac:dyDescent="0.2">
      <c r="G49" t="s">
        <v>1</v>
      </c>
      <c r="H49" s="1">
        <v>0.43710972346119537</v>
      </c>
    </row>
    <row r="50" spans="7:8" x14ac:dyDescent="0.2">
      <c r="G50" t="s">
        <v>1</v>
      </c>
      <c r="H50" s="1">
        <v>0.28860878784309107</v>
      </c>
    </row>
    <row r="51" spans="7:8" x14ac:dyDescent="0.2">
      <c r="G51" t="s">
        <v>1</v>
      </c>
      <c r="H51" s="1">
        <v>0.45161290322580644</v>
      </c>
    </row>
    <row r="52" spans="7:8" x14ac:dyDescent="0.2">
      <c r="G52" t="s">
        <v>1</v>
      </c>
      <c r="H52" s="1">
        <v>1.0082304526749</v>
      </c>
    </row>
    <row r="53" spans="7:8" x14ac:dyDescent="0.2">
      <c r="G53" t="s">
        <v>1</v>
      </c>
      <c r="H53" s="1">
        <v>0.62484060188727364</v>
      </c>
    </row>
    <row r="54" spans="7:8" x14ac:dyDescent="0.2">
      <c r="G54" t="s">
        <v>1</v>
      </c>
      <c r="H54" s="1">
        <v>0.27885272023674029</v>
      </c>
    </row>
    <row r="55" spans="7:8" x14ac:dyDescent="0.2">
      <c r="G55" t="s">
        <v>1</v>
      </c>
      <c r="H55" s="1">
        <v>0.26378122308354868</v>
      </c>
    </row>
    <row r="56" spans="7:8" x14ac:dyDescent="0.2">
      <c r="G56" t="s">
        <v>1</v>
      </c>
      <c r="H56" s="1">
        <v>0.45880149812734083</v>
      </c>
    </row>
    <row r="57" spans="7:8" x14ac:dyDescent="0.2">
      <c r="G57" t="s">
        <v>1</v>
      </c>
      <c r="H57" s="1">
        <v>0.7</v>
      </c>
    </row>
    <row r="58" spans="7:8" x14ac:dyDescent="0.2">
      <c r="G58" t="s">
        <v>1</v>
      </c>
      <c r="H58" s="1">
        <v>0.45036764705882354</v>
      </c>
    </row>
    <row r="59" spans="7:8" x14ac:dyDescent="0.2">
      <c r="G59" t="s">
        <v>1</v>
      </c>
      <c r="H59" s="1">
        <v>0.84163517691514944</v>
      </c>
    </row>
    <row r="60" spans="7:8" x14ac:dyDescent="0.2">
      <c r="G60" t="s">
        <v>1</v>
      </c>
      <c r="H60" s="1">
        <v>0.95442150370081802</v>
      </c>
    </row>
    <row r="61" spans="7:8" x14ac:dyDescent="0.2">
      <c r="G61" t="s">
        <v>1</v>
      </c>
      <c r="H61" s="1">
        <v>0.25257731958762886</v>
      </c>
    </row>
    <row r="62" spans="7:8" x14ac:dyDescent="0.2">
      <c r="G62" t="s">
        <v>1</v>
      </c>
      <c r="H62" s="1">
        <v>0.36605408635888237</v>
      </c>
    </row>
    <row r="63" spans="7:8" x14ac:dyDescent="0.2">
      <c r="G63" t="s">
        <v>3</v>
      </c>
      <c r="H63" s="1">
        <v>0.45845808383233533</v>
      </c>
    </row>
    <row r="64" spans="7:8" x14ac:dyDescent="0.2">
      <c r="G64" t="s">
        <v>3</v>
      </c>
      <c r="H64" s="1">
        <v>0.61650729743331656</v>
      </c>
    </row>
    <row r="65" spans="7:8" x14ac:dyDescent="0.2">
      <c r="G65" t="s">
        <v>3</v>
      </c>
      <c r="H65" s="1">
        <v>0.67661346287300483</v>
      </c>
    </row>
    <row r="66" spans="7:8" x14ac:dyDescent="0.2">
      <c r="G66" t="s">
        <v>3</v>
      </c>
      <c r="H66" s="1">
        <v>0.84337349397590355</v>
      </c>
    </row>
    <row r="67" spans="7:8" x14ac:dyDescent="0.2">
      <c r="G67" t="s">
        <v>3</v>
      </c>
      <c r="H67" s="1">
        <v>0.67829457364341095</v>
      </c>
    </row>
    <row r="68" spans="7:8" x14ac:dyDescent="0.2">
      <c r="G68" t="s">
        <v>3</v>
      </c>
      <c r="H68" s="1">
        <v>0.49847405900305192</v>
      </c>
    </row>
    <row r="69" spans="7:8" x14ac:dyDescent="0.2">
      <c r="G69" t="s">
        <v>3</v>
      </c>
      <c r="H69" s="1">
        <v>0.89743589743589747</v>
      </c>
    </row>
    <row r="70" spans="7:8" x14ac:dyDescent="0.2">
      <c r="G70" t="s">
        <v>3</v>
      </c>
      <c r="H70" s="1">
        <v>0.5617977528089888</v>
      </c>
    </row>
    <row r="71" spans="7:8" x14ac:dyDescent="0.2">
      <c r="G71" t="s">
        <v>3</v>
      </c>
      <c r="H71" s="1">
        <v>0.62484060188727364</v>
      </c>
    </row>
    <row r="72" spans="7:8" x14ac:dyDescent="0.2">
      <c r="G72" t="s">
        <v>3</v>
      </c>
      <c r="H72" s="1">
        <v>0.56025611708209466</v>
      </c>
    </row>
    <row r="73" spans="7:8" x14ac:dyDescent="0.2">
      <c r="G73" t="s">
        <v>3</v>
      </c>
      <c r="H73" s="1">
        <v>0.72037635989414883</v>
      </c>
    </row>
    <row r="74" spans="7:8" x14ac:dyDescent="0.2">
      <c r="G74" t="s">
        <v>3</v>
      </c>
      <c r="H74" s="1">
        <v>0.56399631675874773</v>
      </c>
    </row>
    <row r="75" spans="7:8" x14ac:dyDescent="0.2">
      <c r="G75" t="s">
        <v>3</v>
      </c>
      <c r="H75" s="1">
        <v>0.65736517306144349</v>
      </c>
    </row>
    <row r="76" spans="7:8" x14ac:dyDescent="0.2">
      <c r="G76" t="s">
        <v>3</v>
      </c>
      <c r="H76" s="1">
        <v>0.39458850056369782</v>
      </c>
    </row>
    <row r="77" spans="7:8" x14ac:dyDescent="0.2">
      <c r="G77" t="s">
        <v>3</v>
      </c>
      <c r="H77" s="1">
        <v>0.92174567343867575</v>
      </c>
    </row>
    <row r="78" spans="7:8" x14ac:dyDescent="0.2">
      <c r="G78" t="s">
        <v>3</v>
      </c>
      <c r="H78" s="1">
        <v>0.9186351706036745</v>
      </c>
    </row>
    <row r="79" spans="7:8" x14ac:dyDescent="0.2">
      <c r="G79" t="s">
        <v>3</v>
      </c>
      <c r="H79" s="1">
        <v>0.65263718700053275</v>
      </c>
    </row>
    <row r="80" spans="7:8" x14ac:dyDescent="0.2">
      <c r="G80" t="s">
        <v>3</v>
      </c>
      <c r="H80" s="1">
        <v>0.55043810379689961</v>
      </c>
    </row>
    <row r="81" spans="7:8" x14ac:dyDescent="0.2">
      <c r="G81" t="s">
        <v>3</v>
      </c>
      <c r="H81" s="1">
        <v>0.83589218696690548</v>
      </c>
    </row>
    <row r="82" spans="7:8" x14ac:dyDescent="0.2">
      <c r="G82" t="s">
        <v>3</v>
      </c>
      <c r="H82" s="1">
        <v>1.0161758606387392</v>
      </c>
    </row>
    <row r="83" spans="7:8" x14ac:dyDescent="0.2">
      <c r="G83" t="s">
        <v>3</v>
      </c>
      <c r="H83" s="1">
        <v>0.4829489453972009</v>
      </c>
    </row>
    <row r="84" spans="7:8" x14ac:dyDescent="0.2">
      <c r="G84" t="s">
        <v>3</v>
      </c>
      <c r="H84" s="1">
        <v>0.8731290092658589</v>
      </c>
    </row>
    <row r="85" spans="7:8" x14ac:dyDescent="0.2">
      <c r="G85" t="s">
        <v>3</v>
      </c>
      <c r="H85" s="1">
        <v>0.98750503829101177</v>
      </c>
    </row>
    <row r="86" spans="7:8" x14ac:dyDescent="0.2">
      <c r="G86" t="s">
        <v>3</v>
      </c>
      <c r="H86" s="1">
        <v>0.75921908893709322</v>
      </c>
    </row>
    <row r="87" spans="7:8" x14ac:dyDescent="0.2">
      <c r="G87" t="s">
        <v>3</v>
      </c>
      <c r="H87" s="1">
        <v>0.56192660550458717</v>
      </c>
    </row>
    <row r="88" spans="7:8" x14ac:dyDescent="0.2">
      <c r="G88" t="s">
        <v>3</v>
      </c>
      <c r="H88" s="1">
        <v>0.5797444391859915</v>
      </c>
    </row>
    <row r="89" spans="7:8" x14ac:dyDescent="0.2">
      <c r="G89" t="s">
        <v>3</v>
      </c>
      <c r="H89" s="1">
        <v>0.62547868266530504</v>
      </c>
    </row>
    <row r="90" spans="7:8" x14ac:dyDescent="0.2">
      <c r="G90" t="s">
        <v>3</v>
      </c>
      <c r="H90" s="1">
        <v>0.53458433340606593</v>
      </c>
    </row>
    <row r="91" spans="7:8" x14ac:dyDescent="0.2">
      <c r="G91" t="s">
        <v>3</v>
      </c>
      <c r="H91" s="1">
        <v>0.53260869565217395</v>
      </c>
    </row>
    <row r="92" spans="7:8" x14ac:dyDescent="0.2">
      <c r="G92" t="s">
        <v>3</v>
      </c>
      <c r="H92" s="1">
        <v>0.67604856512141276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5F95-8924-3E41-AFE6-E71612DCF3D0}">
  <dimension ref="B2:H92"/>
  <sheetViews>
    <sheetView tabSelected="1" zoomScale="170" zoomScaleNormal="170" workbookViewId="0">
      <selection activeCell="H63" sqref="H63"/>
    </sheetView>
  </sheetViews>
  <sheetFormatPr baseColWidth="10" defaultRowHeight="16" x14ac:dyDescent="0.2"/>
  <cols>
    <col min="17" max="17" width="12.6640625" bestFit="1" customWidth="1"/>
  </cols>
  <sheetData>
    <row r="2" spans="2:8" x14ac:dyDescent="0.2">
      <c r="C2" t="s">
        <v>10</v>
      </c>
      <c r="G2" t="s">
        <v>7</v>
      </c>
    </row>
    <row r="3" spans="2:8" x14ac:dyDescent="0.2">
      <c r="B3" t="s">
        <v>8</v>
      </c>
      <c r="C3" t="s">
        <v>2</v>
      </c>
      <c r="D3" t="s">
        <v>1</v>
      </c>
      <c r="E3" t="s">
        <v>3</v>
      </c>
      <c r="G3" t="s">
        <v>2</v>
      </c>
      <c r="H3">
        <v>0.57399999999999995</v>
      </c>
    </row>
    <row r="4" spans="2:8" x14ac:dyDescent="0.2">
      <c r="B4">
        <v>1</v>
      </c>
      <c r="C4">
        <v>0.57399999999999995</v>
      </c>
      <c r="D4">
        <v>0.104</v>
      </c>
      <c r="E4">
        <v>34.415999999999997</v>
      </c>
      <c r="G4" t="s">
        <v>2</v>
      </c>
      <c r="H4">
        <v>0.22500000000000001</v>
      </c>
    </row>
    <row r="5" spans="2:8" x14ac:dyDescent="0.2">
      <c r="B5">
        <f>B4+1</f>
        <v>2</v>
      </c>
      <c r="C5">
        <v>0.22500000000000001</v>
      </c>
      <c r="D5">
        <v>21.318999999999999</v>
      </c>
      <c r="E5">
        <v>21.087</v>
      </c>
      <c r="G5" t="s">
        <v>2</v>
      </c>
      <c r="H5">
        <v>0.45800000000000002</v>
      </c>
    </row>
    <row r="6" spans="2:8" x14ac:dyDescent="0.2">
      <c r="B6">
        <f t="shared" ref="B6:B33" si="0">B5+1</f>
        <v>3</v>
      </c>
      <c r="C6">
        <v>0.45800000000000002</v>
      </c>
      <c r="D6">
        <v>5.5049999999999999</v>
      </c>
      <c r="E6">
        <v>32.700000000000003</v>
      </c>
      <c r="G6" t="s">
        <v>2</v>
      </c>
      <c r="H6">
        <v>0.56399999999999995</v>
      </c>
    </row>
    <row r="7" spans="2:8" x14ac:dyDescent="0.2">
      <c r="B7">
        <f t="shared" si="0"/>
        <v>4</v>
      </c>
      <c r="C7">
        <v>0.56399999999999995</v>
      </c>
      <c r="D7">
        <v>5.4589999999999996</v>
      </c>
      <c r="E7">
        <v>38.466000000000001</v>
      </c>
      <c r="G7" t="s">
        <v>2</v>
      </c>
      <c r="H7">
        <v>0.53200000000000003</v>
      </c>
    </row>
    <row r="8" spans="2:8" x14ac:dyDescent="0.2">
      <c r="B8">
        <f t="shared" si="0"/>
        <v>5</v>
      </c>
      <c r="C8">
        <v>0.53200000000000003</v>
      </c>
      <c r="D8">
        <v>0.624</v>
      </c>
      <c r="E8">
        <v>46.075000000000003</v>
      </c>
      <c r="G8" t="s">
        <v>2</v>
      </c>
      <c r="H8">
        <v>0.52100000000000002</v>
      </c>
    </row>
    <row r="9" spans="2:8" x14ac:dyDescent="0.2">
      <c r="B9">
        <f t="shared" si="0"/>
        <v>6</v>
      </c>
      <c r="C9">
        <v>0.52100000000000002</v>
      </c>
      <c r="D9">
        <v>1.552</v>
      </c>
      <c r="E9">
        <v>17.242999999999999</v>
      </c>
      <c r="G9" t="s">
        <v>2</v>
      </c>
      <c r="H9">
        <v>0.38700000000000001</v>
      </c>
    </row>
    <row r="10" spans="2:8" x14ac:dyDescent="0.2">
      <c r="B10">
        <f t="shared" si="0"/>
        <v>7</v>
      </c>
      <c r="C10">
        <v>0.38700000000000001</v>
      </c>
      <c r="D10">
        <v>4.3120000000000003</v>
      </c>
      <c r="E10">
        <v>28.768999999999998</v>
      </c>
      <c r="G10" t="s">
        <v>2</v>
      </c>
      <c r="H10">
        <v>0.255</v>
      </c>
    </row>
    <row r="11" spans="2:8" x14ac:dyDescent="0.2">
      <c r="B11">
        <f t="shared" si="0"/>
        <v>8</v>
      </c>
      <c r="C11">
        <v>0.255</v>
      </c>
      <c r="D11">
        <v>18.248999999999999</v>
      </c>
      <c r="E11">
        <v>37.473999999999997</v>
      </c>
      <c r="G11" t="s">
        <v>2</v>
      </c>
      <c r="H11">
        <v>0.311</v>
      </c>
    </row>
    <row r="12" spans="2:8" x14ac:dyDescent="0.2">
      <c r="B12">
        <f t="shared" si="0"/>
        <v>9</v>
      </c>
      <c r="C12">
        <v>0.311</v>
      </c>
      <c r="D12">
        <v>3.746</v>
      </c>
      <c r="E12">
        <v>23.466999999999999</v>
      </c>
      <c r="G12" t="s">
        <v>2</v>
      </c>
      <c r="H12">
        <v>0.38300000000000001</v>
      </c>
    </row>
    <row r="13" spans="2:8" x14ac:dyDescent="0.2">
      <c r="B13">
        <f t="shared" si="0"/>
        <v>10</v>
      </c>
      <c r="C13">
        <v>0.38300000000000001</v>
      </c>
      <c r="D13">
        <v>7.6740000000000004</v>
      </c>
      <c r="E13">
        <v>23.991</v>
      </c>
      <c r="G13" t="s">
        <v>2</v>
      </c>
      <c r="H13">
        <v>0.28399999999999997</v>
      </c>
    </row>
    <row r="14" spans="2:8" x14ac:dyDescent="0.2">
      <c r="B14">
        <f t="shared" si="0"/>
        <v>11</v>
      </c>
      <c r="C14">
        <v>0.28399999999999997</v>
      </c>
      <c r="D14">
        <v>22.355</v>
      </c>
      <c r="E14">
        <v>16.082999999999998</v>
      </c>
      <c r="G14" t="s">
        <v>2</v>
      </c>
      <c r="H14">
        <v>0.53500000000000003</v>
      </c>
    </row>
    <row r="15" spans="2:8" x14ac:dyDescent="0.2">
      <c r="B15">
        <f t="shared" si="0"/>
        <v>12</v>
      </c>
      <c r="C15">
        <v>0.53500000000000003</v>
      </c>
      <c r="D15">
        <v>81.588999999999999</v>
      </c>
      <c r="E15">
        <v>34.771999999999998</v>
      </c>
      <c r="G15" t="s">
        <v>2</v>
      </c>
      <c r="H15">
        <v>1.679</v>
      </c>
    </row>
    <row r="16" spans="2:8" x14ac:dyDescent="0.2">
      <c r="B16">
        <f t="shared" si="0"/>
        <v>13</v>
      </c>
      <c r="C16">
        <v>1.679</v>
      </c>
      <c r="D16">
        <v>13.19</v>
      </c>
      <c r="E16">
        <v>34.881999999999998</v>
      </c>
      <c r="G16" t="s">
        <v>2</v>
      </c>
      <c r="H16">
        <v>0.84499999999999997</v>
      </c>
    </row>
    <row r="17" spans="2:8" x14ac:dyDescent="0.2">
      <c r="B17">
        <f t="shared" si="0"/>
        <v>14</v>
      </c>
      <c r="C17">
        <v>0.84499999999999997</v>
      </c>
      <c r="D17">
        <v>24.189</v>
      </c>
      <c r="E17">
        <v>15.015000000000001</v>
      </c>
      <c r="G17" t="s">
        <v>2</v>
      </c>
      <c r="H17">
        <v>1.2270000000000001</v>
      </c>
    </row>
    <row r="18" spans="2:8" x14ac:dyDescent="0.2">
      <c r="B18">
        <f t="shared" si="0"/>
        <v>15</v>
      </c>
      <c r="C18">
        <v>1.2270000000000001</v>
      </c>
      <c r="D18">
        <v>15.638999999999999</v>
      </c>
      <c r="E18">
        <v>20.073</v>
      </c>
      <c r="G18" t="s">
        <v>2</v>
      </c>
      <c r="H18">
        <v>1.881</v>
      </c>
    </row>
    <row r="19" spans="2:8" x14ac:dyDescent="0.2">
      <c r="B19">
        <f t="shared" si="0"/>
        <v>16</v>
      </c>
      <c r="C19">
        <v>1.881</v>
      </c>
      <c r="D19">
        <v>13.747999999999999</v>
      </c>
      <c r="E19">
        <v>32.543999999999997</v>
      </c>
      <c r="G19" t="s">
        <v>2</v>
      </c>
      <c r="H19">
        <v>0.86299999999999999</v>
      </c>
    </row>
    <row r="20" spans="2:8" x14ac:dyDescent="0.2">
      <c r="B20">
        <f t="shared" si="0"/>
        <v>17</v>
      </c>
      <c r="C20">
        <v>0.86299999999999999</v>
      </c>
      <c r="D20">
        <v>9.8960000000000008</v>
      </c>
      <c r="E20">
        <v>36.476999999999997</v>
      </c>
      <c r="G20" t="s">
        <v>2</v>
      </c>
      <c r="H20">
        <v>0.74199999999999999</v>
      </c>
    </row>
    <row r="21" spans="2:8" x14ac:dyDescent="0.2">
      <c r="B21">
        <f t="shared" si="0"/>
        <v>18</v>
      </c>
      <c r="C21">
        <v>0.74199999999999999</v>
      </c>
      <c r="D21">
        <v>10.260999999999999</v>
      </c>
      <c r="E21">
        <v>28.388000000000002</v>
      </c>
      <c r="G21" t="s">
        <v>2</v>
      </c>
      <c r="H21">
        <v>1.6180000000000001</v>
      </c>
    </row>
    <row r="22" spans="2:8" x14ac:dyDescent="0.2">
      <c r="B22">
        <f>B21+1</f>
        <v>19</v>
      </c>
      <c r="C22">
        <v>1.6180000000000001</v>
      </c>
      <c r="D22">
        <v>4.3920000000000003</v>
      </c>
      <c r="E22">
        <v>36.548999999999999</v>
      </c>
      <c r="G22" t="s">
        <v>2</v>
      </c>
      <c r="H22">
        <v>0.54700000000000004</v>
      </c>
    </row>
    <row r="23" spans="2:8" x14ac:dyDescent="0.2">
      <c r="B23">
        <f t="shared" si="0"/>
        <v>20</v>
      </c>
      <c r="C23">
        <v>0.54700000000000004</v>
      </c>
      <c r="D23">
        <v>1.167</v>
      </c>
      <c r="E23">
        <v>37.082999999999998</v>
      </c>
      <c r="G23" t="s">
        <v>2</v>
      </c>
      <c r="H23">
        <v>0.11700000000000001</v>
      </c>
    </row>
    <row r="24" spans="2:8" x14ac:dyDescent="0.2">
      <c r="B24">
        <f t="shared" si="0"/>
        <v>21</v>
      </c>
      <c r="C24">
        <v>0.11700000000000001</v>
      </c>
      <c r="D24">
        <v>2.7770000000000001</v>
      </c>
      <c r="E24">
        <v>37.637999999999998</v>
      </c>
      <c r="G24" t="s">
        <v>2</v>
      </c>
      <c r="H24">
        <v>0.79400000000000004</v>
      </c>
    </row>
    <row r="25" spans="2:8" x14ac:dyDescent="0.2">
      <c r="B25">
        <f t="shared" si="0"/>
        <v>22</v>
      </c>
      <c r="C25">
        <v>0.79400000000000004</v>
      </c>
      <c r="D25">
        <v>14.297000000000001</v>
      </c>
      <c r="E25">
        <v>32.161000000000001</v>
      </c>
      <c r="G25" t="s">
        <v>2</v>
      </c>
      <c r="H25">
        <v>1.43</v>
      </c>
    </row>
    <row r="26" spans="2:8" x14ac:dyDescent="0.2">
      <c r="B26">
        <f t="shared" si="0"/>
        <v>23</v>
      </c>
      <c r="C26">
        <v>1.43</v>
      </c>
      <c r="D26">
        <v>12.927</v>
      </c>
      <c r="E26">
        <v>24.986999999999998</v>
      </c>
      <c r="G26" t="s">
        <v>2</v>
      </c>
      <c r="H26">
        <v>5.8999999999999997E-2</v>
      </c>
    </row>
    <row r="27" spans="2:8" x14ac:dyDescent="0.2">
      <c r="B27">
        <f t="shared" si="0"/>
        <v>24</v>
      </c>
      <c r="C27">
        <v>5.8999999999999997E-2</v>
      </c>
      <c r="D27">
        <v>8.3960000000000008</v>
      </c>
      <c r="E27">
        <v>48.838999999999999</v>
      </c>
      <c r="G27" t="s">
        <v>2</v>
      </c>
      <c r="H27">
        <v>0.40600000000000003</v>
      </c>
    </row>
    <row r="28" spans="2:8" x14ac:dyDescent="0.2">
      <c r="B28">
        <f t="shared" si="0"/>
        <v>25</v>
      </c>
      <c r="C28">
        <v>0.40600000000000003</v>
      </c>
      <c r="D28">
        <v>0.91800000000000004</v>
      </c>
      <c r="E28">
        <v>39.664000000000001</v>
      </c>
      <c r="G28" t="s">
        <v>2</v>
      </c>
      <c r="H28">
        <v>1.766</v>
      </c>
    </row>
    <row r="29" spans="2:8" x14ac:dyDescent="0.2">
      <c r="B29">
        <f t="shared" si="0"/>
        <v>26</v>
      </c>
      <c r="C29">
        <v>1.766</v>
      </c>
      <c r="D29">
        <v>10.849</v>
      </c>
      <c r="E29">
        <v>29.574999999999999</v>
      </c>
      <c r="G29" t="s">
        <v>2</v>
      </c>
      <c r="H29">
        <v>2.6760000000000002</v>
      </c>
    </row>
    <row r="30" spans="2:8" x14ac:dyDescent="0.2">
      <c r="B30">
        <f t="shared" si="0"/>
        <v>27</v>
      </c>
      <c r="C30">
        <v>2.6760000000000002</v>
      </c>
      <c r="D30">
        <v>2.069</v>
      </c>
      <c r="E30">
        <v>13.823</v>
      </c>
      <c r="G30" t="s">
        <v>2</v>
      </c>
      <c r="H30">
        <v>1.6120000000000001</v>
      </c>
    </row>
    <row r="31" spans="2:8" x14ac:dyDescent="0.2">
      <c r="B31">
        <f t="shared" si="0"/>
        <v>28</v>
      </c>
      <c r="C31">
        <v>1.6120000000000001</v>
      </c>
      <c r="D31">
        <v>17.553000000000001</v>
      </c>
      <c r="E31">
        <v>32.369</v>
      </c>
      <c r="G31" t="s">
        <v>2</v>
      </c>
      <c r="H31">
        <v>0.158</v>
      </c>
    </row>
    <row r="32" spans="2:8" x14ac:dyDescent="0.2">
      <c r="B32">
        <f t="shared" si="0"/>
        <v>29</v>
      </c>
      <c r="C32">
        <v>0.158</v>
      </c>
      <c r="D32">
        <v>14.996</v>
      </c>
      <c r="E32">
        <v>37.359000000000002</v>
      </c>
      <c r="G32" t="s">
        <v>2</v>
      </c>
      <c r="H32">
        <v>1.1659999999999999</v>
      </c>
    </row>
    <row r="33" spans="2:8" x14ac:dyDescent="0.2">
      <c r="B33">
        <f t="shared" si="0"/>
        <v>30</v>
      </c>
      <c r="C33">
        <v>1.1659999999999999</v>
      </c>
      <c r="D33">
        <v>17.91</v>
      </c>
      <c r="E33">
        <v>13.635</v>
      </c>
      <c r="G33" t="s">
        <v>1</v>
      </c>
      <c r="H33">
        <v>0.104</v>
      </c>
    </row>
    <row r="34" spans="2:8" x14ac:dyDescent="0.2">
      <c r="B34" t="s">
        <v>9</v>
      </c>
      <c r="C34">
        <f>AVERAGE(C4:C33)</f>
        <v>0.82050000000000023</v>
      </c>
      <c r="D34">
        <f>AVERAGE(D4:D33)</f>
        <v>12.255400000000002</v>
      </c>
      <c r="E34">
        <f>AVERAGE(E4:E33)</f>
        <v>30.186799999999998</v>
      </c>
      <c r="G34" t="s">
        <v>1</v>
      </c>
      <c r="H34">
        <v>21.318999999999999</v>
      </c>
    </row>
    <row r="35" spans="2:8" x14ac:dyDescent="0.2">
      <c r="B35" t="s">
        <v>5</v>
      </c>
      <c r="C35">
        <f>STDEV(C4:C33)</f>
        <v>0.64327458340522992</v>
      </c>
      <c r="D35">
        <f t="shared" ref="D35:E35" si="1">STDEV(D4:D33)</f>
        <v>14.896723779130904</v>
      </c>
      <c r="E35">
        <f t="shared" si="1"/>
        <v>9.4093325953361511</v>
      </c>
      <c r="G35" t="s">
        <v>1</v>
      </c>
      <c r="H35">
        <v>5.5049999999999999</v>
      </c>
    </row>
    <row r="36" spans="2:8" x14ac:dyDescent="0.2">
      <c r="G36" t="s">
        <v>1</v>
      </c>
      <c r="H36">
        <v>5.4589999999999996</v>
      </c>
    </row>
    <row r="37" spans="2:8" x14ac:dyDescent="0.2">
      <c r="G37" t="s">
        <v>1</v>
      </c>
      <c r="H37">
        <v>0.624</v>
      </c>
    </row>
    <row r="38" spans="2:8" x14ac:dyDescent="0.2">
      <c r="G38" t="s">
        <v>1</v>
      </c>
      <c r="H38">
        <v>1.552</v>
      </c>
    </row>
    <row r="39" spans="2:8" x14ac:dyDescent="0.2">
      <c r="G39" t="s">
        <v>1</v>
      </c>
      <c r="H39">
        <v>4.3120000000000003</v>
      </c>
    </row>
    <row r="40" spans="2:8" x14ac:dyDescent="0.2">
      <c r="G40" t="s">
        <v>1</v>
      </c>
      <c r="H40">
        <v>18.248999999999999</v>
      </c>
    </row>
    <row r="41" spans="2:8" x14ac:dyDescent="0.2">
      <c r="G41" t="s">
        <v>1</v>
      </c>
      <c r="H41">
        <v>3.746</v>
      </c>
    </row>
    <row r="42" spans="2:8" x14ac:dyDescent="0.2">
      <c r="G42" t="s">
        <v>1</v>
      </c>
      <c r="H42">
        <v>7.6740000000000004</v>
      </c>
    </row>
    <row r="43" spans="2:8" x14ac:dyDescent="0.2">
      <c r="G43" t="s">
        <v>1</v>
      </c>
      <c r="H43">
        <v>22.355</v>
      </c>
    </row>
    <row r="44" spans="2:8" x14ac:dyDescent="0.2">
      <c r="G44" t="s">
        <v>1</v>
      </c>
      <c r="H44">
        <v>81.588999999999999</v>
      </c>
    </row>
    <row r="45" spans="2:8" x14ac:dyDescent="0.2">
      <c r="G45" t="s">
        <v>1</v>
      </c>
      <c r="H45">
        <v>13.19</v>
      </c>
    </row>
    <row r="46" spans="2:8" x14ac:dyDescent="0.2">
      <c r="G46" t="s">
        <v>1</v>
      </c>
      <c r="H46">
        <v>24.189</v>
      </c>
    </row>
    <row r="47" spans="2:8" x14ac:dyDescent="0.2">
      <c r="G47" t="s">
        <v>1</v>
      </c>
      <c r="H47">
        <v>15.638999999999999</v>
      </c>
    </row>
    <row r="48" spans="2:8" x14ac:dyDescent="0.2">
      <c r="G48" t="s">
        <v>1</v>
      </c>
      <c r="H48">
        <v>13.747999999999999</v>
      </c>
    </row>
    <row r="49" spans="7:8" x14ac:dyDescent="0.2">
      <c r="G49" t="s">
        <v>1</v>
      </c>
      <c r="H49">
        <v>9.8960000000000008</v>
      </c>
    </row>
    <row r="50" spans="7:8" x14ac:dyDescent="0.2">
      <c r="G50" t="s">
        <v>1</v>
      </c>
      <c r="H50">
        <v>10.260999999999999</v>
      </c>
    </row>
    <row r="51" spans="7:8" x14ac:dyDescent="0.2">
      <c r="G51" t="s">
        <v>1</v>
      </c>
      <c r="H51">
        <v>4.3920000000000003</v>
      </c>
    </row>
    <row r="52" spans="7:8" x14ac:dyDescent="0.2">
      <c r="G52" t="s">
        <v>1</v>
      </c>
      <c r="H52">
        <v>1.167</v>
      </c>
    </row>
    <row r="53" spans="7:8" x14ac:dyDescent="0.2">
      <c r="G53" t="s">
        <v>1</v>
      </c>
      <c r="H53">
        <v>2.7770000000000001</v>
      </c>
    </row>
    <row r="54" spans="7:8" x14ac:dyDescent="0.2">
      <c r="G54" t="s">
        <v>1</v>
      </c>
      <c r="H54">
        <v>14.297000000000001</v>
      </c>
    </row>
    <row r="55" spans="7:8" x14ac:dyDescent="0.2">
      <c r="G55" t="s">
        <v>1</v>
      </c>
      <c r="H55">
        <v>12.927</v>
      </c>
    </row>
    <row r="56" spans="7:8" x14ac:dyDescent="0.2">
      <c r="G56" t="s">
        <v>1</v>
      </c>
      <c r="H56">
        <v>8.3960000000000008</v>
      </c>
    </row>
    <row r="57" spans="7:8" x14ac:dyDescent="0.2">
      <c r="G57" t="s">
        <v>1</v>
      </c>
      <c r="H57">
        <v>0.91800000000000004</v>
      </c>
    </row>
    <row r="58" spans="7:8" x14ac:dyDescent="0.2">
      <c r="G58" t="s">
        <v>1</v>
      </c>
      <c r="H58">
        <v>10.849</v>
      </c>
    </row>
    <row r="59" spans="7:8" x14ac:dyDescent="0.2">
      <c r="G59" t="s">
        <v>1</v>
      </c>
      <c r="H59">
        <v>2.069</v>
      </c>
    </row>
    <row r="60" spans="7:8" x14ac:dyDescent="0.2">
      <c r="G60" t="s">
        <v>1</v>
      </c>
      <c r="H60">
        <v>17.553000000000001</v>
      </c>
    </row>
    <row r="61" spans="7:8" x14ac:dyDescent="0.2">
      <c r="G61" t="s">
        <v>1</v>
      </c>
      <c r="H61">
        <v>14.996</v>
      </c>
    </row>
    <row r="62" spans="7:8" x14ac:dyDescent="0.2">
      <c r="G62" t="s">
        <v>1</v>
      </c>
      <c r="H62">
        <v>17.91</v>
      </c>
    </row>
    <row r="63" spans="7:8" x14ac:dyDescent="0.2">
      <c r="G63" t="s">
        <v>3</v>
      </c>
      <c r="H63">
        <v>34.415999999999997</v>
      </c>
    </row>
    <row r="64" spans="7:8" x14ac:dyDescent="0.2">
      <c r="G64" t="s">
        <v>3</v>
      </c>
      <c r="H64">
        <v>21.087</v>
      </c>
    </row>
    <row r="65" spans="7:8" x14ac:dyDescent="0.2">
      <c r="G65" t="s">
        <v>3</v>
      </c>
      <c r="H65">
        <v>32.700000000000003</v>
      </c>
    </row>
    <row r="66" spans="7:8" x14ac:dyDescent="0.2">
      <c r="G66" t="s">
        <v>3</v>
      </c>
      <c r="H66">
        <v>38.466000000000001</v>
      </c>
    </row>
    <row r="67" spans="7:8" x14ac:dyDescent="0.2">
      <c r="G67" t="s">
        <v>3</v>
      </c>
      <c r="H67">
        <v>46.075000000000003</v>
      </c>
    </row>
    <row r="68" spans="7:8" x14ac:dyDescent="0.2">
      <c r="G68" t="s">
        <v>3</v>
      </c>
      <c r="H68">
        <v>17.242999999999999</v>
      </c>
    </row>
    <row r="69" spans="7:8" x14ac:dyDescent="0.2">
      <c r="G69" t="s">
        <v>3</v>
      </c>
      <c r="H69">
        <v>28.768999999999998</v>
      </c>
    </row>
    <row r="70" spans="7:8" x14ac:dyDescent="0.2">
      <c r="G70" t="s">
        <v>3</v>
      </c>
      <c r="H70">
        <v>37.473999999999997</v>
      </c>
    </row>
    <row r="71" spans="7:8" x14ac:dyDescent="0.2">
      <c r="G71" t="s">
        <v>3</v>
      </c>
      <c r="H71">
        <v>23.466999999999999</v>
      </c>
    </row>
    <row r="72" spans="7:8" x14ac:dyDescent="0.2">
      <c r="G72" t="s">
        <v>3</v>
      </c>
      <c r="H72">
        <v>23.991</v>
      </c>
    </row>
    <row r="73" spans="7:8" x14ac:dyDescent="0.2">
      <c r="G73" t="s">
        <v>3</v>
      </c>
      <c r="H73">
        <v>16.082999999999998</v>
      </c>
    </row>
    <row r="74" spans="7:8" x14ac:dyDescent="0.2">
      <c r="G74" t="s">
        <v>3</v>
      </c>
      <c r="H74">
        <v>34.771999999999998</v>
      </c>
    </row>
    <row r="75" spans="7:8" x14ac:dyDescent="0.2">
      <c r="G75" t="s">
        <v>3</v>
      </c>
      <c r="H75">
        <v>34.881999999999998</v>
      </c>
    </row>
    <row r="76" spans="7:8" x14ac:dyDescent="0.2">
      <c r="G76" t="s">
        <v>3</v>
      </c>
      <c r="H76">
        <v>15.015000000000001</v>
      </c>
    </row>
    <row r="77" spans="7:8" x14ac:dyDescent="0.2">
      <c r="G77" t="s">
        <v>3</v>
      </c>
      <c r="H77">
        <v>20.073</v>
      </c>
    </row>
    <row r="78" spans="7:8" x14ac:dyDescent="0.2">
      <c r="G78" t="s">
        <v>3</v>
      </c>
      <c r="H78">
        <v>32.543999999999997</v>
      </c>
    </row>
    <row r="79" spans="7:8" x14ac:dyDescent="0.2">
      <c r="G79" t="s">
        <v>3</v>
      </c>
      <c r="H79">
        <v>36.476999999999997</v>
      </c>
    </row>
    <row r="80" spans="7:8" x14ac:dyDescent="0.2">
      <c r="G80" t="s">
        <v>3</v>
      </c>
      <c r="H80">
        <v>28.388000000000002</v>
      </c>
    </row>
    <row r="81" spans="7:8" x14ac:dyDescent="0.2">
      <c r="G81" t="s">
        <v>3</v>
      </c>
      <c r="H81">
        <v>36.548999999999999</v>
      </c>
    </row>
    <row r="82" spans="7:8" x14ac:dyDescent="0.2">
      <c r="G82" t="s">
        <v>3</v>
      </c>
      <c r="H82">
        <v>37.082999999999998</v>
      </c>
    </row>
    <row r="83" spans="7:8" x14ac:dyDescent="0.2">
      <c r="G83" t="s">
        <v>3</v>
      </c>
      <c r="H83">
        <v>37.637999999999998</v>
      </c>
    </row>
    <row r="84" spans="7:8" x14ac:dyDescent="0.2">
      <c r="G84" t="s">
        <v>3</v>
      </c>
      <c r="H84">
        <v>32.161000000000001</v>
      </c>
    </row>
    <row r="85" spans="7:8" x14ac:dyDescent="0.2">
      <c r="G85" t="s">
        <v>3</v>
      </c>
      <c r="H85">
        <v>24.986999999999998</v>
      </c>
    </row>
    <row r="86" spans="7:8" x14ac:dyDescent="0.2">
      <c r="G86" t="s">
        <v>3</v>
      </c>
      <c r="H86">
        <v>48.838999999999999</v>
      </c>
    </row>
    <row r="87" spans="7:8" x14ac:dyDescent="0.2">
      <c r="G87" t="s">
        <v>3</v>
      </c>
      <c r="H87">
        <v>39.664000000000001</v>
      </c>
    </row>
    <row r="88" spans="7:8" x14ac:dyDescent="0.2">
      <c r="G88" t="s">
        <v>3</v>
      </c>
      <c r="H88">
        <v>29.574999999999999</v>
      </c>
    </row>
    <row r="89" spans="7:8" x14ac:dyDescent="0.2">
      <c r="G89" t="s">
        <v>3</v>
      </c>
      <c r="H89">
        <v>13.823</v>
      </c>
    </row>
    <row r="90" spans="7:8" x14ac:dyDescent="0.2">
      <c r="G90" t="s">
        <v>3</v>
      </c>
      <c r="H90">
        <v>32.369</v>
      </c>
    </row>
    <row r="91" spans="7:8" x14ac:dyDescent="0.2">
      <c r="G91" t="s">
        <v>3</v>
      </c>
      <c r="H91">
        <v>37.359000000000002</v>
      </c>
    </row>
    <row r="92" spans="7:8" x14ac:dyDescent="0.2">
      <c r="G92" t="s">
        <v>3</v>
      </c>
      <c r="H92">
        <v>13.635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4c (settling rate)</vt:lpstr>
      <vt:lpstr>Fig 4c (floc size)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2025-01-09T20:21:08Z</dcterms:created>
  <dcterms:modified xsi:type="dcterms:W3CDTF">2026-04-13T15:50:22Z</dcterms:modified>
</cp:coreProperties>
</file>