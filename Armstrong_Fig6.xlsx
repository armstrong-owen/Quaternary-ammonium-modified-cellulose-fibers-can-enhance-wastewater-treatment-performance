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/Library/CloudStorage/OneDrive-McGillUniversity/GRAD SCHOOL/Projects/Armstrong et al_/Armstrong Data Feb 2026/"/>
    </mc:Choice>
  </mc:AlternateContent>
  <xr:revisionPtr revIDLastSave="0" documentId="13_ncr:1_{A833052E-6B95-9D4C-8238-4DE0D862FFE3}" xr6:coauthVersionLast="47" xr6:coauthVersionMax="47" xr10:uidLastSave="{00000000-0000-0000-0000-000000000000}"/>
  <bookViews>
    <workbookView xWindow="0" yWindow="500" windowWidth="38400" windowHeight="19820" activeTab="2" xr2:uid="{980CDB93-2DAD-1F4F-B6DF-9E59BE5E07BA}"/>
  </bookViews>
  <sheets>
    <sheet name="fig 5a" sheetId="1" r:id="rId1"/>
    <sheet name="fig 5b" sheetId="2" r:id="rId2"/>
    <sheet name="fig 5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3" l="1"/>
  <c r="L46" i="3"/>
  <c r="D14" i="3"/>
  <c r="E14" i="3"/>
  <c r="F14" i="3"/>
  <c r="G14" i="3"/>
  <c r="H14" i="3"/>
  <c r="I14" i="3"/>
  <c r="J14" i="3"/>
  <c r="K14" i="3"/>
  <c r="L14" i="3"/>
  <c r="M14" i="3"/>
  <c r="N14" i="3"/>
  <c r="F30" i="2"/>
  <c r="G30" i="2"/>
  <c r="H30" i="2"/>
  <c r="I30" i="2"/>
  <c r="J30" i="2"/>
  <c r="K30" i="2"/>
  <c r="L30" i="2"/>
  <c r="M30" i="2"/>
  <c r="N30" i="2"/>
  <c r="O30" i="2"/>
  <c r="P30" i="2"/>
  <c r="Q30" i="2"/>
  <c r="E30" i="2"/>
  <c r="C68" i="2"/>
  <c r="C69" i="2"/>
  <c r="C70" i="2"/>
  <c r="C71" i="2"/>
  <c r="C72" i="2"/>
  <c r="M62" i="3"/>
  <c r="F77" i="3"/>
  <c r="D77" i="3"/>
  <c r="G76" i="3"/>
  <c r="E76" i="3"/>
  <c r="I75" i="3"/>
  <c r="F75" i="3"/>
  <c r="E75" i="3"/>
  <c r="F74" i="3"/>
  <c r="C74" i="3"/>
  <c r="J71" i="3"/>
  <c r="G71" i="3"/>
  <c r="K70" i="3"/>
  <c r="I70" i="3"/>
  <c r="D70" i="3"/>
  <c r="C70" i="3"/>
  <c r="C76" i="3" s="1"/>
  <c r="L69" i="3"/>
  <c r="J69" i="3"/>
  <c r="I69" i="3"/>
  <c r="C69" i="3"/>
  <c r="C75" i="3" s="1"/>
  <c r="J68" i="3"/>
  <c r="C68" i="3"/>
  <c r="N64" i="3"/>
  <c r="M64" i="3"/>
  <c r="G77" i="3" s="1"/>
  <c r="L64" i="3"/>
  <c r="L77" i="3" s="1"/>
  <c r="K64" i="3"/>
  <c r="J64" i="3"/>
  <c r="I64" i="3"/>
  <c r="L76" i="3" s="1"/>
  <c r="H64" i="3"/>
  <c r="G64" i="3"/>
  <c r="F64" i="3"/>
  <c r="L75" i="3" s="1"/>
  <c r="E64" i="3"/>
  <c r="L74" i="3" s="1"/>
  <c r="D64" i="3"/>
  <c r="C64" i="3"/>
  <c r="N63" i="3"/>
  <c r="M63" i="3"/>
  <c r="L63" i="3"/>
  <c r="L71" i="3" s="1"/>
  <c r="K63" i="3"/>
  <c r="J63" i="3"/>
  <c r="I63" i="3"/>
  <c r="L70" i="3" s="1"/>
  <c r="H63" i="3"/>
  <c r="G63" i="3"/>
  <c r="F63" i="3"/>
  <c r="G69" i="3" s="1"/>
  <c r="E63" i="3"/>
  <c r="D63" i="3"/>
  <c r="C63" i="3"/>
  <c r="G68" i="3" s="1"/>
  <c r="N62" i="3"/>
  <c r="L62" i="3"/>
  <c r="K62" i="3"/>
  <c r="J62" i="3"/>
  <c r="I62" i="3"/>
  <c r="H62" i="3"/>
  <c r="G62" i="3"/>
  <c r="F62" i="3"/>
  <c r="E62" i="3"/>
  <c r="D62" i="3"/>
  <c r="C62" i="3"/>
  <c r="N48" i="3"/>
  <c r="M48" i="3"/>
  <c r="L48" i="3"/>
  <c r="K77" i="3" s="1"/>
  <c r="K48" i="3"/>
  <c r="J48" i="3"/>
  <c r="I48" i="3"/>
  <c r="K76" i="3" s="1"/>
  <c r="H48" i="3"/>
  <c r="G48" i="3"/>
  <c r="F48" i="3"/>
  <c r="K75" i="3" s="1"/>
  <c r="E48" i="3"/>
  <c r="D48" i="3"/>
  <c r="C48" i="3"/>
  <c r="K74" i="3" s="1"/>
  <c r="N47" i="3"/>
  <c r="M47" i="3"/>
  <c r="K71" i="3" s="1"/>
  <c r="L47" i="3"/>
  <c r="F71" i="3" s="1"/>
  <c r="K47" i="3"/>
  <c r="J47" i="3"/>
  <c r="I47" i="3"/>
  <c r="F70" i="3" s="1"/>
  <c r="H47" i="3"/>
  <c r="G47" i="3"/>
  <c r="F47" i="3"/>
  <c r="F69" i="3" s="1"/>
  <c r="E47" i="3"/>
  <c r="F68" i="3" s="1"/>
  <c r="D47" i="3"/>
  <c r="C47" i="3"/>
  <c r="N46" i="3"/>
  <c r="M46" i="3"/>
  <c r="K46" i="3"/>
  <c r="J46" i="3"/>
  <c r="I46" i="3"/>
  <c r="H46" i="3"/>
  <c r="G46" i="3"/>
  <c r="F46" i="3"/>
  <c r="E46" i="3"/>
  <c r="D46" i="3"/>
  <c r="C46" i="3"/>
  <c r="N32" i="3"/>
  <c r="M32" i="3"/>
  <c r="J77" i="3" s="1"/>
  <c r="L32" i="3"/>
  <c r="K32" i="3"/>
  <c r="J32" i="3"/>
  <c r="I32" i="3"/>
  <c r="J76" i="3" s="1"/>
  <c r="H32" i="3"/>
  <c r="G32" i="3"/>
  <c r="F32" i="3"/>
  <c r="J75" i="3" s="1"/>
  <c r="E32" i="3"/>
  <c r="J74" i="3" s="1"/>
  <c r="D32" i="3"/>
  <c r="C32" i="3"/>
  <c r="E74" i="3" s="1"/>
  <c r="N31" i="3"/>
  <c r="M31" i="3"/>
  <c r="L31" i="3"/>
  <c r="E71" i="3" s="1"/>
  <c r="K31" i="3"/>
  <c r="J31" i="3"/>
  <c r="I31" i="3"/>
  <c r="E70" i="3" s="1"/>
  <c r="H31" i="3"/>
  <c r="G31" i="3"/>
  <c r="F31" i="3"/>
  <c r="E69" i="3" s="1"/>
  <c r="E31" i="3"/>
  <c r="D31" i="3"/>
  <c r="C31" i="3"/>
  <c r="E68" i="3" s="1"/>
  <c r="N30" i="3"/>
  <c r="M30" i="3"/>
  <c r="L30" i="3"/>
  <c r="K30" i="3"/>
  <c r="J30" i="3"/>
  <c r="I30" i="3"/>
  <c r="H30" i="3"/>
  <c r="G30" i="3"/>
  <c r="F30" i="3"/>
  <c r="E30" i="3"/>
  <c r="D30" i="3"/>
  <c r="C30" i="3"/>
  <c r="N16" i="3"/>
  <c r="M16" i="3"/>
  <c r="L16" i="3"/>
  <c r="I77" i="3" s="1"/>
  <c r="K16" i="3"/>
  <c r="J16" i="3"/>
  <c r="I16" i="3"/>
  <c r="I76" i="3" s="1"/>
  <c r="H16" i="3"/>
  <c r="G16" i="3"/>
  <c r="F16" i="3"/>
  <c r="D75" i="3" s="1"/>
  <c r="E16" i="3"/>
  <c r="D16" i="3"/>
  <c r="C16" i="3"/>
  <c r="D74" i="3" s="1"/>
  <c r="N15" i="3"/>
  <c r="M15" i="3"/>
  <c r="L15" i="3"/>
  <c r="K15" i="3"/>
  <c r="J15" i="3"/>
  <c r="I15" i="3"/>
  <c r="H15" i="3"/>
  <c r="G15" i="3"/>
  <c r="F15" i="3"/>
  <c r="D69" i="3" s="1"/>
  <c r="E15" i="3"/>
  <c r="D68" i="3" s="1"/>
  <c r="D15" i="3"/>
  <c r="C15" i="3"/>
  <c r="I68" i="3" s="1"/>
  <c r="C14" i="3"/>
  <c r="K68" i="3" l="1"/>
  <c r="D76" i="3"/>
  <c r="I71" i="3"/>
  <c r="J70" i="3"/>
  <c r="G75" i="3"/>
  <c r="E77" i="3"/>
  <c r="L68" i="3"/>
  <c r="I74" i="3"/>
  <c r="G70" i="3"/>
  <c r="G74" i="3"/>
  <c r="K69" i="3"/>
  <c r="F76" i="3"/>
  <c r="G75" i="2" l="1"/>
  <c r="E78" i="2" l="1"/>
  <c r="D78" i="2"/>
  <c r="F77" i="2"/>
  <c r="F76" i="2"/>
  <c r="I75" i="2"/>
  <c r="K74" i="2"/>
  <c r="I74" i="2"/>
  <c r="C74" i="2"/>
  <c r="L72" i="2"/>
  <c r="J72" i="2"/>
  <c r="C78" i="2"/>
  <c r="L71" i="2"/>
  <c r="K71" i="2"/>
  <c r="F71" i="2"/>
  <c r="D71" i="2"/>
  <c r="C77" i="2"/>
  <c r="E70" i="2"/>
  <c r="C76" i="2"/>
  <c r="I69" i="2"/>
  <c r="G69" i="2"/>
  <c r="E69" i="2"/>
  <c r="D69" i="2"/>
  <c r="C75" i="2"/>
  <c r="F68" i="2"/>
  <c r="Q64" i="2"/>
  <c r="P64" i="2"/>
  <c r="O64" i="2"/>
  <c r="L78" i="2" s="1"/>
  <c r="N64" i="2"/>
  <c r="M64" i="2"/>
  <c r="L64" i="2"/>
  <c r="G77" i="2" s="1"/>
  <c r="K64" i="2"/>
  <c r="L76" i="2" s="1"/>
  <c r="J64" i="2"/>
  <c r="I64" i="2"/>
  <c r="H64" i="2"/>
  <c r="G64" i="2"/>
  <c r="F64" i="2"/>
  <c r="L75" i="2" s="1"/>
  <c r="E64" i="2"/>
  <c r="D64" i="2"/>
  <c r="C64" i="2"/>
  <c r="G74" i="2" s="1"/>
  <c r="Q63" i="2"/>
  <c r="P63" i="2"/>
  <c r="O63" i="2"/>
  <c r="G72" i="2" s="1"/>
  <c r="N63" i="2"/>
  <c r="M63" i="2"/>
  <c r="L63" i="2"/>
  <c r="G71" i="2" s="1"/>
  <c r="K63" i="2"/>
  <c r="J63" i="2"/>
  <c r="G70" i="2" s="1"/>
  <c r="I63" i="2"/>
  <c r="H63" i="2"/>
  <c r="G63" i="2"/>
  <c r="F63" i="2"/>
  <c r="L69" i="2" s="1"/>
  <c r="E63" i="2"/>
  <c r="D63" i="2"/>
  <c r="C63" i="2"/>
  <c r="G68" i="2" s="1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Q48" i="2"/>
  <c r="P48" i="2"/>
  <c r="F78" i="2" s="1"/>
  <c r="O48" i="2"/>
  <c r="K78" i="2" s="1"/>
  <c r="N48" i="2"/>
  <c r="M48" i="2"/>
  <c r="L48" i="2"/>
  <c r="K77" i="2" s="1"/>
  <c r="K48" i="2"/>
  <c r="J48" i="2"/>
  <c r="I48" i="2"/>
  <c r="K76" i="2" s="1"/>
  <c r="H48" i="2"/>
  <c r="K75" i="2" s="1"/>
  <c r="G48" i="2"/>
  <c r="F48" i="2"/>
  <c r="F75" i="2" s="1"/>
  <c r="E48" i="2"/>
  <c r="D48" i="2"/>
  <c r="C48" i="2"/>
  <c r="F74" i="2" s="1"/>
  <c r="Q47" i="2"/>
  <c r="P47" i="2"/>
  <c r="O47" i="2"/>
  <c r="K72" i="2" s="1"/>
  <c r="N47" i="2"/>
  <c r="M47" i="2"/>
  <c r="L47" i="2"/>
  <c r="K47" i="2"/>
  <c r="J47" i="2"/>
  <c r="I47" i="2"/>
  <c r="K70" i="2" s="1"/>
  <c r="H47" i="2"/>
  <c r="G47" i="2"/>
  <c r="F69" i="2" s="1"/>
  <c r="F47" i="2"/>
  <c r="K69" i="2" s="1"/>
  <c r="E47" i="2"/>
  <c r="D47" i="2"/>
  <c r="C47" i="2"/>
  <c r="K68" i="2" s="1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Q32" i="2"/>
  <c r="P32" i="2"/>
  <c r="O32" i="2"/>
  <c r="J78" i="2" s="1"/>
  <c r="N32" i="2"/>
  <c r="M32" i="2"/>
  <c r="J77" i="2" s="1"/>
  <c r="L32" i="2"/>
  <c r="K32" i="2"/>
  <c r="J32" i="2"/>
  <c r="I32" i="2"/>
  <c r="E76" i="2" s="1"/>
  <c r="H32" i="2"/>
  <c r="G32" i="2"/>
  <c r="F32" i="2"/>
  <c r="E75" i="2" s="1"/>
  <c r="E32" i="2"/>
  <c r="J74" i="2" s="1"/>
  <c r="D32" i="2"/>
  <c r="E74" i="2" s="1"/>
  <c r="C32" i="2"/>
  <c r="Q31" i="2"/>
  <c r="P31" i="2"/>
  <c r="O31" i="2"/>
  <c r="E72" i="2" s="1"/>
  <c r="N31" i="2"/>
  <c r="M31" i="2"/>
  <c r="L31" i="2"/>
  <c r="J71" i="2" s="1"/>
  <c r="K31" i="2"/>
  <c r="J31" i="2"/>
  <c r="I31" i="2"/>
  <c r="J70" i="2" s="1"/>
  <c r="H31" i="2"/>
  <c r="G31" i="2"/>
  <c r="F31" i="2"/>
  <c r="J69" i="2" s="1"/>
  <c r="E31" i="2"/>
  <c r="D31" i="2"/>
  <c r="E68" i="2" s="1"/>
  <c r="C31" i="2"/>
  <c r="D30" i="2"/>
  <c r="C30" i="2"/>
  <c r="Q16" i="2"/>
  <c r="P16" i="2"/>
  <c r="O16" i="2"/>
  <c r="I78" i="2" s="1"/>
  <c r="N16" i="2"/>
  <c r="M16" i="2"/>
  <c r="L16" i="2"/>
  <c r="D77" i="2" s="1"/>
  <c r="K16" i="2"/>
  <c r="J16" i="2"/>
  <c r="I76" i="2" s="1"/>
  <c r="I16" i="2"/>
  <c r="D76" i="2" s="1"/>
  <c r="H16" i="2"/>
  <c r="G16" i="2"/>
  <c r="F16" i="2"/>
  <c r="D75" i="2" s="1"/>
  <c r="E16" i="2"/>
  <c r="D16" i="2"/>
  <c r="C16" i="2"/>
  <c r="D74" i="2" s="1"/>
  <c r="Q15" i="2"/>
  <c r="D72" i="2" s="1"/>
  <c r="P15" i="2"/>
  <c r="O15" i="2"/>
  <c r="I72" i="2" s="1"/>
  <c r="N15" i="2"/>
  <c r="M15" i="2"/>
  <c r="L15" i="2"/>
  <c r="I71" i="2" s="1"/>
  <c r="K15" i="2"/>
  <c r="J15" i="2"/>
  <c r="I15" i="2"/>
  <c r="I70" i="2" s="1"/>
  <c r="H15" i="2"/>
  <c r="G15" i="2"/>
  <c r="F15" i="2"/>
  <c r="E15" i="2"/>
  <c r="D15" i="2"/>
  <c r="C15" i="2"/>
  <c r="D68" i="2" s="1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L70" i="2" l="1"/>
  <c r="G76" i="2"/>
  <c r="I68" i="2"/>
  <c r="F70" i="2"/>
  <c r="E71" i="2"/>
  <c r="L74" i="2"/>
  <c r="J76" i="2"/>
  <c r="I77" i="2"/>
  <c r="G78" i="2"/>
  <c r="E77" i="2"/>
  <c r="D70" i="2"/>
  <c r="J68" i="2"/>
  <c r="J75" i="2"/>
  <c r="F72" i="2"/>
  <c r="L68" i="2"/>
  <c r="L77" i="2"/>
  <c r="C62" i="1" l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J78" i="1"/>
  <c r="G78" i="1"/>
  <c r="J46" i="1"/>
  <c r="K46" i="1"/>
  <c r="L46" i="1"/>
  <c r="M46" i="1"/>
  <c r="N46" i="1"/>
  <c r="O46" i="1"/>
  <c r="P46" i="1"/>
  <c r="Q46" i="1"/>
  <c r="I46" i="1"/>
  <c r="M31" i="1"/>
  <c r="P30" i="1"/>
  <c r="Q30" i="1"/>
  <c r="O30" i="1"/>
  <c r="L31" i="1"/>
  <c r="Q14" i="1"/>
  <c r="P14" i="1"/>
  <c r="O14" i="1"/>
  <c r="Q64" i="1"/>
  <c r="P64" i="1"/>
  <c r="O64" i="1"/>
  <c r="L78" i="1" s="1"/>
  <c r="Q63" i="1"/>
  <c r="P63" i="1"/>
  <c r="O63" i="1"/>
  <c r="G72" i="1" s="1"/>
  <c r="Q48" i="1"/>
  <c r="P48" i="1"/>
  <c r="O48" i="1"/>
  <c r="F78" i="1" s="1"/>
  <c r="Q47" i="1"/>
  <c r="P47" i="1"/>
  <c r="K72" i="1" s="1"/>
  <c r="O47" i="1"/>
  <c r="Q32" i="1"/>
  <c r="P32" i="1"/>
  <c r="O32" i="1"/>
  <c r="E78" i="1" s="1"/>
  <c r="Q31" i="1"/>
  <c r="E72" i="1" s="1"/>
  <c r="P31" i="1"/>
  <c r="O31" i="1"/>
  <c r="J72" i="1" s="1"/>
  <c r="Q16" i="1"/>
  <c r="P16" i="1"/>
  <c r="D78" i="1" s="1"/>
  <c r="O16" i="1"/>
  <c r="I78" i="1" s="1"/>
  <c r="Q15" i="1"/>
  <c r="P15" i="1"/>
  <c r="O15" i="1"/>
  <c r="I72" i="1" s="1"/>
  <c r="L72" i="1" l="1"/>
  <c r="K78" i="1"/>
  <c r="F72" i="1"/>
  <c r="D72" i="1"/>
  <c r="H15" i="1"/>
  <c r="C14" i="1"/>
  <c r="D14" i="1"/>
  <c r="E14" i="1"/>
  <c r="F14" i="1"/>
  <c r="G14" i="1"/>
  <c r="H14" i="1"/>
  <c r="I14" i="1"/>
  <c r="J14" i="1"/>
  <c r="K14" i="1"/>
  <c r="L14" i="1"/>
  <c r="M14" i="1"/>
  <c r="N14" i="1"/>
  <c r="H30" i="1"/>
  <c r="I30" i="1"/>
  <c r="J30" i="1"/>
  <c r="K30" i="1"/>
  <c r="L30" i="1"/>
  <c r="M30" i="1"/>
  <c r="N30" i="1"/>
  <c r="C30" i="1"/>
  <c r="D30" i="1"/>
  <c r="E30" i="1"/>
  <c r="F30" i="1"/>
  <c r="C46" i="1"/>
  <c r="D46" i="1"/>
  <c r="E46" i="1"/>
  <c r="J63" i="1"/>
  <c r="N64" i="1"/>
  <c r="M64" i="1"/>
  <c r="L64" i="1"/>
  <c r="K64" i="1"/>
  <c r="J64" i="1"/>
  <c r="I64" i="1"/>
  <c r="H64" i="1"/>
  <c r="G64" i="1"/>
  <c r="F64" i="1"/>
  <c r="E64" i="1"/>
  <c r="D64" i="1"/>
  <c r="C64" i="1"/>
  <c r="N63" i="1"/>
  <c r="M63" i="1"/>
  <c r="L63" i="1"/>
  <c r="K63" i="1"/>
  <c r="I63" i="1"/>
  <c r="H63" i="1"/>
  <c r="G63" i="1"/>
  <c r="F63" i="1"/>
  <c r="E63" i="1"/>
  <c r="D63" i="1"/>
  <c r="C63" i="1"/>
  <c r="G69" i="1" l="1"/>
  <c r="L69" i="1"/>
  <c r="G74" i="1"/>
  <c r="L74" i="1"/>
  <c r="L77" i="1"/>
  <c r="G77" i="1"/>
  <c r="G70" i="1"/>
  <c r="L70" i="1"/>
  <c r="G75" i="1"/>
  <c r="L75" i="1"/>
  <c r="G68" i="1"/>
  <c r="L68" i="1"/>
  <c r="G71" i="1"/>
  <c r="L71" i="1"/>
  <c r="G76" i="1"/>
  <c r="L76" i="1"/>
  <c r="N32" i="1"/>
  <c r="M32" i="1"/>
  <c r="L32" i="1"/>
  <c r="K32" i="1"/>
  <c r="J32" i="1"/>
  <c r="I32" i="1"/>
  <c r="H32" i="1"/>
  <c r="G32" i="1"/>
  <c r="F32" i="1"/>
  <c r="E32" i="1"/>
  <c r="D32" i="1"/>
  <c r="C32" i="1"/>
  <c r="N31" i="1"/>
  <c r="K31" i="1"/>
  <c r="J31" i="1"/>
  <c r="I31" i="1"/>
  <c r="H31" i="1"/>
  <c r="G31" i="1"/>
  <c r="F31" i="1"/>
  <c r="E31" i="1"/>
  <c r="D31" i="1"/>
  <c r="C31" i="1"/>
  <c r="G30" i="1"/>
  <c r="J47" i="1"/>
  <c r="F46" i="1"/>
  <c r="G46" i="1"/>
  <c r="H46" i="1"/>
  <c r="J70" i="1" l="1"/>
  <c r="E70" i="1"/>
  <c r="E68" i="1"/>
  <c r="J68" i="1"/>
  <c r="J76" i="1"/>
  <c r="E76" i="1"/>
  <c r="E71" i="1"/>
  <c r="J71" i="1"/>
  <c r="E74" i="1"/>
  <c r="J74" i="1"/>
  <c r="E69" i="1"/>
  <c r="J69" i="1"/>
  <c r="E77" i="1"/>
  <c r="J77" i="1"/>
  <c r="J75" i="1"/>
  <c r="E75" i="1"/>
  <c r="C70" i="1"/>
  <c r="C76" i="1" s="1"/>
  <c r="C69" i="1"/>
  <c r="C75" i="1" s="1"/>
  <c r="C68" i="1"/>
  <c r="C74" i="1" s="1"/>
  <c r="N48" i="1"/>
  <c r="M48" i="1"/>
  <c r="L48" i="1"/>
  <c r="K48" i="1"/>
  <c r="J48" i="1"/>
  <c r="I48" i="1"/>
  <c r="H48" i="1"/>
  <c r="G48" i="1"/>
  <c r="F48" i="1"/>
  <c r="E48" i="1"/>
  <c r="D48" i="1"/>
  <c r="C48" i="1"/>
  <c r="N47" i="1"/>
  <c r="M47" i="1"/>
  <c r="L47" i="1"/>
  <c r="K47" i="1"/>
  <c r="I47" i="1"/>
  <c r="H47" i="1"/>
  <c r="G47" i="1"/>
  <c r="F47" i="1"/>
  <c r="E47" i="1"/>
  <c r="D47" i="1"/>
  <c r="C47" i="1"/>
  <c r="F16" i="1"/>
  <c r="G16" i="1"/>
  <c r="H16" i="1"/>
  <c r="F15" i="1"/>
  <c r="G15" i="1"/>
  <c r="C16" i="1"/>
  <c r="D16" i="1"/>
  <c r="E16" i="1"/>
  <c r="C15" i="1"/>
  <c r="D15" i="1"/>
  <c r="E15" i="1"/>
  <c r="F77" i="1" l="1"/>
  <c r="K77" i="1"/>
  <c r="K69" i="1"/>
  <c r="F69" i="1"/>
  <c r="K74" i="1"/>
  <c r="F74" i="1"/>
  <c r="K70" i="1"/>
  <c r="F70" i="1"/>
  <c r="K75" i="1"/>
  <c r="F75" i="1"/>
  <c r="F68" i="1"/>
  <c r="K68" i="1"/>
  <c r="K71" i="1"/>
  <c r="F71" i="1"/>
  <c r="F76" i="1"/>
  <c r="K76" i="1"/>
  <c r="D74" i="1"/>
  <c r="I74" i="1"/>
  <c r="I69" i="1"/>
  <c r="D69" i="1"/>
  <c r="I75" i="1"/>
  <c r="D75" i="1"/>
  <c r="I68" i="1"/>
  <c r="D68" i="1"/>
  <c r="C71" i="1"/>
  <c r="C77" i="1" s="1"/>
  <c r="I16" i="1" l="1"/>
  <c r="J16" i="1"/>
  <c r="K16" i="1"/>
  <c r="L16" i="1"/>
  <c r="M16" i="1"/>
  <c r="N16" i="1"/>
  <c r="I15" i="1"/>
  <c r="J15" i="1"/>
  <c r="K15" i="1"/>
  <c r="L15" i="1"/>
  <c r="M15" i="1"/>
  <c r="N15" i="1"/>
  <c r="I70" i="1" l="1"/>
  <c r="D70" i="1"/>
  <c r="D77" i="1"/>
  <c r="I77" i="1"/>
  <c r="I71" i="1"/>
  <c r="D71" i="1"/>
  <c r="D76" i="1"/>
  <c r="I76" i="1"/>
</calcChain>
</file>

<file path=xl/sharedStrings.xml><?xml version="1.0" encoding="utf-8"?>
<sst xmlns="http://schemas.openxmlformats.org/spreadsheetml/2006/main" count="365" uniqueCount="37">
  <si>
    <t>Jar 1</t>
  </si>
  <si>
    <t>Jar 2</t>
  </si>
  <si>
    <t>Jar 3</t>
  </si>
  <si>
    <t>condition 1</t>
  </si>
  <si>
    <t>condition 2</t>
  </si>
  <si>
    <t>condition 3</t>
  </si>
  <si>
    <t>initial</t>
  </si>
  <si>
    <t>30s settling</t>
  </si>
  <si>
    <t>180s settling</t>
  </si>
  <si>
    <t>condition 4</t>
  </si>
  <si>
    <t>avg initial</t>
  </si>
  <si>
    <t>avg 30s</t>
  </si>
  <si>
    <t>avg 180s</t>
  </si>
  <si>
    <t>30 s settling</t>
  </si>
  <si>
    <t>180 s settling</t>
  </si>
  <si>
    <t>condition 5</t>
  </si>
  <si>
    <t>average data</t>
  </si>
  <si>
    <t>STDEV</t>
  </si>
  <si>
    <t>Pristine</t>
  </si>
  <si>
    <t>Conv</t>
  </si>
  <si>
    <t>conventional</t>
  </si>
  <si>
    <t>AVG</t>
  </si>
  <si>
    <t>Cat (150)</t>
  </si>
  <si>
    <t>Cat (50)</t>
  </si>
  <si>
    <t>pH</t>
  </si>
  <si>
    <t>target</t>
  </si>
  <si>
    <t>pristine (150 mg/L)</t>
  </si>
  <si>
    <t>modified (150 mg/L)</t>
  </si>
  <si>
    <t>modified (50 mg/L)</t>
  </si>
  <si>
    <t>mod (150)</t>
  </si>
  <si>
    <t>mod (50)</t>
  </si>
  <si>
    <t>conv</t>
  </si>
  <si>
    <t>prist</t>
  </si>
  <si>
    <t>mM</t>
  </si>
  <si>
    <t>add. NaCl (mM)</t>
  </si>
  <si>
    <t>initial turbidity (NTU)</t>
  </si>
  <si>
    <t>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</si>
</sst>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0" xfId="0" applyFont="1"/>
    <xf numFmtId="164" fontId="0" fillId="0" borderId="1" xfId="0" applyNumberFormat="1" applyBorder="1"/>
    <xf numFmtId="164" fontId="0" fillId="0" borderId="2" xfId="0" applyNumberForma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2" borderId="0" xfId="0" applyNumberFormat="1" applyFill="1"/>
    <xf numFmtId="164" fontId="0" fillId="2" borderId="1" xfId="0" applyNumberFormat="1" applyFill="1" applyBorder="1"/>
    <xf numFmtId="164" fontId="0" fillId="2" borderId="2" xfId="0" applyNumberFormat="1" applyFill="1" applyBorder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9706"/>
      <color rgb="FF85C6D4"/>
      <color rgb="FFCC282F"/>
      <color rgb="FF0D5B6D"/>
      <color rgb="FF00BCCD"/>
      <color rgb="FF7ED1D4"/>
      <color rgb="FFCC2930"/>
      <color rgb="FFE39504"/>
      <color rgb="FF0E5972"/>
      <color rgb="FFDC25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19270560740672"/>
          <c:y val="5.0925925925925923E-2"/>
          <c:w val="0.77035587561123064"/>
          <c:h val="0.7750567901234567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5a'!$B$2</c:f>
              <c:strCache>
                <c:ptCount val="1"/>
                <c:pt idx="0">
                  <c:v>conventional</c:v>
                </c:pt>
              </c:strCache>
            </c:strRef>
          </c:tx>
          <c:spPr>
            <a:ln w="9525" cap="rnd">
              <a:solidFill>
                <a:srgbClr val="0D5B6D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D5B6D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5a'!$I$74:$I$78</c:f>
                <c:numCache>
                  <c:formatCode>General</c:formatCode>
                  <c:ptCount val="5"/>
                  <c:pt idx="0">
                    <c:v>2.2037350449062911</c:v>
                  </c:pt>
                  <c:pt idx="1">
                    <c:v>0.28349668493717878</c:v>
                  </c:pt>
                  <c:pt idx="2">
                    <c:v>0.73358581512195931</c:v>
                  </c:pt>
                  <c:pt idx="3">
                    <c:v>1.5780907357849736</c:v>
                  </c:pt>
                  <c:pt idx="4">
                    <c:v>2.722131517763239</c:v>
                  </c:pt>
                </c:numCache>
              </c:numRef>
            </c:plus>
            <c:minus>
              <c:numRef>
                <c:f>'fig 5a'!$I$74:$I$78</c:f>
                <c:numCache>
                  <c:formatCode>General</c:formatCode>
                  <c:ptCount val="5"/>
                  <c:pt idx="0">
                    <c:v>2.2037350449062911</c:v>
                  </c:pt>
                  <c:pt idx="1">
                    <c:v>0.28349668493717878</c:v>
                  </c:pt>
                  <c:pt idx="2">
                    <c:v>0.73358581512195931</c:v>
                  </c:pt>
                  <c:pt idx="3">
                    <c:v>1.5780907357849736</c:v>
                  </c:pt>
                  <c:pt idx="4">
                    <c:v>2.722131517763239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5a'!$C$74:$C$78</c:f>
              <c:numCache>
                <c:formatCode>General</c:formatCode>
                <c:ptCount val="5"/>
                <c:pt idx="0">
                  <c:v>7</c:v>
                </c:pt>
                <c:pt idx="1">
                  <c:v>7.7</c:v>
                </c:pt>
                <c:pt idx="2">
                  <c:v>8.1999999999999993</c:v>
                </c:pt>
                <c:pt idx="3">
                  <c:v>8.5</c:v>
                </c:pt>
                <c:pt idx="4">
                  <c:v>8.9</c:v>
                </c:pt>
              </c:numCache>
            </c:numRef>
          </c:xVal>
          <c:yVal>
            <c:numRef>
              <c:f>'fig 5a'!$D$74:$D$78</c:f>
              <c:numCache>
                <c:formatCode>0.0</c:formatCode>
                <c:ptCount val="5"/>
                <c:pt idx="0">
                  <c:v>8.1922222222222221</c:v>
                </c:pt>
                <c:pt idx="1">
                  <c:v>24.288888888888891</c:v>
                </c:pt>
                <c:pt idx="2">
                  <c:v>65.955555555555563</c:v>
                </c:pt>
                <c:pt idx="3">
                  <c:v>63.855555555555554</c:v>
                </c:pt>
                <c:pt idx="4">
                  <c:v>62.833333333333336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14-A84A-884B-226EA0A00B09}"/>
            </c:ext>
          </c:extLst>
        </c:ser>
        <c:ser>
          <c:idx val="1"/>
          <c:order val="1"/>
          <c:tx>
            <c:strRef>
              <c:f>'fig 5a'!$B$18</c:f>
              <c:strCache>
                <c:ptCount val="1"/>
                <c:pt idx="0">
                  <c:v>pristine (150 mg/L)</c:v>
                </c:pt>
              </c:strCache>
            </c:strRef>
          </c:tx>
          <c:spPr>
            <a:ln w="9525" cap="rnd">
              <a:solidFill>
                <a:srgbClr val="85C6D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5a'!$J$74:$J$78</c:f>
                <c:numCache>
                  <c:formatCode>General</c:formatCode>
                  <c:ptCount val="5"/>
                  <c:pt idx="0">
                    <c:v>0.88274194039556875</c:v>
                  </c:pt>
                  <c:pt idx="1">
                    <c:v>1.5952475716373344</c:v>
                  </c:pt>
                  <c:pt idx="2">
                    <c:v>1.9726838270441351</c:v>
                  </c:pt>
                  <c:pt idx="3">
                    <c:v>1.7243356208503413</c:v>
                  </c:pt>
                  <c:pt idx="4">
                    <c:v>1.8009256878986788</c:v>
                  </c:pt>
                </c:numCache>
              </c:numRef>
            </c:plus>
            <c:minus>
              <c:numRef>
                <c:f>'fig 5a'!$J$74:$J$78</c:f>
                <c:numCache>
                  <c:formatCode>General</c:formatCode>
                  <c:ptCount val="5"/>
                  <c:pt idx="0">
                    <c:v>0.88274194039556875</c:v>
                  </c:pt>
                  <c:pt idx="1">
                    <c:v>1.5952475716373344</c:v>
                  </c:pt>
                  <c:pt idx="2">
                    <c:v>1.9726838270441351</c:v>
                  </c:pt>
                  <c:pt idx="3">
                    <c:v>1.7243356208503413</c:v>
                  </c:pt>
                  <c:pt idx="4">
                    <c:v>1.8009256878986788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5a'!$C$74:$C$78</c:f>
              <c:numCache>
                <c:formatCode>General</c:formatCode>
                <c:ptCount val="5"/>
                <c:pt idx="0">
                  <c:v>7</c:v>
                </c:pt>
                <c:pt idx="1">
                  <c:v>7.7</c:v>
                </c:pt>
                <c:pt idx="2">
                  <c:v>8.1999999999999993</c:v>
                </c:pt>
                <c:pt idx="3">
                  <c:v>8.5</c:v>
                </c:pt>
                <c:pt idx="4">
                  <c:v>8.9</c:v>
                </c:pt>
              </c:numCache>
            </c:numRef>
          </c:xVal>
          <c:yVal>
            <c:numRef>
              <c:f>'fig 5a'!$E$74:$E$78</c:f>
              <c:numCache>
                <c:formatCode>0.0</c:formatCode>
                <c:ptCount val="5"/>
                <c:pt idx="0">
                  <c:v>3.6300000000000003</c:v>
                </c:pt>
                <c:pt idx="1">
                  <c:v>16.555555555555557</c:v>
                </c:pt>
                <c:pt idx="2">
                  <c:v>26.12222222222222</c:v>
                </c:pt>
                <c:pt idx="3">
                  <c:v>34.366666666666667</c:v>
                </c:pt>
                <c:pt idx="4">
                  <c:v>33.633333333333333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DA-834C-B17D-62F8F7DF16E9}"/>
            </c:ext>
          </c:extLst>
        </c:ser>
        <c:ser>
          <c:idx val="3"/>
          <c:order val="2"/>
          <c:tx>
            <c:strRef>
              <c:f>'fig 5a'!$B$50</c:f>
              <c:strCache>
                <c:ptCount val="1"/>
                <c:pt idx="0">
                  <c:v>modified (50 mg/L)</c:v>
                </c:pt>
              </c:strCache>
            </c:strRef>
          </c:tx>
          <c:spPr>
            <a:ln w="9525" cap="rnd">
              <a:solidFill>
                <a:srgbClr val="DF970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5a'!$L$74:$L$78</c:f>
                <c:numCache>
                  <c:formatCode>General</c:formatCode>
                  <c:ptCount val="5"/>
                  <c:pt idx="0">
                    <c:v>0.74096283707479671</c:v>
                  </c:pt>
                  <c:pt idx="1">
                    <c:v>0.72572824216884513</c:v>
                  </c:pt>
                  <c:pt idx="2">
                    <c:v>2.7300793639257668</c:v>
                  </c:pt>
                  <c:pt idx="3">
                    <c:v>1.8013369520483435</c:v>
                  </c:pt>
                  <c:pt idx="4">
                    <c:v>2.5865750270135934</c:v>
                  </c:pt>
                </c:numCache>
              </c:numRef>
            </c:plus>
            <c:minus>
              <c:numRef>
                <c:f>'fig 5a'!$L$74:$L$78</c:f>
                <c:numCache>
                  <c:formatCode>General</c:formatCode>
                  <c:ptCount val="5"/>
                  <c:pt idx="0">
                    <c:v>0.74096283707479671</c:v>
                  </c:pt>
                  <c:pt idx="1">
                    <c:v>0.72572824216884513</c:v>
                  </c:pt>
                  <c:pt idx="2">
                    <c:v>2.7300793639257668</c:v>
                  </c:pt>
                  <c:pt idx="3">
                    <c:v>1.8013369520483435</c:v>
                  </c:pt>
                  <c:pt idx="4">
                    <c:v>2.5865750270135934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5a'!$C$74:$C$78</c:f>
              <c:numCache>
                <c:formatCode>General</c:formatCode>
                <c:ptCount val="5"/>
                <c:pt idx="0">
                  <c:v>7</c:v>
                </c:pt>
                <c:pt idx="1">
                  <c:v>7.7</c:v>
                </c:pt>
                <c:pt idx="2">
                  <c:v>8.1999999999999993</c:v>
                </c:pt>
                <c:pt idx="3">
                  <c:v>8.5</c:v>
                </c:pt>
                <c:pt idx="4">
                  <c:v>8.9</c:v>
                </c:pt>
              </c:numCache>
            </c:numRef>
          </c:xVal>
          <c:yVal>
            <c:numRef>
              <c:f>'fig 5a'!$G$74:$G$78</c:f>
              <c:numCache>
                <c:formatCode>0.0</c:formatCode>
                <c:ptCount val="5"/>
                <c:pt idx="0">
                  <c:v>4.2155555555555546</c:v>
                </c:pt>
                <c:pt idx="1">
                  <c:v>7.9022222222222211</c:v>
                </c:pt>
                <c:pt idx="2">
                  <c:v>27.100000000000005</c:v>
                </c:pt>
                <c:pt idx="3">
                  <c:v>26.055555555555557</c:v>
                </c:pt>
                <c:pt idx="4">
                  <c:v>30.288888888888888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DA-834C-B17D-62F8F7DF16E9}"/>
            </c:ext>
          </c:extLst>
        </c:ser>
        <c:ser>
          <c:idx val="0"/>
          <c:order val="3"/>
          <c:tx>
            <c:strRef>
              <c:f>'fig 5a'!$B$34</c:f>
              <c:strCache>
                <c:ptCount val="1"/>
                <c:pt idx="0">
                  <c:v>modified (150 mg/L)</c:v>
                </c:pt>
              </c:strCache>
            </c:strRef>
          </c:tx>
          <c:spPr>
            <a:ln w="9525" cap="rnd">
              <a:solidFill>
                <a:srgbClr val="CC282F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CC282F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5a'!$K$74:$K$78</c:f>
                <c:numCache>
                  <c:formatCode>General</c:formatCode>
                  <c:ptCount val="5"/>
                  <c:pt idx="0">
                    <c:v>0.39004273270160211</c:v>
                  </c:pt>
                  <c:pt idx="1">
                    <c:v>0.28570251298496824</c:v>
                  </c:pt>
                  <c:pt idx="2">
                    <c:v>0.39696534040326825</c:v>
                  </c:pt>
                  <c:pt idx="3">
                    <c:v>0.16063531275439905</c:v>
                  </c:pt>
                  <c:pt idx="4">
                    <c:v>0.13785392161162346</c:v>
                  </c:pt>
                </c:numCache>
              </c:numRef>
            </c:plus>
            <c:minus>
              <c:numRef>
                <c:f>'fig 5a'!$K$74:$K$78</c:f>
                <c:numCache>
                  <c:formatCode>General</c:formatCode>
                  <c:ptCount val="5"/>
                  <c:pt idx="0">
                    <c:v>0.39004273270160211</c:v>
                  </c:pt>
                  <c:pt idx="1">
                    <c:v>0.28570251298496824</c:v>
                  </c:pt>
                  <c:pt idx="2">
                    <c:v>0.39696534040326825</c:v>
                  </c:pt>
                  <c:pt idx="3">
                    <c:v>0.16063531275439905</c:v>
                  </c:pt>
                  <c:pt idx="4">
                    <c:v>0.13785392161162346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5a'!$C$74:$C$78</c:f>
              <c:numCache>
                <c:formatCode>General</c:formatCode>
                <c:ptCount val="5"/>
                <c:pt idx="0">
                  <c:v>7</c:v>
                </c:pt>
                <c:pt idx="1">
                  <c:v>7.7</c:v>
                </c:pt>
                <c:pt idx="2">
                  <c:v>8.1999999999999993</c:v>
                </c:pt>
                <c:pt idx="3">
                  <c:v>8.5</c:v>
                </c:pt>
                <c:pt idx="4">
                  <c:v>8.9</c:v>
                </c:pt>
              </c:numCache>
            </c:numRef>
          </c:xVal>
          <c:yVal>
            <c:numRef>
              <c:f>'fig 5a'!$F$74:$F$78</c:f>
              <c:numCache>
                <c:formatCode>0.0</c:formatCode>
                <c:ptCount val="5"/>
                <c:pt idx="0">
                  <c:v>1.5666666666666667</c:v>
                </c:pt>
                <c:pt idx="1">
                  <c:v>2.8144444444444452</c:v>
                </c:pt>
                <c:pt idx="2">
                  <c:v>2.8144444444444443</c:v>
                </c:pt>
                <c:pt idx="3">
                  <c:v>3.0044444444444438</c:v>
                </c:pt>
                <c:pt idx="4">
                  <c:v>3.6944444444444446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14-A84A-884B-226EA0A00B09}"/>
            </c:ext>
          </c:extLst>
        </c:ser>
        <c:ser>
          <c:idx val="4"/>
          <c:order val="4"/>
          <c:tx>
            <c:strRef>
              <c:f>'fig 5a'!$B$80</c:f>
              <c:strCache>
                <c:ptCount val="1"/>
                <c:pt idx="0">
                  <c:v>target</c:v>
                </c:pt>
              </c:strCache>
            </c:strRef>
          </c:tx>
          <c:spPr>
            <a:ln w="365125" cap="rnd">
              <a:solidFill>
                <a:schemeClr val="tx1">
                  <a:alpha val="1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65125" cap="rnd">
                <a:solidFill>
                  <a:srgbClr val="0070C0">
                    <a:alpha val="10000"/>
                  </a:srgb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8FBF-DE4D-B812-FC137D3EA0E3}"/>
              </c:ext>
            </c:extLst>
          </c:dPt>
          <c:xVal>
            <c:numRef>
              <c:f>'fig 5a'!$C$80:$C$81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'fig 5a'!$D$80:$D$81</c:f>
              <c:numCache>
                <c:formatCode>General</c:formatCode>
                <c:ptCount val="2"/>
                <c:pt idx="0">
                  <c:v>12.5</c:v>
                </c:pt>
                <c:pt idx="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35-ED4B-86F7-2152713C3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9"/>
          <c:min val="6.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0.3"/>
      </c:valAx>
      <c:valAx>
        <c:axId val="1229934895"/>
        <c:scaling>
          <c:orientation val="minMax"/>
          <c:max val="85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18150617479112946"/>
          <c:y val="6.2574074074074074E-2"/>
          <c:w val="0.4303486551324146"/>
          <c:h val="0.281775925925925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19270560740672"/>
          <c:y val="5.0925925925925923E-2"/>
          <c:w val="0.77035587561123064"/>
          <c:h val="0.77502160493827166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5a'!$B$2</c:f>
              <c:strCache>
                <c:ptCount val="1"/>
                <c:pt idx="0">
                  <c:v>conventional</c:v>
                </c:pt>
              </c:strCache>
            </c:strRef>
          </c:tx>
          <c:spPr>
            <a:ln w="9525" cap="rnd">
              <a:solidFill>
                <a:srgbClr val="0E597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E5972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5a'!$I$68:$I$72</c:f>
                <c:numCache>
                  <c:formatCode>General</c:formatCode>
                  <c:ptCount val="5"/>
                  <c:pt idx="0">
                    <c:v>12.128768982754892</c:v>
                  </c:pt>
                  <c:pt idx="1">
                    <c:v>2.2241935700466842</c:v>
                  </c:pt>
                  <c:pt idx="2">
                    <c:v>0.73333333333333428</c:v>
                  </c:pt>
                  <c:pt idx="3">
                    <c:v>0.40551750201988279</c:v>
                  </c:pt>
                  <c:pt idx="4">
                    <c:v>0.82529456020933112</c:v>
                  </c:pt>
                </c:numCache>
              </c:numRef>
            </c:plus>
            <c:minus>
              <c:numRef>
                <c:f>'fig 5a'!$I$68:$I$72</c:f>
                <c:numCache>
                  <c:formatCode>General</c:formatCode>
                  <c:ptCount val="5"/>
                  <c:pt idx="0">
                    <c:v>12.128768982754892</c:v>
                  </c:pt>
                  <c:pt idx="1">
                    <c:v>2.2241935700466842</c:v>
                  </c:pt>
                  <c:pt idx="2">
                    <c:v>0.73333333333333428</c:v>
                  </c:pt>
                  <c:pt idx="3">
                    <c:v>0.40551750201988279</c:v>
                  </c:pt>
                  <c:pt idx="4">
                    <c:v>0.82529456020933112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  <a:headEnd type="none"/>
                <a:tailEnd type="none" w="sm" len="sm"/>
              </a:ln>
              <a:effectLst/>
            </c:spPr>
          </c:errBars>
          <c:xVal>
            <c:numRef>
              <c:f>'fig 5a'!$C$68:$C$72</c:f>
              <c:numCache>
                <c:formatCode>General</c:formatCode>
                <c:ptCount val="5"/>
                <c:pt idx="0">
                  <c:v>7</c:v>
                </c:pt>
                <c:pt idx="1">
                  <c:v>7.7</c:v>
                </c:pt>
                <c:pt idx="2">
                  <c:v>8.1999999999999993</c:v>
                </c:pt>
                <c:pt idx="3">
                  <c:v>8.5</c:v>
                </c:pt>
                <c:pt idx="4">
                  <c:v>8.9</c:v>
                </c:pt>
              </c:numCache>
            </c:numRef>
          </c:xVal>
          <c:yVal>
            <c:numRef>
              <c:f>'fig 5a'!$D$68:$D$72</c:f>
              <c:numCache>
                <c:formatCode>0.0</c:formatCode>
                <c:ptCount val="5"/>
                <c:pt idx="0">
                  <c:v>31.888888888888889</c:v>
                </c:pt>
                <c:pt idx="1">
                  <c:v>69.288888888888891</c:v>
                </c:pt>
                <c:pt idx="2">
                  <c:v>68.100000000000009</c:v>
                </c:pt>
                <c:pt idx="3">
                  <c:v>64.233333333333334</c:v>
                </c:pt>
                <c:pt idx="4">
                  <c:v>67.2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40-614C-9118-1D5DFB7B4B38}"/>
            </c:ext>
          </c:extLst>
        </c:ser>
        <c:ser>
          <c:idx val="0"/>
          <c:order val="1"/>
          <c:tx>
            <c:strRef>
              <c:f>'fig 5a'!$B$18</c:f>
              <c:strCache>
                <c:ptCount val="1"/>
                <c:pt idx="0">
                  <c:v>pristine (150 mg/L)</c:v>
                </c:pt>
              </c:strCache>
            </c:strRef>
          </c:tx>
          <c:spPr>
            <a:ln w="9525" cap="rnd">
              <a:solidFill>
                <a:srgbClr val="85C6D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5a'!$J$68:$J$72</c:f>
                <c:numCache>
                  <c:formatCode>General</c:formatCode>
                  <c:ptCount val="5"/>
                  <c:pt idx="0">
                    <c:v>2.3132973099980947</c:v>
                  </c:pt>
                  <c:pt idx="1">
                    <c:v>3.6375103410824123</c:v>
                  </c:pt>
                  <c:pt idx="2">
                    <c:v>1.2863960567472317</c:v>
                  </c:pt>
                  <c:pt idx="3">
                    <c:v>1.9577008434877325</c:v>
                  </c:pt>
                  <c:pt idx="4">
                    <c:v>2.5684697851127329</c:v>
                  </c:pt>
                </c:numCache>
              </c:numRef>
            </c:plus>
            <c:minus>
              <c:numRef>
                <c:f>'fig 5a'!$J$68:$J$72</c:f>
                <c:numCache>
                  <c:formatCode>General</c:formatCode>
                  <c:ptCount val="5"/>
                  <c:pt idx="0">
                    <c:v>2.3132973099980947</c:v>
                  </c:pt>
                  <c:pt idx="1">
                    <c:v>3.6375103410824123</c:v>
                  </c:pt>
                  <c:pt idx="2">
                    <c:v>1.2863960567472317</c:v>
                  </c:pt>
                  <c:pt idx="3">
                    <c:v>1.9577008434877325</c:v>
                  </c:pt>
                  <c:pt idx="4">
                    <c:v>2.5684697851127329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5a'!$C$68:$C$72</c:f>
              <c:numCache>
                <c:formatCode>General</c:formatCode>
                <c:ptCount val="5"/>
                <c:pt idx="0">
                  <c:v>7</c:v>
                </c:pt>
                <c:pt idx="1">
                  <c:v>7.7</c:v>
                </c:pt>
                <c:pt idx="2">
                  <c:v>8.1999999999999993</c:v>
                </c:pt>
                <c:pt idx="3">
                  <c:v>8.5</c:v>
                </c:pt>
                <c:pt idx="4">
                  <c:v>8.9</c:v>
                </c:pt>
              </c:numCache>
            </c:numRef>
          </c:xVal>
          <c:yVal>
            <c:numRef>
              <c:f>'fig 5a'!$E$68:$E$72</c:f>
              <c:numCache>
                <c:formatCode>0.0</c:formatCode>
                <c:ptCount val="5"/>
                <c:pt idx="0">
                  <c:v>7.7333333333333343</c:v>
                </c:pt>
                <c:pt idx="1">
                  <c:v>31.811111111111106</c:v>
                </c:pt>
                <c:pt idx="2">
                  <c:v>51.344444444444456</c:v>
                </c:pt>
                <c:pt idx="3">
                  <c:v>56.81111111111111</c:v>
                </c:pt>
                <c:pt idx="4">
                  <c:v>51.68888888888889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BD-1142-89CC-72C433F40286}"/>
            </c:ext>
          </c:extLst>
        </c:ser>
        <c:ser>
          <c:idx val="1"/>
          <c:order val="2"/>
          <c:tx>
            <c:strRef>
              <c:f>'fig 5a'!$B$50</c:f>
              <c:strCache>
                <c:ptCount val="1"/>
                <c:pt idx="0">
                  <c:v>modified (50 mg/L)</c:v>
                </c:pt>
              </c:strCache>
            </c:strRef>
          </c:tx>
          <c:spPr>
            <a:ln w="9525" cap="rnd">
              <a:solidFill>
                <a:srgbClr val="DF970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5a'!$L$68:$L$72</c:f>
                <c:numCache>
                  <c:formatCode>General</c:formatCode>
                  <c:ptCount val="5"/>
                  <c:pt idx="0">
                    <c:v>1.6361619497855131</c:v>
                  </c:pt>
                  <c:pt idx="1">
                    <c:v>0.83845757859960413</c:v>
                  </c:pt>
                  <c:pt idx="2">
                    <c:v>8.3615743688570277</c:v>
                  </c:pt>
                  <c:pt idx="3">
                    <c:v>5.3411401196540211</c:v>
                  </c:pt>
                  <c:pt idx="4">
                    <c:v>2.1152882650940135</c:v>
                  </c:pt>
                </c:numCache>
              </c:numRef>
            </c:plus>
            <c:minus>
              <c:numRef>
                <c:f>'fig 5a'!$L$68:$L$72</c:f>
                <c:numCache>
                  <c:formatCode>General</c:formatCode>
                  <c:ptCount val="5"/>
                  <c:pt idx="0">
                    <c:v>1.6361619497855131</c:v>
                  </c:pt>
                  <c:pt idx="1">
                    <c:v>0.83845757859960413</c:v>
                  </c:pt>
                  <c:pt idx="2">
                    <c:v>8.3615743688570277</c:v>
                  </c:pt>
                  <c:pt idx="3">
                    <c:v>5.3411401196540211</c:v>
                  </c:pt>
                  <c:pt idx="4">
                    <c:v>2.1152882650940135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5a'!$C$68:$C$72</c:f>
              <c:numCache>
                <c:formatCode>General</c:formatCode>
                <c:ptCount val="5"/>
                <c:pt idx="0">
                  <c:v>7</c:v>
                </c:pt>
                <c:pt idx="1">
                  <c:v>7.7</c:v>
                </c:pt>
                <c:pt idx="2">
                  <c:v>8.1999999999999993</c:v>
                </c:pt>
                <c:pt idx="3">
                  <c:v>8.5</c:v>
                </c:pt>
                <c:pt idx="4">
                  <c:v>8.9</c:v>
                </c:pt>
              </c:numCache>
            </c:numRef>
          </c:xVal>
          <c:yVal>
            <c:numRef>
              <c:f>'fig 5a'!$G$68:$G$72</c:f>
              <c:numCache>
                <c:formatCode>0.0</c:formatCode>
                <c:ptCount val="5"/>
                <c:pt idx="0">
                  <c:v>5.9088888888888889</c:v>
                </c:pt>
                <c:pt idx="1">
                  <c:v>8.5733333333333324</c:v>
                </c:pt>
                <c:pt idx="2">
                  <c:v>42.211111111111109</c:v>
                </c:pt>
                <c:pt idx="3">
                  <c:v>47.466666666666669</c:v>
                </c:pt>
                <c:pt idx="4">
                  <c:v>54.633333333333326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BD-1142-89CC-72C433F40286}"/>
            </c:ext>
          </c:extLst>
        </c:ser>
        <c:ser>
          <c:idx val="3"/>
          <c:order val="3"/>
          <c:tx>
            <c:strRef>
              <c:f>'fig 5a'!$B$34</c:f>
              <c:strCache>
                <c:ptCount val="1"/>
                <c:pt idx="0">
                  <c:v>modified (150 mg/L)</c:v>
                </c:pt>
              </c:strCache>
            </c:strRef>
          </c:tx>
          <c:spPr>
            <a:ln w="9525" cap="rnd">
              <a:solidFill>
                <a:srgbClr val="CC282F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CC282F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5a'!$K$68:$K$72</c:f>
                <c:numCache>
                  <c:formatCode>General</c:formatCode>
                  <c:ptCount val="5"/>
                  <c:pt idx="0">
                    <c:v>1.6184160065849476</c:v>
                  </c:pt>
                  <c:pt idx="1">
                    <c:v>2.1943133575474367</c:v>
                  </c:pt>
                  <c:pt idx="2">
                    <c:v>0.3154538177152259</c:v>
                  </c:pt>
                  <c:pt idx="3">
                    <c:v>0.57659280194888229</c:v>
                  </c:pt>
                  <c:pt idx="4">
                    <c:v>2.2299335648632477</c:v>
                  </c:pt>
                </c:numCache>
              </c:numRef>
            </c:plus>
            <c:minus>
              <c:numRef>
                <c:f>'fig 5a'!$K$68:$K$72</c:f>
                <c:numCache>
                  <c:formatCode>General</c:formatCode>
                  <c:ptCount val="5"/>
                  <c:pt idx="0">
                    <c:v>1.6184160065849476</c:v>
                  </c:pt>
                  <c:pt idx="1">
                    <c:v>2.1943133575474367</c:v>
                  </c:pt>
                  <c:pt idx="2">
                    <c:v>0.3154538177152259</c:v>
                  </c:pt>
                  <c:pt idx="3">
                    <c:v>0.57659280194888229</c:v>
                  </c:pt>
                  <c:pt idx="4">
                    <c:v>2.2299335648632477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5a'!$C$68:$C$72</c:f>
              <c:numCache>
                <c:formatCode>General</c:formatCode>
                <c:ptCount val="5"/>
                <c:pt idx="0">
                  <c:v>7</c:v>
                </c:pt>
                <c:pt idx="1">
                  <c:v>7.7</c:v>
                </c:pt>
                <c:pt idx="2">
                  <c:v>8.1999999999999993</c:v>
                </c:pt>
                <c:pt idx="3">
                  <c:v>8.5</c:v>
                </c:pt>
                <c:pt idx="4">
                  <c:v>8.9</c:v>
                </c:pt>
              </c:numCache>
            </c:numRef>
          </c:xVal>
          <c:yVal>
            <c:numRef>
              <c:f>'fig 5a'!$F$68:$F$72</c:f>
              <c:numCache>
                <c:formatCode>0.0</c:formatCode>
                <c:ptCount val="5"/>
                <c:pt idx="0">
                  <c:v>2.5944444444444446</c:v>
                </c:pt>
                <c:pt idx="1">
                  <c:v>4.873333333333334</c:v>
                </c:pt>
                <c:pt idx="2">
                  <c:v>2.9933333333333336</c:v>
                </c:pt>
                <c:pt idx="3">
                  <c:v>3.3988888888888886</c:v>
                </c:pt>
                <c:pt idx="4">
                  <c:v>7.8722222222222227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40-614C-9118-1D5DFB7B4B38}"/>
            </c:ext>
          </c:extLst>
        </c:ser>
        <c:ser>
          <c:idx val="4"/>
          <c:order val="4"/>
          <c:tx>
            <c:strRef>
              <c:f>'fig 5a'!$B$80</c:f>
              <c:strCache>
                <c:ptCount val="1"/>
                <c:pt idx="0">
                  <c:v>target</c:v>
                </c:pt>
              </c:strCache>
            </c:strRef>
          </c:tx>
          <c:spPr>
            <a:ln w="266700" cap="rnd">
              <a:solidFill>
                <a:schemeClr val="tx1">
                  <a:alpha val="1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06375" cap="rnd">
                <a:solidFill>
                  <a:srgbClr val="0070C0">
                    <a:alpha val="1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8D1-0142-8ED4-156FD2F91295}"/>
              </c:ext>
            </c:extLst>
          </c:dPt>
          <c:xVal>
            <c:numRef>
              <c:f>'fig 5a'!$C$80:$C$81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'fig 5a'!$D$80:$D$81</c:f>
              <c:numCache>
                <c:formatCode>General</c:formatCode>
                <c:ptCount val="2"/>
                <c:pt idx="0">
                  <c:v>12.5</c:v>
                </c:pt>
                <c:pt idx="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B-B049-B577-D1240DBC2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9"/>
          <c:min val="6.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pH</a:t>
                </a:r>
              </a:p>
            </c:rich>
          </c:tx>
          <c:layout>
            <c:manualLayout>
              <c:xMode val="edge"/>
              <c:yMode val="edge"/>
              <c:x val="0.52417172776658627"/>
              <c:y val="0.89655740740740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0.3"/>
      </c:valAx>
      <c:valAx>
        <c:axId val="1229934895"/>
        <c:scaling>
          <c:orientation val="minMax"/>
          <c:max val="1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turbidity (NTU)</a:t>
                </a:r>
              </a:p>
            </c:rich>
          </c:tx>
          <c:layout>
            <c:manualLayout>
              <c:xMode val="edge"/>
              <c:yMode val="edge"/>
              <c:x val="2.7207533223815621E-2"/>
              <c:y val="0.17665555555555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2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17874444845582155"/>
          <c:y val="6.187345679012346E-2"/>
          <c:w val="0.42938008557762758"/>
          <c:h val="0.27996851851851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98119658119657"/>
          <c:y val="5.0925925925925923E-2"/>
          <c:w val="0.77035470085470081"/>
          <c:h val="0.77714567901234555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5b'!$B$2</c:f>
              <c:strCache>
                <c:ptCount val="1"/>
                <c:pt idx="0">
                  <c:v>conventional</c:v>
                </c:pt>
              </c:strCache>
            </c:strRef>
          </c:tx>
          <c:spPr>
            <a:ln w="9525" cap="rnd">
              <a:solidFill>
                <a:srgbClr val="0D5B6D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D5B6D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5b'!$I$74:$I$78</c:f>
                <c:numCache>
                  <c:formatCode>General</c:formatCode>
                  <c:ptCount val="5"/>
                  <c:pt idx="0">
                    <c:v>0.28349668493717878</c:v>
                  </c:pt>
                  <c:pt idx="1">
                    <c:v>5.8963579468208147</c:v>
                  </c:pt>
                  <c:pt idx="2">
                    <c:v>4.4122304765025362</c:v>
                  </c:pt>
                  <c:pt idx="3">
                    <c:v>2.3798537147698222</c:v>
                  </c:pt>
                  <c:pt idx="4">
                    <c:v>12.907204419467668</c:v>
                  </c:pt>
                </c:numCache>
              </c:numRef>
            </c:plus>
            <c:minus>
              <c:numRef>
                <c:f>'fig 5b'!$I$74:$I$78</c:f>
                <c:numCache>
                  <c:formatCode>General</c:formatCode>
                  <c:ptCount val="5"/>
                  <c:pt idx="0">
                    <c:v>0.28349668493717878</c:v>
                  </c:pt>
                  <c:pt idx="1">
                    <c:v>5.8963579468208147</c:v>
                  </c:pt>
                  <c:pt idx="2">
                    <c:v>4.4122304765025362</c:v>
                  </c:pt>
                  <c:pt idx="3">
                    <c:v>2.3798537147698222</c:v>
                  </c:pt>
                  <c:pt idx="4">
                    <c:v>12.907204419467668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5b'!$C$74:$C$78</c:f>
              <c:numCache>
                <c:formatCode>General</c:formatCode>
                <c:ptCount val="5"/>
                <c:pt idx="0">
                  <c:v>0</c:v>
                </c:pt>
                <c:pt idx="1">
                  <c:v>0.78400000000000003</c:v>
                </c:pt>
                <c:pt idx="2">
                  <c:v>9.2840000000000007</c:v>
                </c:pt>
                <c:pt idx="3">
                  <c:v>19.283999999999999</c:v>
                </c:pt>
                <c:pt idx="4">
                  <c:v>37.283999999999999</c:v>
                </c:pt>
              </c:numCache>
            </c:numRef>
          </c:xVal>
          <c:yVal>
            <c:numRef>
              <c:f>'fig 5b'!$D$74:$D$78</c:f>
              <c:numCache>
                <c:formatCode>0.0</c:formatCode>
                <c:ptCount val="5"/>
                <c:pt idx="0">
                  <c:v>24.288888888888891</c:v>
                </c:pt>
                <c:pt idx="1">
                  <c:v>39.544444444444444</c:v>
                </c:pt>
                <c:pt idx="2">
                  <c:v>42.866666666666667</c:v>
                </c:pt>
                <c:pt idx="3">
                  <c:v>45.111111111111114</c:v>
                </c:pt>
                <c:pt idx="4">
                  <c:v>40.477777777777781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D8-9445-B00E-4B78BE9A8140}"/>
            </c:ext>
          </c:extLst>
        </c:ser>
        <c:ser>
          <c:idx val="1"/>
          <c:order val="1"/>
          <c:tx>
            <c:strRef>
              <c:f>'fig 5b'!$B$18</c:f>
              <c:strCache>
                <c:ptCount val="1"/>
                <c:pt idx="0">
                  <c:v>pristine (150 mg/L)</c:v>
                </c:pt>
              </c:strCache>
            </c:strRef>
          </c:tx>
          <c:spPr>
            <a:ln w="9525" cap="rnd">
              <a:solidFill>
                <a:srgbClr val="85C6D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5b'!$J$74:$J$78</c:f>
                <c:numCache>
                  <c:formatCode>General</c:formatCode>
                  <c:ptCount val="5"/>
                  <c:pt idx="0">
                    <c:v>1.5952475716373344</c:v>
                  </c:pt>
                  <c:pt idx="1">
                    <c:v>2.8186547881595589</c:v>
                  </c:pt>
                  <c:pt idx="2">
                    <c:v>3.422204184656652</c:v>
                  </c:pt>
                  <c:pt idx="3">
                    <c:v>2.5391016200690038</c:v>
                  </c:pt>
                  <c:pt idx="4">
                    <c:v>2.4199020488288223</c:v>
                  </c:pt>
                </c:numCache>
              </c:numRef>
            </c:plus>
            <c:minus>
              <c:numRef>
                <c:f>'fig 5b'!$J$74:$J$78</c:f>
                <c:numCache>
                  <c:formatCode>General</c:formatCode>
                  <c:ptCount val="5"/>
                  <c:pt idx="0">
                    <c:v>1.5952475716373344</c:v>
                  </c:pt>
                  <c:pt idx="1">
                    <c:v>2.8186547881595589</c:v>
                  </c:pt>
                  <c:pt idx="2">
                    <c:v>3.422204184656652</c:v>
                  </c:pt>
                  <c:pt idx="3">
                    <c:v>2.5391016200690038</c:v>
                  </c:pt>
                  <c:pt idx="4">
                    <c:v>2.4199020488288223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5b'!$C$74:$C$78</c:f>
              <c:numCache>
                <c:formatCode>General</c:formatCode>
                <c:ptCount val="5"/>
                <c:pt idx="0">
                  <c:v>0</c:v>
                </c:pt>
                <c:pt idx="1">
                  <c:v>0.78400000000000003</c:v>
                </c:pt>
                <c:pt idx="2">
                  <c:v>9.2840000000000007</c:v>
                </c:pt>
                <c:pt idx="3">
                  <c:v>19.283999999999999</c:v>
                </c:pt>
                <c:pt idx="4">
                  <c:v>37.283999999999999</c:v>
                </c:pt>
              </c:numCache>
            </c:numRef>
          </c:xVal>
          <c:yVal>
            <c:numRef>
              <c:f>'fig 5b'!$E$74:$E$78</c:f>
              <c:numCache>
                <c:formatCode>0.0</c:formatCode>
                <c:ptCount val="5"/>
                <c:pt idx="0">
                  <c:v>16.555555555555557</c:v>
                </c:pt>
                <c:pt idx="1">
                  <c:v>23.277777777777775</c:v>
                </c:pt>
                <c:pt idx="2">
                  <c:v>28.377777777777776</c:v>
                </c:pt>
                <c:pt idx="3">
                  <c:v>36.922222222222224</c:v>
                </c:pt>
                <c:pt idx="4">
                  <c:v>36.511111111111113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D8-9445-B00E-4B78BE9A8140}"/>
            </c:ext>
          </c:extLst>
        </c:ser>
        <c:ser>
          <c:idx val="3"/>
          <c:order val="2"/>
          <c:tx>
            <c:strRef>
              <c:f>'fig 5b'!$B$50</c:f>
              <c:strCache>
                <c:ptCount val="1"/>
                <c:pt idx="0">
                  <c:v>modified (50 mg/L)</c:v>
                </c:pt>
              </c:strCache>
            </c:strRef>
          </c:tx>
          <c:spPr>
            <a:ln w="9525" cap="rnd">
              <a:solidFill>
                <a:srgbClr val="DF970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5b'!$L$74:$L$78</c:f>
                <c:numCache>
                  <c:formatCode>General</c:formatCode>
                  <c:ptCount val="5"/>
                  <c:pt idx="0">
                    <c:v>0.72572824216884513</c:v>
                  </c:pt>
                  <c:pt idx="1">
                    <c:v>3.6363901514184858</c:v>
                  </c:pt>
                  <c:pt idx="2">
                    <c:v>3.1214906220752452</c:v>
                  </c:pt>
                  <c:pt idx="3">
                    <c:v>2.1838633792568758</c:v>
                  </c:pt>
                  <c:pt idx="4">
                    <c:v>3.3340554773317619</c:v>
                  </c:pt>
                </c:numCache>
              </c:numRef>
            </c:plus>
            <c:minus>
              <c:numRef>
                <c:f>'fig 5b'!$L$74:$L$78</c:f>
                <c:numCache>
                  <c:formatCode>General</c:formatCode>
                  <c:ptCount val="5"/>
                  <c:pt idx="0">
                    <c:v>0.72572824216884513</c:v>
                  </c:pt>
                  <c:pt idx="1">
                    <c:v>3.6363901514184858</c:v>
                  </c:pt>
                  <c:pt idx="2">
                    <c:v>3.1214906220752452</c:v>
                  </c:pt>
                  <c:pt idx="3">
                    <c:v>2.1838633792568758</c:v>
                  </c:pt>
                  <c:pt idx="4">
                    <c:v>3.3340554773317619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5b'!$C$74:$C$78</c:f>
              <c:numCache>
                <c:formatCode>General</c:formatCode>
                <c:ptCount val="5"/>
                <c:pt idx="0">
                  <c:v>0</c:v>
                </c:pt>
                <c:pt idx="1">
                  <c:v>0.78400000000000003</c:v>
                </c:pt>
                <c:pt idx="2">
                  <c:v>9.2840000000000007</c:v>
                </c:pt>
                <c:pt idx="3">
                  <c:v>19.283999999999999</c:v>
                </c:pt>
                <c:pt idx="4">
                  <c:v>37.283999999999999</c:v>
                </c:pt>
              </c:numCache>
            </c:numRef>
          </c:xVal>
          <c:yVal>
            <c:numRef>
              <c:f>'fig 5b'!$G$74:$G$78</c:f>
              <c:numCache>
                <c:formatCode>0.0</c:formatCode>
                <c:ptCount val="5"/>
                <c:pt idx="0">
                  <c:v>7.9022222222222211</c:v>
                </c:pt>
                <c:pt idx="1">
                  <c:v>23.5</c:v>
                </c:pt>
                <c:pt idx="2">
                  <c:v>25.455555555555552</c:v>
                </c:pt>
                <c:pt idx="3">
                  <c:v>23.455555555555559</c:v>
                </c:pt>
                <c:pt idx="4">
                  <c:v>25.577777777777779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D8-9445-B00E-4B78BE9A8140}"/>
            </c:ext>
          </c:extLst>
        </c:ser>
        <c:ser>
          <c:idx val="0"/>
          <c:order val="3"/>
          <c:tx>
            <c:strRef>
              <c:f>'fig 5b'!$B$34</c:f>
              <c:strCache>
                <c:ptCount val="1"/>
                <c:pt idx="0">
                  <c:v>modified (150 mg/L)</c:v>
                </c:pt>
              </c:strCache>
            </c:strRef>
          </c:tx>
          <c:spPr>
            <a:ln w="9525" cap="rnd">
              <a:solidFill>
                <a:srgbClr val="CC282F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CC282F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5b'!$K$74:$K$78</c:f>
                <c:numCache>
                  <c:formatCode>General</c:formatCode>
                  <c:ptCount val="5"/>
                  <c:pt idx="0">
                    <c:v>0.28570251298496824</c:v>
                  </c:pt>
                  <c:pt idx="1">
                    <c:v>0.20424204957553363</c:v>
                  </c:pt>
                  <c:pt idx="2">
                    <c:v>1.2054367580996495</c:v>
                  </c:pt>
                  <c:pt idx="3">
                    <c:v>1.643956384029879</c:v>
                  </c:pt>
                  <c:pt idx="4">
                    <c:v>1.4437605218471781</c:v>
                  </c:pt>
                </c:numCache>
              </c:numRef>
            </c:plus>
            <c:minus>
              <c:numRef>
                <c:f>'fig 5b'!$K$74:$K$78</c:f>
                <c:numCache>
                  <c:formatCode>General</c:formatCode>
                  <c:ptCount val="5"/>
                  <c:pt idx="0">
                    <c:v>0.28570251298496824</c:v>
                  </c:pt>
                  <c:pt idx="1">
                    <c:v>0.20424204957553363</c:v>
                  </c:pt>
                  <c:pt idx="2">
                    <c:v>1.2054367580996495</c:v>
                  </c:pt>
                  <c:pt idx="3">
                    <c:v>1.643956384029879</c:v>
                  </c:pt>
                  <c:pt idx="4">
                    <c:v>1.4437605218471781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5b'!$C$74:$C$78</c:f>
              <c:numCache>
                <c:formatCode>General</c:formatCode>
                <c:ptCount val="5"/>
                <c:pt idx="0">
                  <c:v>0</c:v>
                </c:pt>
                <c:pt idx="1">
                  <c:v>0.78400000000000003</c:v>
                </c:pt>
                <c:pt idx="2">
                  <c:v>9.2840000000000007</c:v>
                </c:pt>
                <c:pt idx="3">
                  <c:v>19.283999999999999</c:v>
                </c:pt>
                <c:pt idx="4">
                  <c:v>37.283999999999999</c:v>
                </c:pt>
              </c:numCache>
            </c:numRef>
          </c:xVal>
          <c:yVal>
            <c:numRef>
              <c:f>'fig 5b'!$F$74:$F$78</c:f>
              <c:numCache>
                <c:formatCode>0.0</c:formatCode>
                <c:ptCount val="5"/>
                <c:pt idx="0">
                  <c:v>2.8144444444444452</c:v>
                </c:pt>
                <c:pt idx="1">
                  <c:v>4.3577777777777778</c:v>
                </c:pt>
                <c:pt idx="2">
                  <c:v>8.8533333333333317</c:v>
                </c:pt>
                <c:pt idx="3">
                  <c:v>19.377777777777776</c:v>
                </c:pt>
                <c:pt idx="4">
                  <c:v>27.400000000000002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D8-9445-B00E-4B78BE9A8140}"/>
            </c:ext>
          </c:extLst>
        </c:ser>
        <c:ser>
          <c:idx val="4"/>
          <c:order val="4"/>
          <c:tx>
            <c:strRef>
              <c:f>'fig 5b'!$B$80</c:f>
              <c:strCache>
                <c:ptCount val="1"/>
                <c:pt idx="0">
                  <c:v>target</c:v>
                </c:pt>
              </c:strCache>
            </c:strRef>
          </c:tx>
          <c:spPr>
            <a:ln w="368300" cap="rnd">
              <a:solidFill>
                <a:schemeClr val="tx1">
                  <a:alpha val="1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68300" cap="rnd">
                <a:solidFill>
                  <a:srgbClr val="0070C0">
                    <a:alpha val="1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D8-9445-B00E-4B78BE9A8140}"/>
              </c:ext>
            </c:extLst>
          </c:dPt>
          <c:xVal>
            <c:numRef>
              <c:f>'fig 5b'!$C$80:$C$81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'fig 5b'!$D$80:$D$81</c:f>
              <c:numCache>
                <c:formatCode>General</c:formatCode>
                <c:ptCount val="2"/>
                <c:pt idx="0">
                  <c:v>12.5</c:v>
                </c:pt>
                <c:pt idx="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D8-9445-B00E-4B78BE9A8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4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additional NaCl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10"/>
      </c:valAx>
      <c:valAx>
        <c:axId val="1229934895"/>
        <c:scaling>
          <c:orientation val="minMax"/>
          <c:max val="85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1706525641025641"/>
          <c:y val="6.2616666666666668E-2"/>
          <c:w val="0.42909316239316242"/>
          <c:h val="0.277998148148148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98119658119657"/>
          <c:y val="5.0925925925925923E-2"/>
          <c:w val="0.77035470085470081"/>
          <c:h val="0.77502160493827166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5b'!$B$2</c:f>
              <c:strCache>
                <c:ptCount val="1"/>
                <c:pt idx="0">
                  <c:v>conventional</c:v>
                </c:pt>
              </c:strCache>
            </c:strRef>
          </c:tx>
          <c:spPr>
            <a:ln w="9525" cap="rnd">
              <a:solidFill>
                <a:srgbClr val="0E597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E5972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5b'!$I$68:$I$72</c:f>
                <c:numCache>
                  <c:formatCode>General</c:formatCode>
                  <c:ptCount val="5"/>
                  <c:pt idx="0">
                    <c:v>2.2241935700466842</c:v>
                  </c:pt>
                  <c:pt idx="1">
                    <c:v>0.8952549812659415</c:v>
                  </c:pt>
                  <c:pt idx="2">
                    <c:v>2.4143858969227057</c:v>
                  </c:pt>
                  <c:pt idx="3">
                    <c:v>0.89628864398325658</c:v>
                  </c:pt>
                  <c:pt idx="4">
                    <c:v>0.58909849519162771</c:v>
                  </c:pt>
                </c:numCache>
              </c:numRef>
            </c:plus>
            <c:minus>
              <c:numRef>
                <c:f>'fig 5b'!$I$68:$I$72</c:f>
                <c:numCache>
                  <c:formatCode>General</c:formatCode>
                  <c:ptCount val="5"/>
                  <c:pt idx="0">
                    <c:v>2.2241935700466842</c:v>
                  </c:pt>
                  <c:pt idx="1">
                    <c:v>0.8952549812659415</c:v>
                  </c:pt>
                  <c:pt idx="2">
                    <c:v>2.4143858969227057</c:v>
                  </c:pt>
                  <c:pt idx="3">
                    <c:v>0.89628864398325658</c:v>
                  </c:pt>
                  <c:pt idx="4">
                    <c:v>0.58909849519162771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5b'!$C$68:$C$72</c:f>
              <c:numCache>
                <c:formatCode>General</c:formatCode>
                <c:ptCount val="5"/>
                <c:pt idx="0">
                  <c:v>0</c:v>
                </c:pt>
                <c:pt idx="1">
                  <c:v>0.78400000000000003</c:v>
                </c:pt>
                <c:pt idx="2">
                  <c:v>9.2840000000000007</c:v>
                </c:pt>
                <c:pt idx="3">
                  <c:v>19.283999999999999</c:v>
                </c:pt>
                <c:pt idx="4">
                  <c:v>37.283999999999999</c:v>
                </c:pt>
              </c:numCache>
            </c:numRef>
          </c:xVal>
          <c:yVal>
            <c:numRef>
              <c:f>'fig 5b'!$D$68:$D$72</c:f>
              <c:numCache>
                <c:formatCode>0.0</c:formatCode>
                <c:ptCount val="5"/>
                <c:pt idx="0">
                  <c:v>69.288888888888891</c:v>
                </c:pt>
                <c:pt idx="1">
                  <c:v>68.844444444444449</c:v>
                </c:pt>
                <c:pt idx="2">
                  <c:v>66.822222222222209</c:v>
                </c:pt>
                <c:pt idx="3">
                  <c:v>67.933333333333323</c:v>
                </c:pt>
                <c:pt idx="4">
                  <c:v>66.644444444444431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A4-6A43-A592-D1595DAEFD49}"/>
            </c:ext>
          </c:extLst>
        </c:ser>
        <c:ser>
          <c:idx val="0"/>
          <c:order val="1"/>
          <c:tx>
            <c:strRef>
              <c:f>'fig 5b'!$B$18</c:f>
              <c:strCache>
                <c:ptCount val="1"/>
                <c:pt idx="0">
                  <c:v>pristine (150 mg/L)</c:v>
                </c:pt>
              </c:strCache>
            </c:strRef>
          </c:tx>
          <c:spPr>
            <a:ln w="9525" cap="rnd">
              <a:solidFill>
                <a:srgbClr val="85C6D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5b'!$J$68:$J$72</c:f>
                <c:numCache>
                  <c:formatCode>General</c:formatCode>
                  <c:ptCount val="5"/>
                  <c:pt idx="0">
                    <c:v>3.6375103410824123</c:v>
                  </c:pt>
                  <c:pt idx="1">
                    <c:v>2.7088332871880048</c:v>
                  </c:pt>
                  <c:pt idx="2">
                    <c:v>8.2791124949299082</c:v>
                  </c:pt>
                  <c:pt idx="3">
                    <c:v>5.1003267869160522</c:v>
                  </c:pt>
                  <c:pt idx="4">
                    <c:v>5.0760147680957308</c:v>
                  </c:pt>
                </c:numCache>
              </c:numRef>
            </c:plus>
            <c:minus>
              <c:numRef>
                <c:f>'fig 5b'!$J$68:$J$72</c:f>
                <c:numCache>
                  <c:formatCode>General</c:formatCode>
                  <c:ptCount val="5"/>
                  <c:pt idx="0">
                    <c:v>3.6375103410824123</c:v>
                  </c:pt>
                  <c:pt idx="1">
                    <c:v>2.7088332871880048</c:v>
                  </c:pt>
                  <c:pt idx="2">
                    <c:v>8.2791124949299082</c:v>
                  </c:pt>
                  <c:pt idx="3">
                    <c:v>5.1003267869160522</c:v>
                  </c:pt>
                  <c:pt idx="4">
                    <c:v>5.0760147680957308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5b'!$C$68:$C$72</c:f>
              <c:numCache>
                <c:formatCode>General</c:formatCode>
                <c:ptCount val="5"/>
                <c:pt idx="0">
                  <c:v>0</c:v>
                </c:pt>
                <c:pt idx="1">
                  <c:v>0.78400000000000003</c:v>
                </c:pt>
                <c:pt idx="2">
                  <c:v>9.2840000000000007</c:v>
                </c:pt>
                <c:pt idx="3">
                  <c:v>19.283999999999999</c:v>
                </c:pt>
                <c:pt idx="4">
                  <c:v>37.283999999999999</c:v>
                </c:pt>
              </c:numCache>
            </c:numRef>
          </c:xVal>
          <c:yVal>
            <c:numRef>
              <c:f>'fig 5b'!$E$68:$E$72</c:f>
              <c:numCache>
                <c:formatCode>0.0</c:formatCode>
                <c:ptCount val="5"/>
                <c:pt idx="0">
                  <c:v>31.811111111111106</c:v>
                </c:pt>
                <c:pt idx="1">
                  <c:v>43.5</c:v>
                </c:pt>
                <c:pt idx="2">
                  <c:v>62.322222222222223</c:v>
                </c:pt>
                <c:pt idx="3">
                  <c:v>85.466666666666683</c:v>
                </c:pt>
                <c:pt idx="4">
                  <c:v>81.37777777777778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A4-6A43-A592-D1595DAEFD49}"/>
            </c:ext>
          </c:extLst>
        </c:ser>
        <c:ser>
          <c:idx val="1"/>
          <c:order val="2"/>
          <c:tx>
            <c:strRef>
              <c:f>'fig 5b'!$B$50</c:f>
              <c:strCache>
                <c:ptCount val="1"/>
                <c:pt idx="0">
                  <c:v>modified (50 mg/L)</c:v>
                </c:pt>
              </c:strCache>
            </c:strRef>
          </c:tx>
          <c:spPr>
            <a:ln w="9525" cap="rnd">
              <a:solidFill>
                <a:srgbClr val="DF970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5b'!$L$68:$L$72</c:f>
                <c:numCache>
                  <c:formatCode>General</c:formatCode>
                  <c:ptCount val="5"/>
                  <c:pt idx="0">
                    <c:v>0.83845757859960413</c:v>
                  </c:pt>
                  <c:pt idx="1">
                    <c:v>6.1493751564540728</c:v>
                  </c:pt>
                  <c:pt idx="2">
                    <c:v>12.852251568124938</c:v>
                  </c:pt>
                  <c:pt idx="3">
                    <c:v>5.6006282716349887</c:v>
                  </c:pt>
                  <c:pt idx="4">
                    <c:v>3.335388255483132</c:v>
                  </c:pt>
                </c:numCache>
              </c:numRef>
            </c:plus>
            <c:minus>
              <c:numRef>
                <c:f>'fig 5b'!$L$68:$L$72</c:f>
                <c:numCache>
                  <c:formatCode>General</c:formatCode>
                  <c:ptCount val="5"/>
                  <c:pt idx="0">
                    <c:v>0.83845757859960413</c:v>
                  </c:pt>
                  <c:pt idx="1">
                    <c:v>6.1493751564540728</c:v>
                  </c:pt>
                  <c:pt idx="2">
                    <c:v>12.852251568124938</c:v>
                  </c:pt>
                  <c:pt idx="3">
                    <c:v>5.6006282716349887</c:v>
                  </c:pt>
                  <c:pt idx="4">
                    <c:v>3.335388255483132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5b'!$C$68:$C$72</c:f>
              <c:numCache>
                <c:formatCode>General</c:formatCode>
                <c:ptCount val="5"/>
                <c:pt idx="0">
                  <c:v>0</c:v>
                </c:pt>
                <c:pt idx="1">
                  <c:v>0.78400000000000003</c:v>
                </c:pt>
                <c:pt idx="2">
                  <c:v>9.2840000000000007</c:v>
                </c:pt>
                <c:pt idx="3">
                  <c:v>19.283999999999999</c:v>
                </c:pt>
                <c:pt idx="4">
                  <c:v>37.283999999999999</c:v>
                </c:pt>
              </c:numCache>
            </c:numRef>
          </c:xVal>
          <c:yVal>
            <c:numRef>
              <c:f>'fig 5b'!$G$68:$G$72</c:f>
              <c:numCache>
                <c:formatCode>0.0</c:formatCode>
                <c:ptCount val="5"/>
                <c:pt idx="0">
                  <c:v>8.5733333333333324</c:v>
                </c:pt>
                <c:pt idx="1">
                  <c:v>35.422222222222224</c:v>
                </c:pt>
                <c:pt idx="2">
                  <c:v>52.744444444444447</c:v>
                </c:pt>
                <c:pt idx="3">
                  <c:v>59.222222222222221</c:v>
                </c:pt>
                <c:pt idx="4">
                  <c:v>63.677777777777777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A4-6A43-A592-D1595DAEFD49}"/>
            </c:ext>
          </c:extLst>
        </c:ser>
        <c:ser>
          <c:idx val="3"/>
          <c:order val="3"/>
          <c:tx>
            <c:strRef>
              <c:f>'fig 5b'!$B$34</c:f>
              <c:strCache>
                <c:ptCount val="1"/>
                <c:pt idx="0">
                  <c:v>modified (150 mg/L)</c:v>
                </c:pt>
              </c:strCache>
            </c:strRef>
          </c:tx>
          <c:spPr>
            <a:ln w="9525" cap="rnd">
              <a:solidFill>
                <a:srgbClr val="CC282F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CC282F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5b'!$K$68:$K$72</c:f>
                <c:numCache>
                  <c:formatCode>General</c:formatCode>
                  <c:ptCount val="5"/>
                  <c:pt idx="0">
                    <c:v>2.1943133575474367</c:v>
                  </c:pt>
                  <c:pt idx="1">
                    <c:v>0.55217750769114105</c:v>
                  </c:pt>
                  <c:pt idx="2">
                    <c:v>3.0834684655072842</c:v>
                  </c:pt>
                  <c:pt idx="3">
                    <c:v>10.516512589116097</c:v>
                  </c:pt>
                  <c:pt idx="4">
                    <c:v>11.164941823669595</c:v>
                  </c:pt>
                </c:numCache>
              </c:numRef>
            </c:plus>
            <c:minus>
              <c:numRef>
                <c:f>'fig 5b'!$K$68:$K$72</c:f>
                <c:numCache>
                  <c:formatCode>General</c:formatCode>
                  <c:ptCount val="5"/>
                  <c:pt idx="0">
                    <c:v>2.1943133575474367</c:v>
                  </c:pt>
                  <c:pt idx="1">
                    <c:v>0.55217750769114105</c:v>
                  </c:pt>
                  <c:pt idx="2">
                    <c:v>3.0834684655072842</c:v>
                  </c:pt>
                  <c:pt idx="3">
                    <c:v>10.516512589116097</c:v>
                  </c:pt>
                  <c:pt idx="4">
                    <c:v>11.164941823669595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5b'!$C$68:$C$72</c:f>
              <c:numCache>
                <c:formatCode>General</c:formatCode>
                <c:ptCount val="5"/>
                <c:pt idx="0">
                  <c:v>0</c:v>
                </c:pt>
                <c:pt idx="1">
                  <c:v>0.78400000000000003</c:v>
                </c:pt>
                <c:pt idx="2">
                  <c:v>9.2840000000000007</c:v>
                </c:pt>
                <c:pt idx="3">
                  <c:v>19.283999999999999</c:v>
                </c:pt>
                <c:pt idx="4">
                  <c:v>37.283999999999999</c:v>
                </c:pt>
              </c:numCache>
            </c:numRef>
          </c:xVal>
          <c:yVal>
            <c:numRef>
              <c:f>'fig 5b'!$F$68:$F$72</c:f>
              <c:numCache>
                <c:formatCode>0.0</c:formatCode>
                <c:ptCount val="5"/>
                <c:pt idx="0">
                  <c:v>4.873333333333334</c:v>
                </c:pt>
                <c:pt idx="1">
                  <c:v>6.13</c:v>
                </c:pt>
                <c:pt idx="2">
                  <c:v>22.533333333333331</c:v>
                </c:pt>
                <c:pt idx="3">
                  <c:v>47.355555555555554</c:v>
                </c:pt>
                <c:pt idx="4">
                  <c:v>65.255555555555546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A4-6A43-A592-D1595DAEFD49}"/>
            </c:ext>
          </c:extLst>
        </c:ser>
        <c:ser>
          <c:idx val="4"/>
          <c:order val="4"/>
          <c:tx>
            <c:strRef>
              <c:f>'fig 5b'!$B$80</c:f>
              <c:strCache>
                <c:ptCount val="1"/>
                <c:pt idx="0">
                  <c:v>target</c:v>
                </c:pt>
              </c:strCache>
            </c:strRef>
          </c:tx>
          <c:spPr>
            <a:ln w="196850" cap="rnd">
              <a:solidFill>
                <a:srgbClr val="0070C0">
                  <a:alpha val="10000"/>
                </a:srgb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6850" cap="rnd">
                <a:solidFill>
                  <a:srgbClr val="0070C0">
                    <a:alpha val="1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A4-6A43-A592-D1595DAEFD49}"/>
              </c:ext>
            </c:extLst>
          </c:dPt>
          <c:xVal>
            <c:numRef>
              <c:f>'fig 5b'!$C$80:$C$81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'fig 5b'!$D$80:$D$81</c:f>
              <c:numCache>
                <c:formatCode>General</c:formatCode>
                <c:ptCount val="2"/>
                <c:pt idx="0">
                  <c:v>12.5</c:v>
                </c:pt>
                <c:pt idx="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A4-6A43-A592-D1595DAEF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4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additional NaCl </a:t>
                </a:r>
                <a:r>
                  <a:rPr lang="en-US" sz="800" b="1" baseline="0"/>
                  <a:t>(mM)</a:t>
                </a:r>
                <a:endParaRPr lang="en-US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10"/>
      </c:valAx>
      <c:valAx>
        <c:axId val="1229934895"/>
        <c:scaling>
          <c:orientation val="minMax"/>
          <c:max val="1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turbidity (NTU)</a:t>
                </a:r>
              </a:p>
            </c:rich>
          </c:tx>
          <c:layout>
            <c:manualLayout>
              <c:xMode val="edge"/>
              <c:yMode val="edge"/>
              <c:x val="2.7207665043246967E-2"/>
              <c:y val="0.176655555555555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2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1787411986648263"/>
          <c:y val="6.2103314472704306E-2"/>
          <c:w val="0.43407008547008541"/>
          <c:h val="0.28536296296296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7667859522982"/>
          <c:y val="5.0925925925925923E-2"/>
          <c:w val="0.77035178543636684"/>
          <c:h val="0.78289600229097189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5c'!$B$2</c:f>
              <c:strCache>
                <c:ptCount val="1"/>
                <c:pt idx="0">
                  <c:v>conventional</c:v>
                </c:pt>
              </c:strCache>
            </c:strRef>
          </c:tx>
          <c:spPr>
            <a:ln w="9525" cap="rnd">
              <a:solidFill>
                <a:srgbClr val="0D5B6D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D5B6D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5c'!$I$74:$I$77</c:f>
                <c:numCache>
                  <c:formatCode>General</c:formatCode>
                  <c:ptCount val="4"/>
                  <c:pt idx="0">
                    <c:v>0.28349668493717878</c:v>
                  </c:pt>
                  <c:pt idx="1">
                    <c:v>6.1547632863588744</c:v>
                  </c:pt>
                  <c:pt idx="2">
                    <c:v>14.417594703591703</c:v>
                  </c:pt>
                  <c:pt idx="3">
                    <c:v>22.687082309184245</c:v>
                  </c:pt>
                </c:numCache>
              </c:numRef>
            </c:plus>
            <c:minus>
              <c:numRef>
                <c:f>'fig 5c'!$I$74:$I$77</c:f>
                <c:numCache>
                  <c:formatCode>General</c:formatCode>
                  <c:ptCount val="4"/>
                  <c:pt idx="0">
                    <c:v>0.28349668493717878</c:v>
                  </c:pt>
                  <c:pt idx="1">
                    <c:v>6.1547632863588744</c:v>
                  </c:pt>
                  <c:pt idx="2">
                    <c:v>14.417594703591703</c:v>
                  </c:pt>
                  <c:pt idx="3">
                    <c:v>22.687082309184245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5c'!$C$74:$C$77</c:f>
              <c:numCache>
                <c:formatCode>General</c:formatCode>
                <c:ptCount val="4"/>
                <c:pt idx="0">
                  <c:v>62</c:v>
                </c:pt>
                <c:pt idx="1">
                  <c:v>132</c:v>
                </c:pt>
                <c:pt idx="2">
                  <c:v>200</c:v>
                </c:pt>
                <c:pt idx="3">
                  <c:v>285</c:v>
                </c:pt>
              </c:numCache>
            </c:numRef>
          </c:xVal>
          <c:yVal>
            <c:numRef>
              <c:f>'fig 5c'!$D$74:$D$77</c:f>
              <c:numCache>
                <c:formatCode>0.0</c:formatCode>
                <c:ptCount val="4"/>
                <c:pt idx="0">
                  <c:v>24.288888888888891</c:v>
                </c:pt>
                <c:pt idx="1">
                  <c:v>50.533333333333339</c:v>
                </c:pt>
                <c:pt idx="2">
                  <c:v>67.12222222222222</c:v>
                </c:pt>
                <c:pt idx="3">
                  <c:v>136.88888888888889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9D-2B4F-8377-5769E6D98CEB}"/>
            </c:ext>
          </c:extLst>
        </c:ser>
        <c:ser>
          <c:idx val="1"/>
          <c:order val="1"/>
          <c:tx>
            <c:strRef>
              <c:f>'fig 5c'!$B$18</c:f>
              <c:strCache>
                <c:ptCount val="1"/>
                <c:pt idx="0">
                  <c:v>pristine (150 mg/L)</c:v>
                </c:pt>
              </c:strCache>
            </c:strRef>
          </c:tx>
          <c:spPr>
            <a:ln w="9525" cap="rnd">
              <a:solidFill>
                <a:srgbClr val="85C6D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5c'!$J$74:$J$77</c:f>
                <c:numCache>
                  <c:formatCode>General</c:formatCode>
                  <c:ptCount val="4"/>
                  <c:pt idx="0">
                    <c:v>1.5952475716373344</c:v>
                  </c:pt>
                  <c:pt idx="1">
                    <c:v>4.1873265580443597</c:v>
                  </c:pt>
                  <c:pt idx="2">
                    <c:v>8.1723789546115668</c:v>
                  </c:pt>
                  <c:pt idx="3">
                    <c:v>15.811681101617824</c:v>
                  </c:pt>
                </c:numCache>
              </c:numRef>
            </c:plus>
            <c:minus>
              <c:numRef>
                <c:f>'fig 5c'!$J$74:$J$77</c:f>
                <c:numCache>
                  <c:formatCode>General</c:formatCode>
                  <c:ptCount val="4"/>
                  <c:pt idx="0">
                    <c:v>1.5952475716373344</c:v>
                  </c:pt>
                  <c:pt idx="1">
                    <c:v>4.1873265580443597</c:v>
                  </c:pt>
                  <c:pt idx="2">
                    <c:v>8.1723789546115668</c:v>
                  </c:pt>
                  <c:pt idx="3">
                    <c:v>15.811681101617824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5c'!$C$74:$C$77</c:f>
              <c:numCache>
                <c:formatCode>General</c:formatCode>
                <c:ptCount val="4"/>
                <c:pt idx="0">
                  <c:v>62</c:v>
                </c:pt>
                <c:pt idx="1">
                  <c:v>132</c:v>
                </c:pt>
                <c:pt idx="2">
                  <c:v>200</c:v>
                </c:pt>
                <c:pt idx="3">
                  <c:v>285</c:v>
                </c:pt>
              </c:numCache>
            </c:numRef>
          </c:xVal>
          <c:yVal>
            <c:numRef>
              <c:f>'fig 5c'!$E$74:$E$77</c:f>
              <c:numCache>
                <c:formatCode>0.0</c:formatCode>
                <c:ptCount val="4"/>
                <c:pt idx="0">
                  <c:v>16.555555555555557</c:v>
                </c:pt>
                <c:pt idx="1">
                  <c:v>30.188888888888886</c:v>
                </c:pt>
                <c:pt idx="2">
                  <c:v>42.066666666666663</c:v>
                </c:pt>
                <c:pt idx="3">
                  <c:v>63.244444444444447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9D-2B4F-8377-5769E6D98CEB}"/>
            </c:ext>
          </c:extLst>
        </c:ser>
        <c:ser>
          <c:idx val="3"/>
          <c:order val="2"/>
          <c:tx>
            <c:strRef>
              <c:f>'fig 5c'!$B$50</c:f>
              <c:strCache>
                <c:ptCount val="1"/>
                <c:pt idx="0">
                  <c:v>modified (50 mg/L)</c:v>
                </c:pt>
              </c:strCache>
            </c:strRef>
          </c:tx>
          <c:spPr>
            <a:ln w="9525" cap="rnd">
              <a:solidFill>
                <a:srgbClr val="DF970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5c'!$L$74:$L$77</c:f>
                <c:numCache>
                  <c:formatCode>General</c:formatCode>
                  <c:ptCount val="4"/>
                  <c:pt idx="0">
                    <c:v>0.72572824216884513</c:v>
                  </c:pt>
                  <c:pt idx="1">
                    <c:v>3.9652546506428044</c:v>
                  </c:pt>
                  <c:pt idx="2">
                    <c:v>8.1399392572126192</c:v>
                  </c:pt>
                  <c:pt idx="3">
                    <c:v>5.3898395495942539</c:v>
                  </c:pt>
                </c:numCache>
              </c:numRef>
            </c:plus>
            <c:minus>
              <c:numRef>
                <c:f>'fig 5c'!$L$74:$L$77</c:f>
                <c:numCache>
                  <c:formatCode>General</c:formatCode>
                  <c:ptCount val="4"/>
                  <c:pt idx="0">
                    <c:v>0.72572824216884513</c:v>
                  </c:pt>
                  <c:pt idx="1">
                    <c:v>3.9652546506428044</c:v>
                  </c:pt>
                  <c:pt idx="2">
                    <c:v>8.1399392572126192</c:v>
                  </c:pt>
                  <c:pt idx="3">
                    <c:v>5.3898395495942539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'fig 5c'!$C$74:$C$77</c:f>
              <c:numCache>
                <c:formatCode>General</c:formatCode>
                <c:ptCount val="4"/>
                <c:pt idx="0">
                  <c:v>62</c:v>
                </c:pt>
                <c:pt idx="1">
                  <c:v>132</c:v>
                </c:pt>
                <c:pt idx="2">
                  <c:v>200</c:v>
                </c:pt>
                <c:pt idx="3">
                  <c:v>285</c:v>
                </c:pt>
              </c:numCache>
            </c:numRef>
          </c:xVal>
          <c:yVal>
            <c:numRef>
              <c:f>'fig 5c'!$G$74:$G$77</c:f>
              <c:numCache>
                <c:formatCode>0.0</c:formatCode>
                <c:ptCount val="4"/>
                <c:pt idx="0">
                  <c:v>7.9022222222222211</c:v>
                </c:pt>
                <c:pt idx="1">
                  <c:v>12.080000000000004</c:v>
                </c:pt>
                <c:pt idx="2">
                  <c:v>14.816666666666668</c:v>
                </c:pt>
                <c:pt idx="3">
                  <c:v>26.077777777777779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9D-2B4F-8377-5769E6D98CEB}"/>
            </c:ext>
          </c:extLst>
        </c:ser>
        <c:ser>
          <c:idx val="0"/>
          <c:order val="3"/>
          <c:tx>
            <c:strRef>
              <c:f>'fig 5c'!$B$34</c:f>
              <c:strCache>
                <c:ptCount val="1"/>
                <c:pt idx="0">
                  <c:v>modified (150 mg/L)</c:v>
                </c:pt>
              </c:strCache>
            </c:strRef>
          </c:tx>
          <c:spPr>
            <a:ln w="9525" cap="rnd">
              <a:solidFill>
                <a:srgbClr val="CC282F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CC282F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5c'!$K$74:$K$77</c:f>
                <c:numCache>
                  <c:formatCode>General</c:formatCode>
                  <c:ptCount val="4"/>
                  <c:pt idx="0">
                    <c:v>0.28570251298496824</c:v>
                  </c:pt>
                  <c:pt idx="1">
                    <c:v>0.38586602933219183</c:v>
                  </c:pt>
                  <c:pt idx="2">
                    <c:v>1.0652438427160456</c:v>
                  </c:pt>
                  <c:pt idx="3">
                    <c:v>0.44990122372706509</c:v>
                  </c:pt>
                </c:numCache>
              </c:numRef>
            </c:plus>
            <c:minus>
              <c:numRef>
                <c:f>'fig 5c'!$K$74:$K$77</c:f>
                <c:numCache>
                  <c:formatCode>General</c:formatCode>
                  <c:ptCount val="4"/>
                  <c:pt idx="0">
                    <c:v>0.28570251298496824</c:v>
                  </c:pt>
                  <c:pt idx="1">
                    <c:v>0.38586602933219183</c:v>
                  </c:pt>
                  <c:pt idx="2">
                    <c:v>1.0652438427160456</c:v>
                  </c:pt>
                  <c:pt idx="3">
                    <c:v>0.44990122372706509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5c'!$C$74:$C$77</c:f>
              <c:numCache>
                <c:formatCode>General</c:formatCode>
                <c:ptCount val="4"/>
                <c:pt idx="0">
                  <c:v>62</c:v>
                </c:pt>
                <c:pt idx="1">
                  <c:v>132</c:v>
                </c:pt>
                <c:pt idx="2">
                  <c:v>200</c:v>
                </c:pt>
                <c:pt idx="3">
                  <c:v>285</c:v>
                </c:pt>
              </c:numCache>
            </c:numRef>
          </c:xVal>
          <c:yVal>
            <c:numRef>
              <c:f>'fig 5c'!$F$74:$F$77</c:f>
              <c:numCache>
                <c:formatCode>0.0</c:formatCode>
                <c:ptCount val="4"/>
                <c:pt idx="0">
                  <c:v>2.8144444444444452</c:v>
                </c:pt>
                <c:pt idx="1">
                  <c:v>2.4577777777777778</c:v>
                </c:pt>
                <c:pt idx="2">
                  <c:v>3.9233333333333333</c:v>
                </c:pt>
                <c:pt idx="3">
                  <c:v>4.293333333333333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9D-2B4F-8377-5769E6D98CEB}"/>
            </c:ext>
          </c:extLst>
        </c:ser>
        <c:ser>
          <c:idx val="4"/>
          <c:order val="4"/>
          <c:tx>
            <c:strRef>
              <c:f>'fig 5c'!$B$79</c:f>
              <c:strCache>
                <c:ptCount val="1"/>
                <c:pt idx="0">
                  <c:v>target</c:v>
                </c:pt>
              </c:strCache>
            </c:strRef>
          </c:tx>
          <c:spPr>
            <a:ln w="171450" cap="rnd">
              <a:solidFill>
                <a:schemeClr val="tx1">
                  <a:alpha val="1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71450" cap="rnd">
                <a:solidFill>
                  <a:srgbClr val="0070C0">
                    <a:alpha val="10000"/>
                  </a:srgb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9D-2B4F-8377-5769E6D98CEB}"/>
              </c:ext>
            </c:extLst>
          </c:dPt>
          <c:xVal>
            <c:numRef>
              <c:f>'fig 5c'!$C$79:$C$80</c:f>
              <c:numCache>
                <c:formatCode>General</c:formatCode>
                <c:ptCount val="2"/>
                <c:pt idx="0">
                  <c:v>0</c:v>
                </c:pt>
                <c:pt idx="1">
                  <c:v>300</c:v>
                </c:pt>
              </c:numCache>
            </c:numRef>
          </c:xVal>
          <c:yVal>
            <c:numRef>
              <c:f>'fig 5c'!$D$79:$D$80</c:f>
              <c:numCache>
                <c:formatCode>0.0</c:formatCode>
                <c:ptCount val="2"/>
                <c:pt idx="0" formatCode="General">
                  <c:v>12.5</c:v>
                </c:pt>
                <c:pt idx="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49D-2B4F-8377-5769E6D98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300"/>
          <c:min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initial turbidity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50"/>
      </c:valAx>
      <c:valAx>
        <c:axId val="1229934895"/>
        <c:scaling>
          <c:orientation val="minMax"/>
          <c:max val="19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2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16522533662389283"/>
          <c:y val="6.2616358599301716E-2"/>
          <c:w val="0.48394650826940766"/>
          <c:h val="0.277357542506382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86016832477344"/>
          <c:y val="5.0925925925925923E-2"/>
          <c:w val="0.7703556335438676"/>
          <c:h val="0.7750213889681072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5c'!$B$2</c:f>
              <c:strCache>
                <c:ptCount val="1"/>
                <c:pt idx="0">
                  <c:v>conventional</c:v>
                </c:pt>
              </c:strCache>
            </c:strRef>
          </c:tx>
          <c:spPr>
            <a:ln w="9525" cap="rnd">
              <a:solidFill>
                <a:srgbClr val="0E597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E5972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5c'!$I$68:$I$71</c:f>
                <c:numCache>
                  <c:formatCode>General</c:formatCode>
                  <c:ptCount val="4"/>
                  <c:pt idx="0">
                    <c:v>2.2241935700466842</c:v>
                  </c:pt>
                  <c:pt idx="1">
                    <c:v>3.3388842669592731</c:v>
                  </c:pt>
                  <c:pt idx="2">
                    <c:v>24.360715187457966</c:v>
                  </c:pt>
                  <c:pt idx="3">
                    <c:v>19.530602767053672</c:v>
                  </c:pt>
                </c:numCache>
              </c:numRef>
            </c:plus>
            <c:minus>
              <c:numRef>
                <c:f>'fig 5c'!$I$68:$I$71</c:f>
                <c:numCache>
                  <c:formatCode>General</c:formatCode>
                  <c:ptCount val="4"/>
                  <c:pt idx="0">
                    <c:v>2.2241935700466842</c:v>
                  </c:pt>
                  <c:pt idx="1">
                    <c:v>3.3388842669592731</c:v>
                  </c:pt>
                  <c:pt idx="2">
                    <c:v>24.360715187457966</c:v>
                  </c:pt>
                  <c:pt idx="3">
                    <c:v>19.530602767053672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  <a:headEnd type="none"/>
                <a:tailEnd type="none" w="sm" len="sm"/>
              </a:ln>
              <a:effectLst/>
            </c:spPr>
          </c:errBars>
          <c:xVal>
            <c:numRef>
              <c:f>'fig 5c'!$C$68:$C$71</c:f>
              <c:numCache>
                <c:formatCode>General</c:formatCode>
                <c:ptCount val="4"/>
                <c:pt idx="0">
                  <c:v>62</c:v>
                </c:pt>
                <c:pt idx="1">
                  <c:v>132</c:v>
                </c:pt>
                <c:pt idx="2">
                  <c:v>200</c:v>
                </c:pt>
                <c:pt idx="3">
                  <c:v>285</c:v>
                </c:pt>
              </c:numCache>
            </c:numRef>
          </c:xVal>
          <c:yVal>
            <c:numRef>
              <c:f>'fig 5c'!$D$68:$D$71</c:f>
              <c:numCache>
                <c:formatCode>0.0</c:formatCode>
                <c:ptCount val="4"/>
                <c:pt idx="0">
                  <c:v>69.288888888888891</c:v>
                </c:pt>
                <c:pt idx="1">
                  <c:v>125.1111111111111</c:v>
                </c:pt>
                <c:pt idx="2">
                  <c:v>184.33333333333334</c:v>
                </c:pt>
                <c:pt idx="3">
                  <c:v>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2-964A-998D-691EB4FCEF38}"/>
            </c:ext>
          </c:extLst>
        </c:ser>
        <c:ser>
          <c:idx val="0"/>
          <c:order val="1"/>
          <c:tx>
            <c:strRef>
              <c:f>'fig 5c'!$B$18</c:f>
              <c:strCache>
                <c:ptCount val="1"/>
                <c:pt idx="0">
                  <c:v>pristine (150 mg/L)</c:v>
                </c:pt>
              </c:strCache>
            </c:strRef>
          </c:tx>
          <c:spPr>
            <a:ln w="9525" cap="rnd">
              <a:solidFill>
                <a:srgbClr val="85C6D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5c'!$J$68:$J$71</c:f>
                <c:numCache>
                  <c:formatCode>General</c:formatCode>
                  <c:ptCount val="4"/>
                  <c:pt idx="0">
                    <c:v>3.6375103410824123</c:v>
                  </c:pt>
                  <c:pt idx="1">
                    <c:v>9.7495868858349546</c:v>
                  </c:pt>
                  <c:pt idx="2">
                    <c:v>6.0048437238739325</c:v>
                  </c:pt>
                  <c:pt idx="3">
                    <c:v>15.753518125591315</c:v>
                  </c:pt>
                </c:numCache>
              </c:numRef>
            </c:plus>
            <c:minus>
              <c:numRef>
                <c:f>'fig 5c'!$J$68:$J$71</c:f>
                <c:numCache>
                  <c:formatCode>General</c:formatCode>
                  <c:ptCount val="4"/>
                  <c:pt idx="0">
                    <c:v>3.6375103410824123</c:v>
                  </c:pt>
                  <c:pt idx="1">
                    <c:v>9.7495868858349546</c:v>
                  </c:pt>
                  <c:pt idx="2">
                    <c:v>6.0048437238739325</c:v>
                  </c:pt>
                  <c:pt idx="3">
                    <c:v>15.753518125591315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5c'!$C$68:$C$71</c:f>
              <c:numCache>
                <c:formatCode>General</c:formatCode>
                <c:ptCount val="4"/>
                <c:pt idx="0">
                  <c:v>62</c:v>
                </c:pt>
                <c:pt idx="1">
                  <c:v>132</c:v>
                </c:pt>
                <c:pt idx="2">
                  <c:v>200</c:v>
                </c:pt>
                <c:pt idx="3">
                  <c:v>285</c:v>
                </c:pt>
              </c:numCache>
            </c:numRef>
          </c:xVal>
          <c:yVal>
            <c:numRef>
              <c:f>'fig 5c'!$E$68:$E$71</c:f>
              <c:numCache>
                <c:formatCode>0.0</c:formatCode>
                <c:ptCount val="4"/>
                <c:pt idx="0">
                  <c:v>31.811111111111106</c:v>
                </c:pt>
                <c:pt idx="1">
                  <c:v>44.066666666666663</c:v>
                </c:pt>
                <c:pt idx="2">
                  <c:v>50.24444444444444</c:v>
                </c:pt>
                <c:pt idx="3">
                  <c:v>63.866666666666667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52-964A-998D-691EB4FCEF38}"/>
            </c:ext>
          </c:extLst>
        </c:ser>
        <c:ser>
          <c:idx val="1"/>
          <c:order val="2"/>
          <c:tx>
            <c:strRef>
              <c:f>'fig 5c'!$B$50</c:f>
              <c:strCache>
                <c:ptCount val="1"/>
                <c:pt idx="0">
                  <c:v>modified (50 mg/L)</c:v>
                </c:pt>
              </c:strCache>
            </c:strRef>
          </c:tx>
          <c:spPr>
            <a:ln w="9525" cap="rnd">
              <a:solidFill>
                <a:srgbClr val="DF970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5c'!$L$68:$L$71</c:f>
                <c:numCache>
                  <c:formatCode>General</c:formatCode>
                  <c:ptCount val="4"/>
                  <c:pt idx="0">
                    <c:v>0.83845757859960413</c:v>
                  </c:pt>
                  <c:pt idx="1">
                    <c:v>4.098915845819616</c:v>
                  </c:pt>
                  <c:pt idx="2">
                    <c:v>11.200065972027923</c:v>
                  </c:pt>
                  <c:pt idx="3">
                    <c:v>5.5798247682561346</c:v>
                  </c:pt>
                </c:numCache>
              </c:numRef>
            </c:plus>
            <c:minus>
              <c:numRef>
                <c:f>'fig 5c'!$L$68:$L$71</c:f>
                <c:numCache>
                  <c:formatCode>General</c:formatCode>
                  <c:ptCount val="4"/>
                  <c:pt idx="0">
                    <c:v>0.83845757859960413</c:v>
                  </c:pt>
                  <c:pt idx="1">
                    <c:v>4.098915845819616</c:v>
                  </c:pt>
                  <c:pt idx="2">
                    <c:v>11.200065972027923</c:v>
                  </c:pt>
                  <c:pt idx="3">
                    <c:v>5.5798247682561346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'fig 5c'!$C$68:$C$71</c:f>
              <c:numCache>
                <c:formatCode>General</c:formatCode>
                <c:ptCount val="4"/>
                <c:pt idx="0">
                  <c:v>62</c:v>
                </c:pt>
                <c:pt idx="1">
                  <c:v>132</c:v>
                </c:pt>
                <c:pt idx="2">
                  <c:v>200</c:v>
                </c:pt>
                <c:pt idx="3">
                  <c:v>285</c:v>
                </c:pt>
              </c:numCache>
            </c:numRef>
          </c:xVal>
          <c:yVal>
            <c:numRef>
              <c:f>'fig 5c'!$G$68:$G$71</c:f>
              <c:numCache>
                <c:formatCode>0.0</c:formatCode>
                <c:ptCount val="4"/>
                <c:pt idx="0">
                  <c:v>8.5733333333333324</c:v>
                </c:pt>
                <c:pt idx="1">
                  <c:v>14.766666666666666</c:v>
                </c:pt>
                <c:pt idx="2">
                  <c:v>20.169999999999998</c:v>
                </c:pt>
                <c:pt idx="3">
                  <c:v>30.7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52-964A-998D-691EB4FCEF38}"/>
            </c:ext>
          </c:extLst>
        </c:ser>
        <c:ser>
          <c:idx val="3"/>
          <c:order val="3"/>
          <c:tx>
            <c:strRef>
              <c:f>'fig 5c'!$B$34</c:f>
              <c:strCache>
                <c:ptCount val="1"/>
                <c:pt idx="0">
                  <c:v>modified (150 mg/L)</c:v>
                </c:pt>
              </c:strCache>
            </c:strRef>
          </c:tx>
          <c:spPr>
            <a:ln w="9525" cap="rnd">
              <a:solidFill>
                <a:srgbClr val="CC282F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CC282F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5c'!$K$69:$K$71</c:f>
                <c:numCache>
                  <c:formatCode>General</c:formatCode>
                  <c:ptCount val="3"/>
                  <c:pt idx="0">
                    <c:v>0.25542992080890697</c:v>
                  </c:pt>
                  <c:pt idx="1">
                    <c:v>1.0467108978622983</c:v>
                  </c:pt>
                  <c:pt idx="2">
                    <c:v>0.64769963317483648</c:v>
                  </c:pt>
                </c:numCache>
              </c:numRef>
            </c:plus>
            <c:minus>
              <c:numRef>
                <c:f>'fig 5c'!$K$69:$K$71</c:f>
                <c:numCache>
                  <c:formatCode>General</c:formatCode>
                  <c:ptCount val="3"/>
                  <c:pt idx="0">
                    <c:v>0.25542992080890697</c:v>
                  </c:pt>
                  <c:pt idx="1">
                    <c:v>1.0467108978622983</c:v>
                  </c:pt>
                  <c:pt idx="2">
                    <c:v>0.64769963317483648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5c'!$C$68:$C$71</c:f>
              <c:numCache>
                <c:formatCode>General</c:formatCode>
                <c:ptCount val="4"/>
                <c:pt idx="0">
                  <c:v>62</c:v>
                </c:pt>
                <c:pt idx="1">
                  <c:v>132</c:v>
                </c:pt>
                <c:pt idx="2">
                  <c:v>200</c:v>
                </c:pt>
                <c:pt idx="3">
                  <c:v>285</c:v>
                </c:pt>
              </c:numCache>
            </c:numRef>
          </c:xVal>
          <c:yVal>
            <c:numRef>
              <c:f>'fig 5c'!$F$68:$F$71</c:f>
              <c:numCache>
                <c:formatCode>0.0</c:formatCode>
                <c:ptCount val="4"/>
                <c:pt idx="0">
                  <c:v>4.873333333333334</c:v>
                </c:pt>
                <c:pt idx="1">
                  <c:v>2.563333333333333</c:v>
                </c:pt>
                <c:pt idx="2">
                  <c:v>4.2711111111111109</c:v>
                </c:pt>
                <c:pt idx="3">
                  <c:v>4.684444444444444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52-964A-998D-691EB4FCEF38}"/>
            </c:ext>
          </c:extLst>
        </c:ser>
        <c:ser>
          <c:idx val="4"/>
          <c:order val="4"/>
          <c:tx>
            <c:strRef>
              <c:f>'fig 5c'!$B$79</c:f>
              <c:strCache>
                <c:ptCount val="1"/>
                <c:pt idx="0">
                  <c:v>target</c:v>
                </c:pt>
              </c:strCache>
            </c:strRef>
          </c:tx>
          <c:spPr>
            <a:ln w="984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82550" cap="rnd">
                <a:solidFill>
                  <a:srgbClr val="0070C0">
                    <a:alpha val="1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252-964A-998D-691EB4FCEF38}"/>
              </c:ext>
            </c:extLst>
          </c:dPt>
          <c:xVal>
            <c:numRef>
              <c:f>'fig 5c'!$C$79:$C$80</c:f>
              <c:numCache>
                <c:formatCode>General</c:formatCode>
                <c:ptCount val="2"/>
                <c:pt idx="0">
                  <c:v>0</c:v>
                </c:pt>
                <c:pt idx="1">
                  <c:v>300</c:v>
                </c:pt>
              </c:numCache>
            </c:numRef>
          </c:xVal>
          <c:yVal>
            <c:numRef>
              <c:f>'fig 5c'!$D$79:$D$80</c:f>
              <c:numCache>
                <c:formatCode>0.0</c:formatCode>
                <c:ptCount val="2"/>
                <c:pt idx="0" formatCode="General">
                  <c:v>12.5</c:v>
                </c:pt>
                <c:pt idx="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52-964A-998D-691EB4FCE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300"/>
          <c:min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initial turbidity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50"/>
      </c:valAx>
      <c:valAx>
        <c:axId val="1229934895"/>
        <c:scaling>
          <c:orientation val="minMax"/>
          <c:max val="34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turbidity (NTU)</a:t>
                </a:r>
              </a:p>
            </c:rich>
          </c:tx>
          <c:layout>
            <c:manualLayout>
              <c:xMode val="edge"/>
              <c:yMode val="edge"/>
              <c:x val="1.6340459322986771E-2"/>
              <c:y val="0.176655256125888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4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16246196787086778"/>
          <c:y val="6.9747789189342685E-2"/>
          <c:w val="0.49486467870888018"/>
          <c:h val="0.277162137637546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164254</xdr:colOff>
      <xdr:row>64</xdr:row>
      <xdr:rowOff>160022</xdr:rowOff>
    </xdr:from>
    <xdr:to>
      <xdr:col>20</xdr:col>
      <xdr:colOff>141116</xdr:colOff>
      <xdr:row>72</xdr:row>
      <xdr:rowOff>176292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5604A87-BAFD-B888-1A0C-D8B379F902A9}"/>
            </a:ext>
          </a:extLst>
        </xdr:cNvPr>
        <xdr:cNvGrpSpPr/>
      </xdr:nvGrpSpPr>
      <xdr:grpSpPr>
        <a:xfrm>
          <a:off x="7642014" y="13164822"/>
          <a:ext cx="4447262" cy="1641870"/>
          <a:chOff x="7729463" y="13457465"/>
          <a:chExt cx="4452100" cy="1646001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E88C8BE3-AD99-3448-B47B-9A78B5375FA4}"/>
              </a:ext>
            </a:extLst>
          </xdr:cNvPr>
          <xdr:cNvGraphicFramePr>
            <a:graphicFrameLocks/>
          </xdr:cNvGraphicFramePr>
        </xdr:nvGraphicFramePr>
        <xdr:xfrm>
          <a:off x="9839144" y="13463129"/>
          <a:ext cx="2342419" cy="16403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A25922CD-75CC-5442-9267-0B7B4A46EC35}"/>
              </a:ext>
            </a:extLst>
          </xdr:cNvPr>
          <xdr:cNvGraphicFramePr>
            <a:graphicFrameLocks/>
          </xdr:cNvGraphicFramePr>
        </xdr:nvGraphicFramePr>
        <xdr:xfrm>
          <a:off x="7729463" y="13457465"/>
          <a:ext cx="2342419" cy="16403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0.58261</cdr:x>
      <cdr:y>0.05099</cdr:y>
    </cdr:from>
    <cdr:to>
      <cdr:x>0.95424</cdr:x>
      <cdr:y>0.14972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87C9BF51-F0B5-4EBC-93A4-5C1FC1754B16}"/>
            </a:ext>
          </a:extLst>
        </cdr:cNvPr>
        <cdr:cNvSpPr txBox="1"/>
      </cdr:nvSpPr>
      <cdr:spPr>
        <a:xfrm xmlns:a="http://schemas.openxmlformats.org/drawingml/2006/main">
          <a:off x="1363632" y="82604"/>
          <a:ext cx="869824" cy="1599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700" b="1">
              <a:latin typeface="Arial" panose="020B0604020202020204" pitchFamily="34" charset="0"/>
              <a:cs typeface="Arial" panose="020B0604020202020204" pitchFamily="34" charset="0"/>
            </a:rPr>
            <a:t>180 s settling</a:t>
          </a:r>
        </a:p>
        <a:p xmlns:a="http://schemas.openxmlformats.org/drawingml/2006/main">
          <a:pPr algn="r"/>
          <a:endParaRPr lang="en-US" sz="7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0.61148</cdr:x>
      <cdr:y>0.05318</cdr:y>
    </cdr:from>
    <cdr:to>
      <cdr:x>0.95603</cdr:x>
      <cdr:y>0.1478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87C9BF51-F0B5-4EBC-93A4-5C1FC1754B16}"/>
            </a:ext>
          </a:extLst>
        </cdr:cNvPr>
        <cdr:cNvSpPr txBox="1"/>
      </cdr:nvSpPr>
      <cdr:spPr>
        <a:xfrm xmlns:a="http://schemas.openxmlformats.org/drawingml/2006/main">
          <a:off x="1431209" y="86145"/>
          <a:ext cx="806441" cy="1532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700" b="1">
              <a:latin typeface="Arial" panose="020B0604020202020204" pitchFamily="34" charset="0"/>
              <a:cs typeface="Arial" panose="020B0604020202020204" pitchFamily="34" charset="0"/>
            </a:rPr>
            <a:t>30 s settling</a:t>
          </a:r>
        </a:p>
        <a:p xmlns:a="http://schemas.openxmlformats.org/drawingml/2006/main">
          <a:pPr algn="r"/>
          <a:endParaRPr lang="en-US" sz="7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353292</xdr:colOff>
      <xdr:row>65</xdr:row>
      <xdr:rowOff>195791</xdr:rowOff>
    </xdr:from>
    <xdr:to>
      <xdr:col>20</xdr:col>
      <xdr:colOff>353122</xdr:colOff>
      <xdr:row>74</xdr:row>
      <xdr:rowOff>4892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68AEC7A-FB2B-0B4A-9687-0F1B65439438}"/>
            </a:ext>
          </a:extLst>
        </xdr:cNvPr>
        <xdr:cNvGrpSpPr/>
      </xdr:nvGrpSpPr>
      <xdr:grpSpPr>
        <a:xfrm>
          <a:off x="7842557" y="13549467"/>
          <a:ext cx="4482183" cy="1658072"/>
          <a:chOff x="7729463" y="13457465"/>
          <a:chExt cx="4443341" cy="1648514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5975700A-F4CC-B022-7627-8D7994150F7A}"/>
              </a:ext>
            </a:extLst>
          </xdr:cNvPr>
          <xdr:cNvGraphicFramePr>
            <a:graphicFrameLocks/>
          </xdr:cNvGraphicFramePr>
        </xdr:nvGraphicFramePr>
        <xdr:xfrm>
          <a:off x="9839144" y="13463129"/>
          <a:ext cx="2333660" cy="1642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8F13E69C-A4A7-59A3-1231-19AAD3059BE2}"/>
              </a:ext>
            </a:extLst>
          </xdr:cNvPr>
          <xdr:cNvGraphicFramePr>
            <a:graphicFrameLocks/>
          </xdr:cNvGraphicFramePr>
        </xdr:nvGraphicFramePr>
        <xdr:xfrm>
          <a:off x="7729463" y="13457465"/>
          <a:ext cx="2333660" cy="1642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0.57734</cdr:x>
      <cdr:y>0.05099</cdr:y>
    </cdr:from>
    <cdr:to>
      <cdr:x>0.94897</cdr:x>
      <cdr:y>0.14972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87C9BF51-F0B5-4EBC-93A4-5C1FC1754B16}"/>
            </a:ext>
          </a:extLst>
        </cdr:cNvPr>
        <cdr:cNvSpPr txBox="1"/>
      </cdr:nvSpPr>
      <cdr:spPr>
        <a:xfrm xmlns:a="http://schemas.openxmlformats.org/drawingml/2006/main">
          <a:off x="1558808" y="91781"/>
          <a:ext cx="1003408" cy="1777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700" b="1">
              <a:latin typeface="Arial" panose="020B0604020202020204" pitchFamily="34" charset="0"/>
              <a:cs typeface="Arial" panose="020B0604020202020204" pitchFamily="34" charset="0"/>
            </a:rPr>
            <a:t>180 s settling</a:t>
          </a:r>
        </a:p>
        <a:p xmlns:a="http://schemas.openxmlformats.org/drawingml/2006/main">
          <a:pPr algn="r"/>
          <a:endParaRPr lang="en-US" sz="7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0.6047</cdr:x>
      <cdr:y>0.05498</cdr:y>
    </cdr:from>
    <cdr:to>
      <cdr:x>0.94925</cdr:x>
      <cdr:y>0.1496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87C9BF51-F0B5-4EBC-93A4-5C1FC1754B16}"/>
            </a:ext>
          </a:extLst>
        </cdr:cNvPr>
        <cdr:cNvSpPr txBox="1"/>
      </cdr:nvSpPr>
      <cdr:spPr>
        <a:xfrm xmlns:a="http://schemas.openxmlformats.org/drawingml/2006/main">
          <a:off x="1414987" y="89073"/>
          <a:ext cx="806247" cy="1532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700" b="1">
              <a:latin typeface="Arial" panose="020B0604020202020204" pitchFamily="34" charset="0"/>
              <a:cs typeface="Arial" panose="020B0604020202020204" pitchFamily="34" charset="0"/>
            </a:rPr>
            <a:t>30 s settling</a:t>
          </a:r>
        </a:p>
        <a:p xmlns:a="http://schemas.openxmlformats.org/drawingml/2006/main">
          <a:pPr algn="r"/>
          <a:endParaRPr lang="en-US" sz="7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283324</xdr:colOff>
      <xdr:row>65</xdr:row>
      <xdr:rowOff>9385</xdr:rowOff>
    </xdr:from>
    <xdr:to>
      <xdr:col>18</xdr:col>
      <xdr:colOff>353707</xdr:colOff>
      <xdr:row>73</xdr:row>
      <xdr:rowOff>10921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4DFDBD0-2350-7440-941B-14663C8D07B3}"/>
            </a:ext>
          </a:extLst>
        </xdr:cNvPr>
        <xdr:cNvGrpSpPr/>
      </xdr:nvGrpSpPr>
      <xdr:grpSpPr>
        <a:xfrm>
          <a:off x="7734652" y="12907823"/>
          <a:ext cx="4475696" cy="1589036"/>
          <a:chOff x="7729463" y="13457465"/>
          <a:chExt cx="4492057" cy="1632913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441CCF72-7C17-BCEF-E7CC-46CB61E67566}"/>
              </a:ext>
            </a:extLst>
          </xdr:cNvPr>
          <xdr:cNvGraphicFramePr>
            <a:graphicFrameLocks/>
          </xdr:cNvGraphicFramePr>
        </xdr:nvGraphicFramePr>
        <xdr:xfrm>
          <a:off x="9879101" y="13463123"/>
          <a:ext cx="2342419" cy="16272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27B0644-6889-B7EB-0AEF-D24745B9F59C}"/>
              </a:ext>
            </a:extLst>
          </xdr:cNvPr>
          <xdr:cNvGraphicFramePr>
            <a:graphicFrameLocks/>
          </xdr:cNvGraphicFramePr>
        </xdr:nvGraphicFramePr>
        <xdr:xfrm>
          <a:off x="7729463" y="13457465"/>
          <a:ext cx="2342419" cy="16272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0.56725</cdr:x>
      <cdr:y>0.05099</cdr:y>
    </cdr:from>
    <cdr:to>
      <cdr:x>0.93888</cdr:x>
      <cdr:y>0.14972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87C9BF51-F0B5-4EBC-93A4-5C1FC1754B16}"/>
            </a:ext>
          </a:extLst>
        </cdr:cNvPr>
        <cdr:cNvSpPr txBox="1"/>
      </cdr:nvSpPr>
      <cdr:spPr>
        <a:xfrm xmlns:a="http://schemas.openxmlformats.org/drawingml/2006/main">
          <a:off x="1326685" y="82603"/>
          <a:ext cx="869172" cy="1599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700" b="1">
              <a:latin typeface="Arial" panose="020B0604020202020204" pitchFamily="34" charset="0"/>
              <a:cs typeface="Arial" panose="020B0604020202020204" pitchFamily="34" charset="0"/>
            </a:rPr>
            <a:t>180 s settling</a:t>
          </a:r>
        </a:p>
        <a:p xmlns:a="http://schemas.openxmlformats.org/drawingml/2006/main">
          <a:pPr algn="r"/>
          <a:endParaRPr lang="en-US" sz="7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0.61559</cdr:x>
      <cdr:y>0.05242</cdr:y>
    </cdr:from>
    <cdr:to>
      <cdr:x>0.93786</cdr:x>
      <cdr:y>0.14704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87C9BF51-F0B5-4EBC-93A4-5C1FC1754B16}"/>
            </a:ext>
          </a:extLst>
        </cdr:cNvPr>
        <cdr:cNvSpPr txBox="1"/>
      </cdr:nvSpPr>
      <cdr:spPr>
        <a:xfrm xmlns:a="http://schemas.openxmlformats.org/drawingml/2006/main">
          <a:off x="1439744" y="84923"/>
          <a:ext cx="753741" cy="1532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700" b="1">
              <a:latin typeface="Arial" panose="020B0604020202020204" pitchFamily="34" charset="0"/>
              <a:cs typeface="Arial" panose="020B0604020202020204" pitchFamily="34" charset="0"/>
            </a:rPr>
            <a:t>30 s settling</a:t>
          </a:r>
        </a:p>
        <a:p xmlns:a="http://schemas.openxmlformats.org/drawingml/2006/main">
          <a:pPr algn="r"/>
          <a:endParaRPr lang="en-US" sz="7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100F-B998-1947-A092-2D15C21482BF}">
  <dimension ref="B2:T111"/>
  <sheetViews>
    <sheetView topLeftCell="A18" zoomScale="125" zoomScaleNormal="228" workbookViewId="0">
      <selection activeCell="P79" sqref="P79"/>
    </sheetView>
  </sheetViews>
  <sheetFormatPr baseColWidth="10" defaultRowHeight="16" x14ac:dyDescent="0.2"/>
  <cols>
    <col min="2" max="2" width="14" customWidth="1"/>
    <col min="3" max="14" width="7.33203125" bestFit="1" customWidth="1"/>
    <col min="15" max="20" width="7.33203125" customWidth="1"/>
  </cols>
  <sheetData>
    <row r="2" spans="2:20" x14ac:dyDescent="0.2">
      <c r="B2" s="6" t="s">
        <v>20</v>
      </c>
      <c r="C2" s="17" t="s">
        <v>3</v>
      </c>
      <c r="D2" s="17"/>
      <c r="E2" s="17"/>
      <c r="F2" s="17" t="s">
        <v>4</v>
      </c>
      <c r="G2" s="17"/>
      <c r="H2" s="17"/>
      <c r="I2" s="17" t="s">
        <v>5</v>
      </c>
      <c r="J2" s="17"/>
      <c r="K2" s="17"/>
      <c r="L2" s="17" t="s">
        <v>9</v>
      </c>
      <c r="M2" s="17"/>
      <c r="N2" s="17"/>
      <c r="O2" s="17" t="s">
        <v>15</v>
      </c>
      <c r="P2" s="17"/>
      <c r="Q2" s="17"/>
      <c r="R2" s="17"/>
      <c r="S2" s="17"/>
      <c r="T2" s="17"/>
    </row>
    <row r="3" spans="2:20" x14ac:dyDescent="0.2">
      <c r="B3" t="s">
        <v>24</v>
      </c>
      <c r="C3" s="9">
        <v>7</v>
      </c>
      <c r="D3" s="9">
        <v>7</v>
      </c>
      <c r="E3" s="9">
        <v>7</v>
      </c>
      <c r="F3" s="9">
        <v>7.7</v>
      </c>
      <c r="G3" s="9">
        <v>7.7</v>
      </c>
      <c r="H3" s="9">
        <v>7.7</v>
      </c>
      <c r="I3" s="9">
        <v>8.1999999999999993</v>
      </c>
      <c r="J3" s="9">
        <v>8.1999999999999993</v>
      </c>
      <c r="K3" s="9">
        <v>8.1999999999999993</v>
      </c>
      <c r="L3" s="9">
        <v>8.5</v>
      </c>
      <c r="M3" s="9">
        <v>8.5</v>
      </c>
      <c r="N3" s="9">
        <v>8.5</v>
      </c>
      <c r="O3" s="9">
        <v>8.9</v>
      </c>
      <c r="P3" s="9">
        <v>8.9</v>
      </c>
      <c r="Q3" s="9">
        <v>8.9</v>
      </c>
    </row>
    <row r="4" spans="2:20" x14ac:dyDescent="0.2">
      <c r="B4" s="1"/>
      <c r="C4" s="1" t="s">
        <v>0</v>
      </c>
      <c r="D4" s="1" t="s">
        <v>1</v>
      </c>
      <c r="E4" s="1" t="s">
        <v>2</v>
      </c>
      <c r="F4" s="1" t="s">
        <v>0</v>
      </c>
      <c r="G4" s="1" t="s">
        <v>1</v>
      </c>
      <c r="H4" s="1" t="s">
        <v>2</v>
      </c>
      <c r="I4" s="1" t="s">
        <v>0</v>
      </c>
      <c r="J4" s="1" t="s">
        <v>1</v>
      </c>
      <c r="K4" s="1" t="s">
        <v>2</v>
      </c>
      <c r="L4" s="1" t="s">
        <v>0</v>
      </c>
      <c r="M4" s="1" t="s">
        <v>1</v>
      </c>
      <c r="N4" s="1" t="s">
        <v>2</v>
      </c>
      <c r="O4" s="1" t="s">
        <v>0</v>
      </c>
      <c r="P4" s="1" t="s">
        <v>1</v>
      </c>
      <c r="Q4" s="1" t="s">
        <v>2</v>
      </c>
    </row>
    <row r="5" spans="2:20" x14ac:dyDescent="0.2">
      <c r="B5" s="18" t="s">
        <v>6</v>
      </c>
      <c r="C5" s="13">
        <v>60.5</v>
      </c>
      <c r="D5" s="13">
        <v>60.6</v>
      </c>
      <c r="E5" s="13">
        <v>60.1</v>
      </c>
      <c r="F5" s="13">
        <v>62.6</v>
      </c>
      <c r="G5" s="13">
        <v>62.2</v>
      </c>
      <c r="H5" s="13">
        <v>61.1</v>
      </c>
      <c r="I5" s="13">
        <v>63.1</v>
      </c>
      <c r="J5" s="13">
        <v>61.6</v>
      </c>
      <c r="K5" s="13">
        <v>61</v>
      </c>
      <c r="L5" s="13">
        <v>58.4</v>
      </c>
      <c r="M5" s="13">
        <v>57.8</v>
      </c>
      <c r="N5" s="13">
        <v>59</v>
      </c>
      <c r="O5" s="13">
        <v>62.7</v>
      </c>
      <c r="P5" s="13">
        <v>61.6</v>
      </c>
      <c r="Q5" s="13">
        <v>61.4</v>
      </c>
    </row>
    <row r="6" spans="2:20" x14ac:dyDescent="0.2">
      <c r="B6" s="19"/>
      <c r="C6" s="13">
        <v>61.1</v>
      </c>
      <c r="D6" s="13">
        <v>60.6</v>
      </c>
      <c r="E6" s="13">
        <v>60.3</v>
      </c>
      <c r="F6" s="13">
        <v>62.6</v>
      </c>
      <c r="G6" s="13">
        <v>62.5</v>
      </c>
      <c r="H6" s="13">
        <v>61.9</v>
      </c>
      <c r="I6" s="13">
        <v>62</v>
      </c>
      <c r="J6" s="13">
        <v>61.5</v>
      </c>
      <c r="K6" s="13">
        <v>61.5</v>
      </c>
      <c r="L6" s="13">
        <v>58.4</v>
      </c>
      <c r="M6" s="13">
        <v>58.3</v>
      </c>
      <c r="N6" s="13">
        <v>59.4</v>
      </c>
      <c r="O6" s="13">
        <v>62.7</v>
      </c>
      <c r="P6" s="13">
        <v>61.7</v>
      </c>
      <c r="Q6" s="13">
        <v>61.6</v>
      </c>
    </row>
    <row r="7" spans="2:20" x14ac:dyDescent="0.2">
      <c r="B7" s="20"/>
      <c r="C7" s="14">
        <v>61.7</v>
      </c>
      <c r="D7" s="14">
        <v>60.5</v>
      </c>
      <c r="E7" s="14">
        <v>60</v>
      </c>
      <c r="F7" s="14">
        <v>63</v>
      </c>
      <c r="G7" s="14">
        <v>62.4</v>
      </c>
      <c r="H7" s="14">
        <v>61.7</v>
      </c>
      <c r="I7" s="14">
        <v>62.3</v>
      </c>
      <c r="J7" s="14">
        <v>61.5</v>
      </c>
      <c r="K7" s="14">
        <v>61.7</v>
      </c>
      <c r="L7" s="14">
        <v>58.4</v>
      </c>
      <c r="M7" s="14">
        <v>58.3</v>
      </c>
      <c r="N7" s="14">
        <v>59</v>
      </c>
      <c r="O7" s="14">
        <v>62.5</v>
      </c>
      <c r="P7" s="14">
        <v>61.6</v>
      </c>
      <c r="Q7" s="14">
        <v>61.4</v>
      </c>
    </row>
    <row r="8" spans="2:20" x14ac:dyDescent="0.2">
      <c r="B8" s="18" t="s">
        <v>7</v>
      </c>
      <c r="C8" s="13">
        <v>43.7</v>
      </c>
      <c r="D8" s="13">
        <v>33.200000000000003</v>
      </c>
      <c r="E8" s="13">
        <v>19.5</v>
      </c>
      <c r="F8" s="13">
        <v>67.099999999999994</v>
      </c>
      <c r="G8" s="13">
        <v>71.599999999999994</v>
      </c>
      <c r="H8" s="13">
        <v>72.3</v>
      </c>
      <c r="I8" s="13">
        <v>68.7</v>
      </c>
      <c r="J8" s="13">
        <v>68.2</v>
      </c>
      <c r="K8" s="13">
        <v>68.7</v>
      </c>
      <c r="L8" s="13">
        <v>64.8</v>
      </c>
      <c r="M8" s="13">
        <v>63.9</v>
      </c>
      <c r="N8" s="13">
        <v>64.3</v>
      </c>
      <c r="O8" s="13">
        <v>66.5</v>
      </c>
      <c r="P8" s="13">
        <v>67.2</v>
      </c>
      <c r="Q8" s="13">
        <v>67.7</v>
      </c>
    </row>
    <row r="9" spans="2:20" x14ac:dyDescent="0.2">
      <c r="B9" s="19"/>
      <c r="C9" s="13">
        <v>43.3</v>
      </c>
      <c r="D9" s="13">
        <v>33.5</v>
      </c>
      <c r="E9" s="13">
        <v>19.100000000000001</v>
      </c>
      <c r="F9" s="13">
        <v>65.2</v>
      </c>
      <c r="G9" s="13">
        <v>67.3</v>
      </c>
      <c r="H9" s="13">
        <v>71.2</v>
      </c>
      <c r="I9" s="13">
        <v>66.2</v>
      </c>
      <c r="J9" s="13">
        <v>68.400000000000006</v>
      </c>
      <c r="K9" s="13">
        <v>69.900000000000006</v>
      </c>
      <c r="L9" s="13">
        <v>63.7</v>
      </c>
      <c r="M9" s="13">
        <v>64.5</v>
      </c>
      <c r="N9" s="13">
        <v>65.7</v>
      </c>
      <c r="O9" s="13">
        <v>66.3</v>
      </c>
      <c r="P9" s="13">
        <v>69</v>
      </c>
      <c r="Q9" s="13">
        <v>65.900000000000006</v>
      </c>
    </row>
    <row r="10" spans="2:20" x14ac:dyDescent="0.2">
      <c r="B10" s="20"/>
      <c r="C10" s="14">
        <v>43.1</v>
      </c>
      <c r="D10" s="14">
        <v>32.6</v>
      </c>
      <c r="E10" s="14">
        <v>19</v>
      </c>
      <c r="F10" s="14">
        <v>68.400000000000006</v>
      </c>
      <c r="G10" s="14">
        <v>70.099999999999994</v>
      </c>
      <c r="H10" s="14">
        <v>70.400000000000006</v>
      </c>
      <c r="I10" s="14">
        <v>67.2</v>
      </c>
      <c r="J10" s="14">
        <v>67.7</v>
      </c>
      <c r="K10" s="14">
        <v>67.900000000000006</v>
      </c>
      <c r="L10" s="14">
        <v>63.6</v>
      </c>
      <c r="M10" s="14">
        <v>63.5</v>
      </c>
      <c r="N10" s="14">
        <v>64.099999999999994</v>
      </c>
      <c r="O10" s="14">
        <v>66</v>
      </c>
      <c r="P10" s="14">
        <v>67.3</v>
      </c>
      <c r="Q10" s="14">
        <v>68.900000000000006</v>
      </c>
    </row>
    <row r="11" spans="2:20" x14ac:dyDescent="0.2">
      <c r="B11" s="18" t="s">
        <v>8</v>
      </c>
      <c r="C11" s="13">
        <v>10.4</v>
      </c>
      <c r="D11" s="13">
        <v>8.65</v>
      </c>
      <c r="E11" s="13">
        <v>5.89</v>
      </c>
      <c r="F11" s="13">
        <v>24</v>
      </c>
      <c r="G11" s="13">
        <v>24.1</v>
      </c>
      <c r="H11" s="13">
        <v>25.6</v>
      </c>
      <c r="I11" s="13">
        <v>67.8</v>
      </c>
      <c r="J11" s="13">
        <v>66.599999999999994</v>
      </c>
      <c r="K11" s="13">
        <v>66.400000000000006</v>
      </c>
      <c r="L11" s="13">
        <v>63.9</v>
      </c>
      <c r="M11" s="13">
        <v>66.2</v>
      </c>
      <c r="N11" s="13">
        <v>62.2</v>
      </c>
      <c r="O11" s="13">
        <v>60.9</v>
      </c>
      <c r="P11" s="13">
        <v>62.3</v>
      </c>
      <c r="Q11" s="13">
        <v>65.400000000000006</v>
      </c>
    </row>
    <row r="12" spans="2:20" x14ac:dyDescent="0.2">
      <c r="B12" s="19"/>
      <c r="C12" s="13">
        <v>10</v>
      </c>
      <c r="D12" s="13">
        <v>8.6199999999999992</v>
      </c>
      <c r="E12" s="13">
        <v>5.72</v>
      </c>
      <c r="F12" s="13">
        <v>23.7</v>
      </c>
      <c r="G12" s="13">
        <v>24.6</v>
      </c>
      <c r="H12" s="13">
        <v>23.8</v>
      </c>
      <c r="I12" s="13">
        <v>66.2</v>
      </c>
      <c r="J12" s="13">
        <v>65</v>
      </c>
      <c r="K12" s="13">
        <v>67.2</v>
      </c>
      <c r="L12" s="13">
        <v>65.8</v>
      </c>
      <c r="M12" s="13">
        <v>66.099999999999994</v>
      </c>
      <c r="N12" s="13">
        <v>62.1</v>
      </c>
      <c r="O12" s="13">
        <v>60.1</v>
      </c>
      <c r="P12" s="13">
        <v>62.3</v>
      </c>
      <c r="Q12" s="13">
        <v>65.7</v>
      </c>
    </row>
    <row r="13" spans="2:20" x14ac:dyDescent="0.2">
      <c r="B13" s="20"/>
      <c r="C13" s="13">
        <v>9.9</v>
      </c>
      <c r="D13" s="13">
        <v>8.82</v>
      </c>
      <c r="E13" s="13">
        <v>5.73</v>
      </c>
      <c r="F13" s="13">
        <v>24.2</v>
      </c>
      <c r="G13" s="13">
        <v>24.5</v>
      </c>
      <c r="H13" s="13">
        <v>24.1</v>
      </c>
      <c r="I13" s="13">
        <v>66.099999999999994</v>
      </c>
      <c r="J13" s="13">
        <v>64.099999999999994</v>
      </c>
      <c r="K13" s="13">
        <v>64.2</v>
      </c>
      <c r="L13" s="13">
        <v>64.599999999999994</v>
      </c>
      <c r="M13" s="13">
        <v>62</v>
      </c>
      <c r="N13" s="13">
        <v>61.8</v>
      </c>
      <c r="O13" s="13">
        <v>60</v>
      </c>
      <c r="P13" s="13">
        <v>62.7</v>
      </c>
      <c r="Q13" s="13">
        <v>66.099999999999994</v>
      </c>
    </row>
    <row r="14" spans="2:20" x14ac:dyDescent="0.2">
      <c r="B14" s="3" t="s">
        <v>10</v>
      </c>
      <c r="C14" s="8">
        <f t="shared" ref="C14:N14" si="0">AVERAGE(C5:C7)</f>
        <v>61.1</v>
      </c>
      <c r="D14" s="8">
        <f t="shared" si="0"/>
        <v>60.566666666666663</v>
      </c>
      <c r="E14" s="8">
        <f t="shared" si="0"/>
        <v>60.133333333333333</v>
      </c>
      <c r="F14" s="8">
        <f t="shared" si="0"/>
        <v>62.733333333333327</v>
      </c>
      <c r="G14" s="8">
        <f t="shared" si="0"/>
        <v>62.366666666666667</v>
      </c>
      <c r="H14" s="8">
        <f t="shared" si="0"/>
        <v>61.566666666666663</v>
      </c>
      <c r="I14" s="8">
        <f t="shared" si="0"/>
        <v>62.466666666666661</v>
      </c>
      <c r="J14" s="8">
        <f t="shared" si="0"/>
        <v>61.533333333333331</v>
      </c>
      <c r="K14" s="8">
        <f t="shared" si="0"/>
        <v>61.4</v>
      </c>
      <c r="L14" s="8">
        <f t="shared" si="0"/>
        <v>58.4</v>
      </c>
      <c r="M14" s="8">
        <f t="shared" si="0"/>
        <v>58.133333333333326</v>
      </c>
      <c r="N14" s="8">
        <f t="shared" si="0"/>
        <v>59.133333333333333</v>
      </c>
      <c r="O14" s="8">
        <f>AVERAGE(O5:O13)</f>
        <v>63.077777777777783</v>
      </c>
      <c r="P14" s="8">
        <f>AVERAGE(P5:P13)</f>
        <v>63.966666666666669</v>
      </c>
      <c r="Q14" s="8">
        <f>AVERAGE(Q5:Q13)</f>
        <v>64.900000000000006</v>
      </c>
    </row>
    <row r="15" spans="2:20" x14ac:dyDescent="0.2">
      <c r="B15" s="4" t="s">
        <v>11</v>
      </c>
      <c r="C15" s="2">
        <f>AVERAGE(C8:C10)</f>
        <v>43.366666666666667</v>
      </c>
      <c r="D15" s="2">
        <f>AVERAGE(D8:D10)</f>
        <v>33.1</v>
      </c>
      <c r="E15" s="2">
        <f>AVERAGE(E8:E10)</f>
        <v>19.2</v>
      </c>
      <c r="F15" s="2">
        <f t="shared" ref="F15:N15" si="1">AVERAGE(F8:F10)</f>
        <v>66.900000000000006</v>
      </c>
      <c r="G15" s="2">
        <f t="shared" si="1"/>
        <v>69.666666666666657</v>
      </c>
      <c r="H15" s="2">
        <f>AVERAGE(H8:H10)</f>
        <v>71.3</v>
      </c>
      <c r="I15" s="2">
        <f t="shared" si="1"/>
        <v>67.366666666666674</v>
      </c>
      <c r="J15" s="2">
        <f t="shared" si="1"/>
        <v>68.100000000000009</v>
      </c>
      <c r="K15" s="2">
        <f t="shared" si="1"/>
        <v>68.833333333333343</v>
      </c>
      <c r="L15" s="2">
        <f t="shared" si="1"/>
        <v>64.033333333333331</v>
      </c>
      <c r="M15" s="2">
        <f t="shared" si="1"/>
        <v>63.966666666666669</v>
      </c>
      <c r="N15" s="2">
        <f t="shared" si="1"/>
        <v>64.7</v>
      </c>
      <c r="O15" s="2">
        <f t="shared" ref="O15:Q15" si="2">AVERAGE(O8:O10)</f>
        <v>66.266666666666666</v>
      </c>
      <c r="P15" s="2">
        <f t="shared" si="2"/>
        <v>67.833333333333329</v>
      </c>
      <c r="Q15" s="2">
        <f t="shared" si="2"/>
        <v>67.500000000000014</v>
      </c>
    </row>
    <row r="16" spans="2:20" x14ac:dyDescent="0.2">
      <c r="B16" s="5" t="s">
        <v>12</v>
      </c>
      <c r="C16" s="7">
        <f>AVERAGE(C11:C13)</f>
        <v>10.1</v>
      </c>
      <c r="D16" s="7">
        <f>AVERAGE(D11:D13)</f>
        <v>8.6966666666666672</v>
      </c>
      <c r="E16" s="7">
        <f>AVERAGE(E11:E13)</f>
        <v>5.78</v>
      </c>
      <c r="F16" s="7">
        <f t="shared" ref="F16:N16" si="3">AVERAGE(F11:F13)</f>
        <v>23.966666666666669</v>
      </c>
      <c r="G16" s="7">
        <f t="shared" si="3"/>
        <v>24.400000000000002</v>
      </c>
      <c r="H16" s="7">
        <f t="shared" si="3"/>
        <v>24.5</v>
      </c>
      <c r="I16" s="7">
        <f t="shared" si="3"/>
        <v>66.7</v>
      </c>
      <c r="J16" s="7">
        <f t="shared" si="3"/>
        <v>65.233333333333334</v>
      </c>
      <c r="K16" s="7">
        <f t="shared" si="3"/>
        <v>65.933333333333337</v>
      </c>
      <c r="L16" s="7">
        <f t="shared" si="3"/>
        <v>64.766666666666666</v>
      </c>
      <c r="M16" s="7">
        <f t="shared" si="3"/>
        <v>64.766666666666666</v>
      </c>
      <c r="N16" s="7">
        <f t="shared" si="3"/>
        <v>62.033333333333339</v>
      </c>
      <c r="O16" s="7">
        <f t="shared" ref="O16:Q16" si="4">AVERAGE(O11:O13)</f>
        <v>60.333333333333336</v>
      </c>
      <c r="P16" s="7">
        <f t="shared" si="4"/>
        <v>62.433333333333337</v>
      </c>
      <c r="Q16" s="7">
        <f t="shared" si="4"/>
        <v>65.733333333333334</v>
      </c>
    </row>
    <row r="18" spans="2:20" x14ac:dyDescent="0.2">
      <c r="B18" s="6" t="s">
        <v>26</v>
      </c>
      <c r="C18" s="17" t="s">
        <v>3</v>
      </c>
      <c r="D18" s="17"/>
      <c r="E18" s="17"/>
      <c r="F18" s="17" t="s">
        <v>4</v>
      </c>
      <c r="G18" s="17"/>
      <c r="H18" s="17"/>
      <c r="I18" s="17" t="s">
        <v>5</v>
      </c>
      <c r="J18" s="17"/>
      <c r="K18" s="17"/>
      <c r="L18" s="17" t="s">
        <v>9</v>
      </c>
      <c r="M18" s="17"/>
      <c r="N18" s="17"/>
      <c r="O18" s="17" t="s">
        <v>15</v>
      </c>
      <c r="P18" s="17"/>
      <c r="Q18" s="17"/>
      <c r="R18" s="17"/>
      <c r="S18" s="17"/>
      <c r="T18" s="17"/>
    </row>
    <row r="19" spans="2:20" x14ac:dyDescent="0.2">
      <c r="B19" t="s">
        <v>24</v>
      </c>
      <c r="C19" s="9">
        <v>7</v>
      </c>
      <c r="D19" s="9">
        <v>7</v>
      </c>
      <c r="E19" s="9">
        <v>7</v>
      </c>
      <c r="F19" s="9">
        <v>7.7</v>
      </c>
      <c r="G19" s="9">
        <v>7.7</v>
      </c>
      <c r="H19" s="9">
        <v>7.7</v>
      </c>
      <c r="I19" s="9">
        <v>8.1999999999999993</v>
      </c>
      <c r="J19" s="9">
        <v>8.1999999999999993</v>
      </c>
      <c r="K19" s="9">
        <v>8.1999999999999993</v>
      </c>
      <c r="L19" s="9">
        <v>8.5</v>
      </c>
      <c r="M19" s="9">
        <v>8.5</v>
      </c>
      <c r="N19" s="9">
        <v>8.5</v>
      </c>
      <c r="O19" s="9">
        <v>8.9</v>
      </c>
      <c r="P19" s="9">
        <v>8.9</v>
      </c>
      <c r="Q19" s="9">
        <v>8.9</v>
      </c>
    </row>
    <row r="20" spans="2:20" x14ac:dyDescent="0.2">
      <c r="B20" s="1"/>
      <c r="C20" s="1" t="s">
        <v>0</v>
      </c>
      <c r="D20" s="1" t="s">
        <v>1</v>
      </c>
      <c r="E20" s="1" t="s">
        <v>2</v>
      </c>
      <c r="F20" s="1" t="s">
        <v>0</v>
      </c>
      <c r="G20" s="1" t="s">
        <v>1</v>
      </c>
      <c r="H20" s="1" t="s">
        <v>2</v>
      </c>
      <c r="I20" s="1" t="s">
        <v>0</v>
      </c>
      <c r="J20" s="1" t="s">
        <v>1</v>
      </c>
      <c r="K20" s="1" t="s">
        <v>2</v>
      </c>
      <c r="L20" s="1" t="s">
        <v>0</v>
      </c>
      <c r="M20" s="1" t="s">
        <v>1</v>
      </c>
      <c r="N20" s="1" t="s">
        <v>2</v>
      </c>
      <c r="O20" s="1" t="s">
        <v>0</v>
      </c>
      <c r="P20" s="1" t="s">
        <v>1</v>
      </c>
      <c r="Q20" s="1" t="s">
        <v>2</v>
      </c>
    </row>
    <row r="21" spans="2:20" x14ac:dyDescent="0.2">
      <c r="B21" s="18" t="s">
        <v>6</v>
      </c>
      <c r="C21" s="13">
        <v>62.2</v>
      </c>
      <c r="D21" s="13">
        <v>62.3</v>
      </c>
      <c r="E21" s="13">
        <v>60.4</v>
      </c>
      <c r="F21" s="13">
        <v>63.7</v>
      </c>
      <c r="G21" s="13">
        <v>62.6</v>
      </c>
      <c r="H21" s="13">
        <v>62.2</v>
      </c>
      <c r="I21" s="13">
        <v>61.7</v>
      </c>
      <c r="J21" s="13">
        <v>61</v>
      </c>
      <c r="K21" s="13">
        <v>60.2</v>
      </c>
      <c r="L21" s="13">
        <v>62.2</v>
      </c>
      <c r="M21" s="13">
        <v>61.6</v>
      </c>
      <c r="N21" s="13">
        <v>60.9</v>
      </c>
      <c r="O21" s="13">
        <v>62.5</v>
      </c>
      <c r="P21" s="13">
        <v>62.9</v>
      </c>
      <c r="Q21" s="13">
        <v>64</v>
      </c>
    </row>
    <row r="22" spans="2:20" x14ac:dyDescent="0.2">
      <c r="B22" s="19"/>
      <c r="C22" s="13">
        <v>62.3</v>
      </c>
      <c r="D22" s="13">
        <v>62.4</v>
      </c>
      <c r="E22" s="13">
        <v>62.5</v>
      </c>
      <c r="F22" s="13">
        <v>62.1</v>
      </c>
      <c r="G22" s="13">
        <v>63.2</v>
      </c>
      <c r="H22" s="13">
        <v>61.8</v>
      </c>
      <c r="I22" s="13">
        <v>61.8</v>
      </c>
      <c r="J22" s="13">
        <v>60.5</v>
      </c>
      <c r="K22" s="13">
        <v>60.4</v>
      </c>
      <c r="L22" s="13">
        <v>62.5</v>
      </c>
      <c r="M22" s="13">
        <v>62.1</v>
      </c>
      <c r="N22" s="13">
        <v>61.4</v>
      </c>
      <c r="O22" s="13">
        <v>62.1</v>
      </c>
      <c r="P22" s="13">
        <v>62.2</v>
      </c>
      <c r="Q22" s="13">
        <v>63.3</v>
      </c>
    </row>
    <row r="23" spans="2:20" x14ac:dyDescent="0.2">
      <c r="B23" s="20"/>
      <c r="C23" s="14">
        <v>62.3</v>
      </c>
      <c r="D23" s="14">
        <v>62.4</v>
      </c>
      <c r="E23" s="14">
        <v>61.2</v>
      </c>
      <c r="F23" s="14">
        <v>62.4</v>
      </c>
      <c r="G23" s="14">
        <v>62.8</v>
      </c>
      <c r="H23" s="14">
        <v>61.8</v>
      </c>
      <c r="I23" s="14">
        <v>62.4</v>
      </c>
      <c r="J23" s="14">
        <v>60.7</v>
      </c>
      <c r="K23" s="14">
        <v>60.6</v>
      </c>
      <c r="L23" s="14">
        <v>62.7</v>
      </c>
      <c r="M23" s="14">
        <v>61.8</v>
      </c>
      <c r="N23" s="14">
        <v>61.7</v>
      </c>
      <c r="O23" s="14">
        <v>62</v>
      </c>
      <c r="P23" s="14">
        <v>62.6</v>
      </c>
      <c r="Q23" s="14">
        <v>63.1</v>
      </c>
    </row>
    <row r="24" spans="2:20" x14ac:dyDescent="0.2">
      <c r="B24" s="18" t="s">
        <v>7</v>
      </c>
      <c r="C24" s="13">
        <v>5.4</v>
      </c>
      <c r="D24" s="13">
        <v>7.94</v>
      </c>
      <c r="E24" s="13">
        <v>7.88</v>
      </c>
      <c r="F24" s="13">
        <v>32.6</v>
      </c>
      <c r="G24" s="15">
        <v>29.7</v>
      </c>
      <c r="H24" s="15">
        <v>42.6</v>
      </c>
      <c r="I24" s="13">
        <v>52.2</v>
      </c>
      <c r="J24" s="15">
        <v>53.4</v>
      </c>
      <c r="K24" s="15">
        <v>49.6</v>
      </c>
      <c r="L24" s="13">
        <v>58</v>
      </c>
      <c r="M24" s="13">
        <v>81.400000000000006</v>
      </c>
      <c r="N24" s="13">
        <v>55.9</v>
      </c>
      <c r="O24" s="13">
        <v>57.6</v>
      </c>
      <c r="P24" s="13">
        <v>49.8</v>
      </c>
      <c r="Q24" s="13">
        <v>50.9</v>
      </c>
    </row>
    <row r="25" spans="2:20" x14ac:dyDescent="0.2">
      <c r="B25" s="19"/>
      <c r="C25" s="13">
        <v>5.27</v>
      </c>
      <c r="D25" s="13">
        <v>8.27</v>
      </c>
      <c r="E25" s="13">
        <v>9.9600000000000009</v>
      </c>
      <c r="F25" s="13">
        <v>35.4</v>
      </c>
      <c r="G25" s="13">
        <v>29.8</v>
      </c>
      <c r="H25" s="13">
        <v>27.5</v>
      </c>
      <c r="I25" s="13">
        <v>43.9</v>
      </c>
      <c r="J25" s="13">
        <v>44.9</v>
      </c>
      <c r="K25" s="13">
        <v>62.7</v>
      </c>
      <c r="L25" s="13">
        <v>63.8</v>
      </c>
      <c r="M25" s="13">
        <v>57.3</v>
      </c>
      <c r="N25" s="13">
        <v>66.2</v>
      </c>
      <c r="O25" s="13">
        <v>49.8</v>
      </c>
      <c r="P25" s="13">
        <v>52.8</v>
      </c>
      <c r="Q25" s="13">
        <v>47.9</v>
      </c>
    </row>
    <row r="26" spans="2:20" x14ac:dyDescent="0.2">
      <c r="B26" s="20"/>
      <c r="C26" s="14">
        <v>5.18</v>
      </c>
      <c r="D26" s="14">
        <v>7.9</v>
      </c>
      <c r="E26" s="14">
        <v>11.8</v>
      </c>
      <c r="F26" s="14">
        <v>29.6</v>
      </c>
      <c r="G26" s="14">
        <v>24.1</v>
      </c>
      <c r="H26" s="14">
        <v>35</v>
      </c>
      <c r="I26" s="14">
        <v>59.2</v>
      </c>
      <c r="J26" s="14">
        <v>51.4</v>
      </c>
      <c r="K26" s="14">
        <v>44.8</v>
      </c>
      <c r="L26" s="14">
        <v>49.7</v>
      </c>
      <c r="M26" s="14">
        <v>52.1</v>
      </c>
      <c r="N26" s="14">
        <v>53.6</v>
      </c>
      <c r="O26" s="14">
        <v>56</v>
      </c>
      <c r="P26" s="14">
        <v>51</v>
      </c>
      <c r="Q26" s="14">
        <v>49.4</v>
      </c>
    </row>
    <row r="27" spans="2:20" x14ac:dyDescent="0.2">
      <c r="B27" s="18" t="s">
        <v>8</v>
      </c>
      <c r="C27" s="13">
        <v>2.95</v>
      </c>
      <c r="D27" s="13">
        <v>4.4400000000000004</v>
      </c>
      <c r="E27" s="13">
        <v>4.08</v>
      </c>
      <c r="F27" s="13">
        <v>17.899999999999999</v>
      </c>
      <c r="G27" s="15">
        <v>17.100000000000001</v>
      </c>
      <c r="H27" s="15">
        <v>14.4</v>
      </c>
      <c r="I27" s="13">
        <v>27.5</v>
      </c>
      <c r="J27" s="15">
        <v>23.9</v>
      </c>
      <c r="K27" s="15">
        <v>26.6</v>
      </c>
      <c r="L27" s="13">
        <v>36.200000000000003</v>
      </c>
      <c r="M27" s="13">
        <v>34.4</v>
      </c>
      <c r="N27" s="13">
        <v>34.200000000000003</v>
      </c>
      <c r="O27" s="13">
        <v>33.299999999999997</v>
      </c>
      <c r="P27" s="13">
        <v>33.700000000000003</v>
      </c>
      <c r="Q27" s="13">
        <v>34.9</v>
      </c>
    </row>
    <row r="28" spans="2:20" x14ac:dyDescent="0.2">
      <c r="B28" s="19"/>
      <c r="C28" s="13">
        <v>3.08</v>
      </c>
      <c r="D28" s="13">
        <v>4.9400000000000004</v>
      </c>
      <c r="E28" s="13">
        <v>2.94</v>
      </c>
      <c r="F28" s="13">
        <v>17.600000000000001</v>
      </c>
      <c r="G28" s="13">
        <v>17.600000000000001</v>
      </c>
      <c r="H28" s="13">
        <v>15.7</v>
      </c>
      <c r="I28" s="13">
        <v>27</v>
      </c>
      <c r="J28" s="13">
        <v>24.9</v>
      </c>
      <c r="K28" s="13">
        <v>27.5</v>
      </c>
      <c r="L28" s="13">
        <v>34.6</v>
      </c>
      <c r="M28" s="13">
        <v>36.5</v>
      </c>
      <c r="N28" s="13">
        <v>32.700000000000003</v>
      </c>
      <c r="O28" s="13">
        <v>30.6</v>
      </c>
      <c r="P28" s="13">
        <v>33.9</v>
      </c>
      <c r="Q28" s="13">
        <v>35.5</v>
      </c>
    </row>
    <row r="29" spans="2:20" x14ac:dyDescent="0.2">
      <c r="B29" s="20"/>
      <c r="C29" s="13">
        <v>2.81</v>
      </c>
      <c r="D29" s="13">
        <v>4.5</v>
      </c>
      <c r="E29" s="13">
        <v>2.93</v>
      </c>
      <c r="F29" s="13">
        <v>17.600000000000001</v>
      </c>
      <c r="G29" s="13">
        <v>17</v>
      </c>
      <c r="H29" s="13">
        <v>14.1</v>
      </c>
      <c r="I29" s="13">
        <v>28.5</v>
      </c>
      <c r="J29" s="13">
        <v>22.9</v>
      </c>
      <c r="K29" s="13">
        <v>26.3</v>
      </c>
      <c r="L29" s="13">
        <v>33.299999999999997</v>
      </c>
      <c r="M29" s="13">
        <v>36.799999999999997</v>
      </c>
      <c r="N29" s="13">
        <v>30.6</v>
      </c>
      <c r="O29" s="13">
        <v>31.5</v>
      </c>
      <c r="P29" s="13">
        <v>33.5</v>
      </c>
      <c r="Q29" s="13">
        <v>35.799999999999997</v>
      </c>
    </row>
    <row r="30" spans="2:20" x14ac:dyDescent="0.2">
      <c r="B30" s="3" t="s">
        <v>10</v>
      </c>
      <c r="C30" s="8">
        <f>AVERAGE(C21:C23)</f>
        <v>62.266666666666673</v>
      </c>
      <c r="D30" s="8">
        <f>AVERAGE(D21:D23)</f>
        <v>62.366666666666667</v>
      </c>
      <c r="E30" s="8">
        <f>AVERAGE(E21:E23)</f>
        <v>61.366666666666674</v>
      </c>
      <c r="F30" s="8">
        <f>AVERAGE(F21:F23)</f>
        <v>62.733333333333341</v>
      </c>
      <c r="G30" s="8">
        <f t="shared" ref="G30" si="5">AVERAGE(G21:G23)</f>
        <v>62.866666666666674</v>
      </c>
      <c r="H30" s="8">
        <f t="shared" ref="H30:O30" si="6">AVERAGE(H21:H23)</f>
        <v>61.933333333333337</v>
      </c>
      <c r="I30" s="8">
        <f t="shared" si="6"/>
        <v>61.966666666666669</v>
      </c>
      <c r="J30" s="8">
        <f t="shared" si="6"/>
        <v>60.733333333333327</v>
      </c>
      <c r="K30" s="8">
        <f t="shared" si="6"/>
        <v>60.4</v>
      </c>
      <c r="L30" s="8">
        <f t="shared" si="6"/>
        <v>62.466666666666669</v>
      </c>
      <c r="M30" s="8">
        <f t="shared" si="6"/>
        <v>61.833333333333336</v>
      </c>
      <c r="N30" s="8">
        <f t="shared" si="6"/>
        <v>61.333333333333336</v>
      </c>
      <c r="O30" s="8">
        <f t="shared" si="6"/>
        <v>62.199999999999996</v>
      </c>
      <c r="P30" s="8">
        <f t="shared" ref="P30:Q30" si="7">AVERAGE(P21:P23)</f>
        <v>62.566666666666663</v>
      </c>
      <c r="Q30" s="8">
        <f t="shared" si="7"/>
        <v>63.466666666666669</v>
      </c>
    </row>
    <row r="31" spans="2:20" x14ac:dyDescent="0.2">
      <c r="B31" s="4" t="s">
        <v>11</v>
      </c>
      <c r="C31" s="2">
        <f t="shared" ref="C31:J31" si="8">AVERAGE(C24:C26)</f>
        <v>5.2833333333333332</v>
      </c>
      <c r="D31" s="2">
        <f t="shared" si="8"/>
        <v>8.0366666666666671</v>
      </c>
      <c r="E31" s="2">
        <f t="shared" si="8"/>
        <v>9.8800000000000008</v>
      </c>
      <c r="F31" s="2">
        <f t="shared" si="8"/>
        <v>32.533333333333331</v>
      </c>
      <c r="G31" s="2">
        <f t="shared" si="8"/>
        <v>27.866666666666664</v>
      </c>
      <c r="H31" s="2">
        <f t="shared" si="8"/>
        <v>35.033333333333331</v>
      </c>
      <c r="I31" s="2">
        <f t="shared" si="8"/>
        <v>51.766666666666673</v>
      </c>
      <c r="J31" s="2">
        <f t="shared" si="8"/>
        <v>49.9</v>
      </c>
      <c r="K31" s="2">
        <f t="shared" ref="K31:Q31" si="9">AVERAGE(K24:K26)</f>
        <v>52.366666666666674</v>
      </c>
      <c r="L31" s="2">
        <f>AVERAGE(L24:L26)</f>
        <v>57.166666666666664</v>
      </c>
      <c r="M31" s="2">
        <f>AVERAGE(M25:M26)</f>
        <v>54.7</v>
      </c>
      <c r="N31" s="2">
        <f t="shared" si="9"/>
        <v>58.566666666666663</v>
      </c>
      <c r="O31" s="2">
        <f t="shared" si="9"/>
        <v>54.466666666666669</v>
      </c>
      <c r="P31" s="2">
        <f t="shared" si="9"/>
        <v>51.199999999999996</v>
      </c>
      <c r="Q31" s="2">
        <f t="shared" si="9"/>
        <v>49.4</v>
      </c>
    </row>
    <row r="32" spans="2:20" x14ac:dyDescent="0.2">
      <c r="B32" s="5" t="s">
        <v>12</v>
      </c>
      <c r="C32" s="7">
        <f t="shared" ref="C32:Q32" si="10">AVERAGE(C27:C29)</f>
        <v>2.9466666666666668</v>
      </c>
      <c r="D32" s="7">
        <f t="shared" si="10"/>
        <v>4.6266666666666669</v>
      </c>
      <c r="E32" s="7">
        <f t="shared" si="10"/>
        <v>3.3166666666666664</v>
      </c>
      <c r="F32" s="7">
        <f t="shared" si="10"/>
        <v>17.7</v>
      </c>
      <c r="G32" s="7">
        <f t="shared" si="10"/>
        <v>17.233333333333334</v>
      </c>
      <c r="H32" s="7">
        <f t="shared" si="10"/>
        <v>14.733333333333334</v>
      </c>
      <c r="I32" s="7">
        <f t="shared" si="10"/>
        <v>27.666666666666668</v>
      </c>
      <c r="J32" s="7">
        <f t="shared" si="10"/>
        <v>23.899999999999995</v>
      </c>
      <c r="K32" s="7">
        <f t="shared" si="10"/>
        <v>26.8</v>
      </c>
      <c r="L32" s="7">
        <f t="shared" si="10"/>
        <v>34.700000000000003</v>
      </c>
      <c r="M32" s="7">
        <f t="shared" si="10"/>
        <v>35.9</v>
      </c>
      <c r="N32" s="7">
        <f t="shared" si="10"/>
        <v>32.5</v>
      </c>
      <c r="O32" s="7">
        <f t="shared" si="10"/>
        <v>31.8</v>
      </c>
      <c r="P32" s="7">
        <f t="shared" si="10"/>
        <v>33.699999999999996</v>
      </c>
      <c r="Q32" s="7">
        <f t="shared" si="10"/>
        <v>35.4</v>
      </c>
    </row>
    <row r="34" spans="2:20" x14ac:dyDescent="0.2">
      <c r="B34" s="6" t="s">
        <v>27</v>
      </c>
      <c r="C34" s="17" t="s">
        <v>3</v>
      </c>
      <c r="D34" s="17"/>
      <c r="E34" s="17"/>
      <c r="F34" s="17" t="s">
        <v>4</v>
      </c>
      <c r="G34" s="17"/>
      <c r="H34" s="17"/>
      <c r="I34" s="17" t="s">
        <v>5</v>
      </c>
      <c r="J34" s="17"/>
      <c r="K34" s="17"/>
      <c r="L34" s="17" t="s">
        <v>9</v>
      </c>
      <c r="M34" s="17"/>
      <c r="N34" s="17"/>
      <c r="O34" s="17" t="s">
        <v>15</v>
      </c>
      <c r="P34" s="17"/>
      <c r="Q34" s="17"/>
      <c r="R34" s="17"/>
      <c r="S34" s="17"/>
      <c r="T34" s="17"/>
    </row>
    <row r="35" spans="2:20" x14ac:dyDescent="0.2">
      <c r="B35" t="s">
        <v>24</v>
      </c>
      <c r="C35" s="9">
        <v>7</v>
      </c>
      <c r="D35" s="9">
        <v>7</v>
      </c>
      <c r="E35" s="9">
        <v>7</v>
      </c>
      <c r="F35" s="9">
        <v>7.7</v>
      </c>
      <c r="G35" s="9">
        <v>7.7</v>
      </c>
      <c r="H35" s="9">
        <v>7.7</v>
      </c>
      <c r="I35" s="9">
        <v>8.1999999999999993</v>
      </c>
      <c r="J35" s="9">
        <v>8.1999999999999993</v>
      </c>
      <c r="K35" s="9">
        <v>8.1999999999999993</v>
      </c>
      <c r="L35" s="9">
        <v>8.5</v>
      </c>
      <c r="M35" s="9">
        <v>8.5</v>
      </c>
      <c r="N35" s="9">
        <v>8.5</v>
      </c>
      <c r="O35" s="9">
        <v>8.9</v>
      </c>
      <c r="P35" s="9">
        <v>8.9</v>
      </c>
      <c r="Q35" s="9">
        <v>8.9</v>
      </c>
    </row>
    <row r="36" spans="2:20" x14ac:dyDescent="0.2">
      <c r="B36" s="1"/>
      <c r="C36" s="1" t="s">
        <v>0</v>
      </c>
      <c r="D36" s="1" t="s">
        <v>1</v>
      </c>
      <c r="E36" s="1" t="s">
        <v>2</v>
      </c>
      <c r="F36" s="1" t="s">
        <v>0</v>
      </c>
      <c r="G36" s="1" t="s">
        <v>1</v>
      </c>
      <c r="H36" s="1" t="s">
        <v>2</v>
      </c>
      <c r="I36" s="1" t="s">
        <v>0</v>
      </c>
      <c r="J36" s="1" t="s">
        <v>1</v>
      </c>
      <c r="K36" s="1" t="s">
        <v>2</v>
      </c>
      <c r="L36" s="1" t="s">
        <v>0</v>
      </c>
      <c r="M36" s="1" t="s">
        <v>1</v>
      </c>
      <c r="N36" s="1" t="s">
        <v>2</v>
      </c>
      <c r="O36" s="1" t="s">
        <v>0</v>
      </c>
      <c r="P36" s="1" t="s">
        <v>1</v>
      </c>
      <c r="Q36" s="1" t="s">
        <v>2</v>
      </c>
    </row>
    <row r="37" spans="2:20" x14ac:dyDescent="0.2">
      <c r="B37" s="10" t="s">
        <v>6</v>
      </c>
      <c r="C37" s="13">
        <v>64.099999999999994</v>
      </c>
      <c r="D37" s="13">
        <v>63</v>
      </c>
      <c r="E37" s="13">
        <v>60.4</v>
      </c>
      <c r="F37" s="13">
        <v>62.3</v>
      </c>
      <c r="G37" s="13">
        <v>61</v>
      </c>
      <c r="H37" s="13">
        <v>64</v>
      </c>
      <c r="I37" s="13">
        <v>64</v>
      </c>
      <c r="J37" s="13">
        <v>62.6</v>
      </c>
      <c r="K37" s="13">
        <v>62.4</v>
      </c>
      <c r="L37" s="13">
        <v>62.2</v>
      </c>
      <c r="M37" s="13">
        <v>62.5</v>
      </c>
      <c r="N37" s="13">
        <v>63</v>
      </c>
      <c r="O37" s="13">
        <v>62.1</v>
      </c>
      <c r="P37" s="13">
        <v>61.6</v>
      </c>
      <c r="Q37" s="13">
        <v>60</v>
      </c>
    </row>
    <row r="38" spans="2:20" x14ac:dyDescent="0.2">
      <c r="B38" s="11"/>
      <c r="C38" s="13">
        <v>62.3</v>
      </c>
      <c r="D38" s="13">
        <v>62.4</v>
      </c>
      <c r="E38" s="13">
        <v>61</v>
      </c>
      <c r="F38" s="13">
        <v>63.2</v>
      </c>
      <c r="G38" s="13">
        <v>62.7</v>
      </c>
      <c r="H38" s="13">
        <v>63.5</v>
      </c>
      <c r="I38" s="13">
        <v>62.5</v>
      </c>
      <c r="J38" s="13">
        <v>62.7</v>
      </c>
      <c r="K38" s="13">
        <v>62.2</v>
      </c>
      <c r="L38" s="13">
        <v>62.3</v>
      </c>
      <c r="M38" s="13">
        <v>62.9</v>
      </c>
      <c r="N38" s="13">
        <v>62.2</v>
      </c>
      <c r="O38" s="13">
        <v>62</v>
      </c>
      <c r="P38" s="13">
        <v>63</v>
      </c>
      <c r="Q38" s="13">
        <v>60.4</v>
      </c>
    </row>
    <row r="39" spans="2:20" x14ac:dyDescent="0.2">
      <c r="B39" s="12"/>
      <c r="C39" s="14">
        <v>61.9</v>
      </c>
      <c r="D39" s="14">
        <v>62.3</v>
      </c>
      <c r="E39" s="14">
        <v>60.9</v>
      </c>
      <c r="F39" s="14">
        <v>62.9</v>
      </c>
      <c r="G39" s="14">
        <v>63.3</v>
      </c>
      <c r="H39" s="14">
        <v>62.9</v>
      </c>
      <c r="I39" s="14">
        <v>62.5</v>
      </c>
      <c r="J39" s="14">
        <v>62.4</v>
      </c>
      <c r="K39" s="14">
        <v>62.2</v>
      </c>
      <c r="L39" s="14">
        <v>62.4</v>
      </c>
      <c r="M39" s="14">
        <v>62.3</v>
      </c>
      <c r="N39" s="14">
        <v>62.1</v>
      </c>
      <c r="O39" s="14">
        <v>62</v>
      </c>
      <c r="P39" s="14">
        <v>62.5</v>
      </c>
      <c r="Q39" s="14">
        <v>60</v>
      </c>
    </row>
    <row r="40" spans="2:20" x14ac:dyDescent="0.2">
      <c r="B40" s="10" t="s">
        <v>7</v>
      </c>
      <c r="C40" s="13">
        <v>1.95</v>
      </c>
      <c r="D40" s="13">
        <v>3.89</v>
      </c>
      <c r="E40" s="13">
        <v>1.67</v>
      </c>
      <c r="F40" s="13">
        <v>6.95</v>
      </c>
      <c r="G40" s="15">
        <v>3.07</v>
      </c>
      <c r="H40" s="15">
        <v>4.33</v>
      </c>
      <c r="I40" s="13">
        <v>3.3</v>
      </c>
      <c r="J40" s="15">
        <v>2.71</v>
      </c>
      <c r="K40" s="15">
        <v>3.14</v>
      </c>
      <c r="L40" s="13">
        <v>3.09</v>
      </c>
      <c r="M40" s="13">
        <v>3.23</v>
      </c>
      <c r="N40" s="13">
        <v>4.5599999999999996</v>
      </c>
      <c r="O40" s="13">
        <v>10.199999999999999</v>
      </c>
      <c r="P40" s="13">
        <v>4.41</v>
      </c>
      <c r="Q40" s="13">
        <v>12.2</v>
      </c>
    </row>
    <row r="41" spans="2:20" x14ac:dyDescent="0.2">
      <c r="B41" s="11"/>
      <c r="C41" s="13">
        <v>2.08</v>
      </c>
      <c r="D41" s="13">
        <v>4.2699999999999996</v>
      </c>
      <c r="E41" s="13">
        <v>1.47</v>
      </c>
      <c r="F41" s="13">
        <v>4.9800000000000004</v>
      </c>
      <c r="G41" s="13">
        <v>3.19</v>
      </c>
      <c r="H41" s="13">
        <v>5.3</v>
      </c>
      <c r="I41" s="13">
        <v>3.39</v>
      </c>
      <c r="J41" s="13">
        <v>2.57</v>
      </c>
      <c r="K41" s="13">
        <v>3.19</v>
      </c>
      <c r="L41" s="13">
        <v>2.93</v>
      </c>
      <c r="M41" s="13">
        <v>3.03</v>
      </c>
      <c r="N41" s="13">
        <v>4.08</v>
      </c>
      <c r="O41" s="13">
        <v>8.8699999999999992</v>
      </c>
      <c r="P41" s="13">
        <v>5.15</v>
      </c>
      <c r="Q41" s="13">
        <v>6.86</v>
      </c>
    </row>
    <row r="42" spans="2:20" x14ac:dyDescent="0.2">
      <c r="B42" s="12"/>
      <c r="C42" s="14">
        <v>1.62</v>
      </c>
      <c r="D42" s="14">
        <v>5.18</v>
      </c>
      <c r="E42" s="14">
        <v>1.22</v>
      </c>
      <c r="F42" s="14">
        <v>10</v>
      </c>
      <c r="G42" s="14">
        <v>2.9</v>
      </c>
      <c r="H42" s="14">
        <v>3.14</v>
      </c>
      <c r="I42" s="14">
        <v>3.05</v>
      </c>
      <c r="J42" s="14">
        <v>2.64</v>
      </c>
      <c r="K42" s="14">
        <v>2.95</v>
      </c>
      <c r="L42" s="14">
        <v>3.07</v>
      </c>
      <c r="M42" s="14">
        <v>3.05</v>
      </c>
      <c r="N42" s="14">
        <v>3.55</v>
      </c>
      <c r="O42" s="14">
        <v>9.1300000000000008</v>
      </c>
      <c r="P42" s="14">
        <v>6.38</v>
      </c>
      <c r="Q42" s="14">
        <v>7.65</v>
      </c>
    </row>
    <row r="43" spans="2:20" x14ac:dyDescent="0.2">
      <c r="B43" s="10" t="s">
        <v>8</v>
      </c>
      <c r="C43" s="13">
        <v>1.48</v>
      </c>
      <c r="D43" s="13">
        <v>2.04</v>
      </c>
      <c r="E43" s="13">
        <v>1.45</v>
      </c>
      <c r="F43" s="13">
        <v>2.2400000000000002</v>
      </c>
      <c r="G43" s="15">
        <v>2.58</v>
      </c>
      <c r="H43" s="15">
        <v>3.46</v>
      </c>
      <c r="I43" s="13">
        <v>2.8</v>
      </c>
      <c r="J43" s="15">
        <v>2.5099999999999998</v>
      </c>
      <c r="K43" s="15">
        <v>3.21</v>
      </c>
      <c r="L43" s="13">
        <v>3.02</v>
      </c>
      <c r="M43" s="13">
        <v>3.8</v>
      </c>
      <c r="N43" s="13">
        <v>2.98</v>
      </c>
      <c r="O43" s="13">
        <v>3.66</v>
      </c>
      <c r="P43" s="13">
        <v>3.79</v>
      </c>
      <c r="Q43" s="13">
        <v>4.09</v>
      </c>
    </row>
    <row r="44" spans="2:20" x14ac:dyDescent="0.2">
      <c r="B44" s="11"/>
      <c r="C44" s="13">
        <v>1.3</v>
      </c>
      <c r="D44" s="13">
        <v>2.02</v>
      </c>
      <c r="E44" s="13">
        <v>1.23</v>
      </c>
      <c r="F44" s="13">
        <v>2.91</v>
      </c>
      <c r="G44" s="13">
        <v>2.62</v>
      </c>
      <c r="H44" s="13">
        <v>2.29</v>
      </c>
      <c r="I44" s="13">
        <v>2.62</v>
      </c>
      <c r="J44" s="13">
        <v>2.4</v>
      </c>
      <c r="K44" s="13">
        <v>3.47</v>
      </c>
      <c r="L44" s="13">
        <v>2.91</v>
      </c>
      <c r="M44" s="13">
        <v>2.92</v>
      </c>
      <c r="N44" s="13">
        <v>2.93</v>
      </c>
      <c r="O44" s="13">
        <v>3.51</v>
      </c>
      <c r="P44" s="13">
        <v>4.01</v>
      </c>
      <c r="Q44" s="13">
        <v>3.76</v>
      </c>
    </row>
    <row r="45" spans="2:20" x14ac:dyDescent="0.2">
      <c r="B45" s="12"/>
      <c r="C45" s="13">
        <v>1.4</v>
      </c>
      <c r="D45" s="13">
        <v>1.98</v>
      </c>
      <c r="E45" s="13">
        <v>1.2</v>
      </c>
      <c r="F45" s="13">
        <v>3.07</v>
      </c>
      <c r="G45" s="13">
        <v>2.52</v>
      </c>
      <c r="H45" s="13">
        <v>3.64</v>
      </c>
      <c r="I45" s="13">
        <v>2.97</v>
      </c>
      <c r="J45" s="13">
        <v>2.37</v>
      </c>
      <c r="K45" s="13">
        <v>2.98</v>
      </c>
      <c r="L45" s="13">
        <v>2.72</v>
      </c>
      <c r="M45" s="13">
        <v>2.84</v>
      </c>
      <c r="N45" s="13">
        <v>2.92</v>
      </c>
      <c r="O45" s="13">
        <v>3.7</v>
      </c>
      <c r="P45" s="13">
        <v>3.02</v>
      </c>
      <c r="Q45" s="13">
        <v>3.71</v>
      </c>
    </row>
    <row r="46" spans="2:20" x14ac:dyDescent="0.2">
      <c r="B46" s="3" t="s">
        <v>10</v>
      </c>
      <c r="C46" s="8">
        <f>AVERAGE(C37:C39)</f>
        <v>62.766666666666659</v>
      </c>
      <c r="D46" s="8">
        <f>AVERAGE(D37:D39)</f>
        <v>62.566666666666663</v>
      </c>
      <c r="E46" s="8">
        <f>AVERAGE(E37:E39)</f>
        <v>60.766666666666673</v>
      </c>
      <c r="F46" s="8">
        <f t="shared" ref="F46:H46" si="11">AVERAGE(F37:F39)</f>
        <v>62.800000000000004</v>
      </c>
      <c r="G46" s="8">
        <f t="shared" si="11"/>
        <v>62.333333333333336</v>
      </c>
      <c r="H46" s="8">
        <f t="shared" si="11"/>
        <v>63.466666666666669</v>
      </c>
      <c r="I46" s="8">
        <f>AVERAGE(I37:I39)</f>
        <v>63</v>
      </c>
      <c r="J46" s="8">
        <f t="shared" ref="J46:Q46" si="12">AVERAGE(J37:J39)</f>
        <v>62.56666666666667</v>
      </c>
      <c r="K46" s="8">
        <f t="shared" si="12"/>
        <v>62.266666666666673</v>
      </c>
      <c r="L46" s="8">
        <f t="shared" si="12"/>
        <v>62.300000000000004</v>
      </c>
      <c r="M46" s="8">
        <f t="shared" si="12"/>
        <v>62.566666666666663</v>
      </c>
      <c r="N46" s="8">
        <f t="shared" si="12"/>
        <v>62.433333333333337</v>
      </c>
      <c r="O46" s="8">
        <f t="shared" si="12"/>
        <v>62.033333333333331</v>
      </c>
      <c r="P46" s="8">
        <f t="shared" si="12"/>
        <v>62.366666666666667</v>
      </c>
      <c r="Q46" s="8">
        <f t="shared" si="12"/>
        <v>60.133333333333333</v>
      </c>
    </row>
    <row r="47" spans="2:20" x14ac:dyDescent="0.2">
      <c r="B47" s="4" t="s">
        <v>11</v>
      </c>
      <c r="C47" s="2">
        <f t="shared" ref="C47:Q47" si="13">AVERAGE(C40:C42)</f>
        <v>1.8833333333333335</v>
      </c>
      <c r="D47" s="2">
        <f t="shared" si="13"/>
        <v>4.4466666666666663</v>
      </c>
      <c r="E47" s="2">
        <f t="shared" si="13"/>
        <v>1.4533333333333331</v>
      </c>
      <c r="F47" s="2">
        <f t="shared" si="13"/>
        <v>7.31</v>
      </c>
      <c r="G47" s="2">
        <f t="shared" si="13"/>
        <v>3.0533333333333332</v>
      </c>
      <c r="H47" s="2">
        <f t="shared" si="13"/>
        <v>4.2566666666666668</v>
      </c>
      <c r="I47" s="2">
        <f t="shared" si="13"/>
        <v>3.2466666666666661</v>
      </c>
      <c r="J47" s="2">
        <f t="shared" si="13"/>
        <v>2.64</v>
      </c>
      <c r="K47" s="2">
        <f t="shared" si="13"/>
        <v>3.0933333333333337</v>
      </c>
      <c r="L47" s="2">
        <f t="shared" si="13"/>
        <v>3.03</v>
      </c>
      <c r="M47" s="2">
        <f t="shared" si="13"/>
        <v>3.1033333333333331</v>
      </c>
      <c r="N47" s="2">
        <f t="shared" si="13"/>
        <v>4.0633333333333335</v>
      </c>
      <c r="O47" s="2">
        <f t="shared" si="13"/>
        <v>9.4</v>
      </c>
      <c r="P47" s="2">
        <f t="shared" si="13"/>
        <v>5.3133333333333335</v>
      </c>
      <c r="Q47" s="2">
        <f t="shared" si="13"/>
        <v>8.9033333333333342</v>
      </c>
    </row>
    <row r="48" spans="2:20" x14ac:dyDescent="0.2">
      <c r="B48" s="5" t="s">
        <v>12</v>
      </c>
      <c r="C48" s="7">
        <f t="shared" ref="C48:Q48" si="14">AVERAGE(C43:C45)</f>
        <v>1.3933333333333333</v>
      </c>
      <c r="D48" s="7">
        <f t="shared" si="14"/>
        <v>2.0133333333333336</v>
      </c>
      <c r="E48" s="7">
        <f t="shared" si="14"/>
        <v>1.2933333333333332</v>
      </c>
      <c r="F48" s="7">
        <f t="shared" si="14"/>
        <v>2.74</v>
      </c>
      <c r="G48" s="7">
        <f t="shared" si="14"/>
        <v>2.5733333333333337</v>
      </c>
      <c r="H48" s="7">
        <f t="shared" si="14"/>
        <v>3.1300000000000003</v>
      </c>
      <c r="I48" s="7">
        <f t="shared" si="14"/>
        <v>2.7966666666666669</v>
      </c>
      <c r="J48" s="7">
        <f t="shared" si="14"/>
        <v>2.4266666666666667</v>
      </c>
      <c r="K48" s="7">
        <f t="shared" si="14"/>
        <v>3.22</v>
      </c>
      <c r="L48" s="7">
        <f t="shared" si="14"/>
        <v>2.8833333333333333</v>
      </c>
      <c r="M48" s="7">
        <f t="shared" si="14"/>
        <v>3.1866666666666661</v>
      </c>
      <c r="N48" s="7">
        <f t="shared" si="14"/>
        <v>2.9433333333333334</v>
      </c>
      <c r="O48" s="7">
        <f t="shared" si="14"/>
        <v>3.6233333333333335</v>
      </c>
      <c r="P48" s="7">
        <f t="shared" si="14"/>
        <v>3.6066666666666669</v>
      </c>
      <c r="Q48" s="7">
        <f t="shared" si="14"/>
        <v>3.8533333333333331</v>
      </c>
    </row>
    <row r="50" spans="2:20" x14ac:dyDescent="0.2">
      <c r="B50" s="6" t="s">
        <v>28</v>
      </c>
      <c r="C50" s="17" t="s">
        <v>3</v>
      </c>
      <c r="D50" s="17"/>
      <c r="E50" s="17"/>
      <c r="F50" s="17" t="s">
        <v>4</v>
      </c>
      <c r="G50" s="17"/>
      <c r="H50" s="17"/>
      <c r="I50" s="17" t="s">
        <v>5</v>
      </c>
      <c r="J50" s="17"/>
      <c r="K50" s="17"/>
      <c r="L50" s="17" t="s">
        <v>9</v>
      </c>
      <c r="M50" s="17"/>
      <c r="N50" s="17"/>
      <c r="O50" s="17" t="s">
        <v>15</v>
      </c>
      <c r="P50" s="17"/>
      <c r="Q50" s="17"/>
      <c r="R50" s="17"/>
      <c r="S50" s="17"/>
      <c r="T50" s="17"/>
    </row>
    <row r="51" spans="2:20" x14ac:dyDescent="0.2">
      <c r="B51" t="s">
        <v>24</v>
      </c>
      <c r="C51" s="9">
        <v>7</v>
      </c>
      <c r="D51" s="9">
        <v>7</v>
      </c>
      <c r="E51" s="9">
        <v>7</v>
      </c>
      <c r="F51" s="9">
        <v>7.7</v>
      </c>
      <c r="G51" s="9">
        <v>7.7</v>
      </c>
      <c r="H51" s="9">
        <v>7.7</v>
      </c>
      <c r="I51" s="9">
        <v>8.1999999999999993</v>
      </c>
      <c r="J51" s="9">
        <v>8.1999999999999993</v>
      </c>
      <c r="K51" s="9">
        <v>8.1999999999999993</v>
      </c>
      <c r="L51" s="9">
        <v>8.5</v>
      </c>
      <c r="M51" s="9">
        <v>8.5</v>
      </c>
      <c r="N51" s="9">
        <v>8.5</v>
      </c>
      <c r="O51" s="9">
        <v>8.9</v>
      </c>
      <c r="P51" s="9">
        <v>8.9</v>
      </c>
      <c r="Q51" s="9">
        <v>8.9</v>
      </c>
    </row>
    <row r="52" spans="2:20" x14ac:dyDescent="0.2">
      <c r="B52" s="1"/>
      <c r="C52" s="1" t="s">
        <v>0</v>
      </c>
      <c r="D52" s="1" t="s">
        <v>1</v>
      </c>
      <c r="E52" s="1" t="s">
        <v>2</v>
      </c>
      <c r="F52" s="1" t="s">
        <v>0</v>
      </c>
      <c r="G52" s="1" t="s">
        <v>1</v>
      </c>
      <c r="H52" s="1" t="s">
        <v>2</v>
      </c>
      <c r="I52" s="1" t="s">
        <v>0</v>
      </c>
      <c r="J52" s="1" t="s">
        <v>1</v>
      </c>
      <c r="K52" s="1" t="s">
        <v>2</v>
      </c>
      <c r="L52" s="1" t="s">
        <v>0</v>
      </c>
      <c r="M52" s="1" t="s">
        <v>1</v>
      </c>
      <c r="N52" s="1" t="s">
        <v>2</v>
      </c>
      <c r="O52" s="1" t="s">
        <v>0</v>
      </c>
      <c r="P52" s="1" t="s">
        <v>1</v>
      </c>
      <c r="Q52" s="1" t="s">
        <v>2</v>
      </c>
    </row>
    <row r="53" spans="2:20" x14ac:dyDescent="0.2">
      <c r="B53" s="18" t="s">
        <v>6</v>
      </c>
      <c r="C53" s="13">
        <v>63.2</v>
      </c>
      <c r="D53" s="13">
        <v>61.4</v>
      </c>
      <c r="E53" s="13">
        <v>61.1</v>
      </c>
      <c r="F53" s="13">
        <v>62.3</v>
      </c>
      <c r="G53" s="13">
        <v>61.2</v>
      </c>
      <c r="H53" s="13">
        <v>60.6</v>
      </c>
      <c r="I53" s="13">
        <v>63.4</v>
      </c>
      <c r="J53" s="13">
        <v>62.6</v>
      </c>
      <c r="K53" s="13">
        <v>62.8</v>
      </c>
      <c r="L53" s="13">
        <v>61.5</v>
      </c>
      <c r="M53" s="13">
        <v>59.1</v>
      </c>
      <c r="N53" s="13">
        <v>59.4</v>
      </c>
      <c r="O53" s="13">
        <v>58</v>
      </c>
      <c r="P53" s="13">
        <v>58.8</v>
      </c>
      <c r="Q53" s="13">
        <v>58.7</v>
      </c>
    </row>
    <row r="54" spans="2:20" x14ac:dyDescent="0.2">
      <c r="B54" s="19"/>
      <c r="C54" s="13">
        <v>62.9</v>
      </c>
      <c r="D54" s="13">
        <v>61.9</v>
      </c>
      <c r="E54" s="13">
        <v>61.3</v>
      </c>
      <c r="F54" s="13">
        <v>62.4</v>
      </c>
      <c r="G54" s="13">
        <v>61.6</v>
      </c>
      <c r="H54" s="13">
        <v>61.1</v>
      </c>
      <c r="I54" s="13">
        <v>63.5</v>
      </c>
      <c r="J54" s="13">
        <v>63.3</v>
      </c>
      <c r="K54" s="13">
        <v>62.8</v>
      </c>
      <c r="L54" s="13">
        <v>60.4</v>
      </c>
      <c r="M54" s="13">
        <v>59.3</v>
      </c>
      <c r="N54" s="13">
        <v>59.4</v>
      </c>
      <c r="O54" s="13">
        <v>57.9</v>
      </c>
      <c r="P54" s="13">
        <v>59.2</v>
      </c>
      <c r="Q54" s="13">
        <v>58.9</v>
      </c>
    </row>
    <row r="55" spans="2:20" x14ac:dyDescent="0.2">
      <c r="B55" s="20"/>
      <c r="C55" s="14">
        <v>62.6</v>
      </c>
      <c r="D55" s="14">
        <v>62.1</v>
      </c>
      <c r="E55" s="14">
        <v>61.1</v>
      </c>
      <c r="F55" s="14">
        <v>62.4</v>
      </c>
      <c r="G55" s="14">
        <v>61.5</v>
      </c>
      <c r="H55" s="14">
        <v>61</v>
      </c>
      <c r="I55" s="14">
        <v>63.6</v>
      </c>
      <c r="J55" s="14">
        <v>63.5</v>
      </c>
      <c r="K55" s="14">
        <v>62.8</v>
      </c>
      <c r="L55" s="14">
        <v>60.1</v>
      </c>
      <c r="M55" s="14">
        <v>59.5</v>
      </c>
      <c r="N55" s="14">
        <v>60.1</v>
      </c>
      <c r="O55" s="14">
        <v>58.2</v>
      </c>
      <c r="P55" s="14">
        <v>59.1</v>
      </c>
      <c r="Q55" s="14">
        <v>58.6</v>
      </c>
    </row>
    <row r="56" spans="2:20" x14ac:dyDescent="0.2">
      <c r="B56" s="18" t="s">
        <v>7</v>
      </c>
      <c r="C56" s="13">
        <v>5.73</v>
      </c>
      <c r="D56" s="13">
        <v>3.99</v>
      </c>
      <c r="E56" s="13">
        <v>8.52</v>
      </c>
      <c r="F56" s="13">
        <v>7.22</v>
      </c>
      <c r="G56" s="13">
        <v>7.92</v>
      </c>
      <c r="H56" s="13">
        <v>9.4600000000000009</v>
      </c>
      <c r="I56" s="13">
        <v>41.4</v>
      </c>
      <c r="J56" s="15">
        <v>65</v>
      </c>
      <c r="K56" s="15">
        <v>34.799999999999997</v>
      </c>
      <c r="L56" s="13">
        <v>50.3</v>
      </c>
      <c r="M56" s="13">
        <v>37</v>
      </c>
      <c r="N56" s="13">
        <v>51.1</v>
      </c>
      <c r="O56" s="13">
        <v>49.7</v>
      </c>
      <c r="P56" s="13">
        <v>62.9</v>
      </c>
      <c r="Q56" s="13">
        <v>60.7</v>
      </c>
    </row>
    <row r="57" spans="2:20" x14ac:dyDescent="0.2">
      <c r="B57" s="19"/>
      <c r="C57" s="13">
        <v>7.12</v>
      </c>
      <c r="D57" s="13">
        <v>3.59</v>
      </c>
      <c r="E57" s="13">
        <v>7.59</v>
      </c>
      <c r="F57" s="13">
        <v>7.82</v>
      </c>
      <c r="G57" s="13">
        <v>8.16</v>
      </c>
      <c r="H57" s="13">
        <v>9.19</v>
      </c>
      <c r="I57" s="13">
        <v>38.4</v>
      </c>
      <c r="J57" s="13">
        <v>45.2</v>
      </c>
      <c r="K57" s="13">
        <v>37.6</v>
      </c>
      <c r="L57" s="13">
        <v>55.5</v>
      </c>
      <c r="M57" s="13">
        <v>48.7</v>
      </c>
      <c r="N57" s="13">
        <v>40</v>
      </c>
      <c r="O57" s="13">
        <v>49.6</v>
      </c>
      <c r="P57" s="13">
        <v>59.7</v>
      </c>
      <c r="Q57" s="13">
        <v>52.4</v>
      </c>
    </row>
    <row r="58" spans="2:20" x14ac:dyDescent="0.2">
      <c r="B58" s="20"/>
      <c r="C58" s="14">
        <v>6.14</v>
      </c>
      <c r="D58" s="14">
        <v>4.7300000000000004</v>
      </c>
      <c r="E58" s="14">
        <v>5.77</v>
      </c>
      <c r="F58" s="14">
        <v>8.77</v>
      </c>
      <c r="G58" s="14">
        <v>8.6999999999999993</v>
      </c>
      <c r="H58" s="14">
        <v>9.92</v>
      </c>
      <c r="I58" s="14">
        <v>38.6</v>
      </c>
      <c r="J58" s="14">
        <v>44.6</v>
      </c>
      <c r="K58" s="14">
        <v>34.299999999999997</v>
      </c>
      <c r="L58" s="14">
        <v>53.1</v>
      </c>
      <c r="M58" s="14">
        <v>41.2</v>
      </c>
      <c r="N58" s="14">
        <v>50.3</v>
      </c>
      <c r="O58" s="14">
        <v>61.5</v>
      </c>
      <c r="P58" s="14">
        <v>48.6</v>
      </c>
      <c r="Q58" s="14">
        <v>46.6</v>
      </c>
    </row>
    <row r="59" spans="2:20" x14ac:dyDescent="0.2">
      <c r="B59" s="18" t="s">
        <v>8</v>
      </c>
      <c r="C59" s="13">
        <v>3.92</v>
      </c>
      <c r="D59" s="13">
        <v>3.74</v>
      </c>
      <c r="E59" s="13">
        <v>5.66</v>
      </c>
      <c r="F59" s="13">
        <v>6.8</v>
      </c>
      <c r="G59" s="13">
        <v>7.68</v>
      </c>
      <c r="H59" s="13">
        <v>8.7200000000000006</v>
      </c>
      <c r="I59" s="13">
        <v>30.7</v>
      </c>
      <c r="J59" s="15">
        <v>24.9</v>
      </c>
      <c r="K59" s="15">
        <v>27.5</v>
      </c>
      <c r="L59" s="13">
        <v>28.3</v>
      </c>
      <c r="M59" s="13">
        <v>25.4</v>
      </c>
      <c r="N59" s="13">
        <v>25.9</v>
      </c>
      <c r="O59" s="13">
        <v>29.4</v>
      </c>
      <c r="P59" s="13">
        <v>28.9</v>
      </c>
      <c r="Q59" s="13">
        <v>34.5</v>
      </c>
    </row>
    <row r="60" spans="2:20" x14ac:dyDescent="0.2">
      <c r="B60" s="19"/>
      <c r="C60" s="13">
        <v>3.83</v>
      </c>
      <c r="D60" s="13">
        <v>3.68</v>
      </c>
      <c r="E60" s="13">
        <v>4.63</v>
      </c>
      <c r="F60" s="13">
        <v>7.96</v>
      </c>
      <c r="G60" s="13">
        <v>7.24</v>
      </c>
      <c r="H60" s="13">
        <v>8.9499999999999993</v>
      </c>
      <c r="I60" s="13">
        <v>29.7</v>
      </c>
      <c r="J60" s="13">
        <v>25</v>
      </c>
      <c r="K60" s="13">
        <v>26.1</v>
      </c>
      <c r="L60" s="13">
        <v>27.1</v>
      </c>
      <c r="M60" s="13">
        <v>25.1</v>
      </c>
      <c r="N60" s="13">
        <v>24.3</v>
      </c>
      <c r="O60" s="13">
        <v>28.3</v>
      </c>
      <c r="P60" s="13">
        <v>27.9</v>
      </c>
      <c r="Q60" s="13">
        <v>31.8</v>
      </c>
    </row>
    <row r="61" spans="2:20" x14ac:dyDescent="0.2">
      <c r="B61" s="20"/>
      <c r="C61" s="13">
        <v>3.73</v>
      </c>
      <c r="D61" s="13">
        <v>3.83</v>
      </c>
      <c r="E61" s="13">
        <v>4.92</v>
      </c>
      <c r="F61" s="13">
        <v>7.64</v>
      </c>
      <c r="G61" s="13">
        <v>7.58</v>
      </c>
      <c r="H61" s="13">
        <v>8.5500000000000007</v>
      </c>
      <c r="I61" s="13">
        <v>29.7</v>
      </c>
      <c r="J61" s="13">
        <v>24</v>
      </c>
      <c r="K61" s="13">
        <v>26.3</v>
      </c>
      <c r="L61" s="13">
        <v>29</v>
      </c>
      <c r="M61" s="13">
        <v>24.3</v>
      </c>
      <c r="N61" s="13">
        <v>25.1</v>
      </c>
      <c r="O61" s="13">
        <v>29.3</v>
      </c>
      <c r="P61" s="13">
        <v>29</v>
      </c>
      <c r="Q61" s="13">
        <v>33.5</v>
      </c>
    </row>
    <row r="62" spans="2:20" x14ac:dyDescent="0.2">
      <c r="B62" s="3" t="s">
        <v>10</v>
      </c>
      <c r="C62" s="8">
        <f t="shared" ref="C62:P62" si="15">AVERAGE(C53:C55)</f>
        <v>62.9</v>
      </c>
      <c r="D62" s="8">
        <f t="shared" si="15"/>
        <v>61.800000000000004</v>
      </c>
      <c r="E62" s="8">
        <f t="shared" si="15"/>
        <v>61.166666666666664</v>
      </c>
      <c r="F62" s="8">
        <f t="shared" si="15"/>
        <v>62.366666666666667</v>
      </c>
      <c r="G62" s="8">
        <f t="shared" si="15"/>
        <v>61.433333333333337</v>
      </c>
      <c r="H62" s="8">
        <f t="shared" si="15"/>
        <v>60.9</v>
      </c>
      <c r="I62" s="8">
        <f t="shared" si="15"/>
        <v>63.5</v>
      </c>
      <c r="J62" s="8">
        <f t="shared" si="15"/>
        <v>63.133333333333333</v>
      </c>
      <c r="K62" s="8">
        <f t="shared" si="15"/>
        <v>62.79999999999999</v>
      </c>
      <c r="L62" s="8">
        <f t="shared" si="15"/>
        <v>60.666666666666664</v>
      </c>
      <c r="M62" s="8">
        <f t="shared" si="15"/>
        <v>59.300000000000004</v>
      </c>
      <c r="N62" s="8">
        <f t="shared" si="15"/>
        <v>59.633333333333333</v>
      </c>
      <c r="O62" s="8">
        <f t="shared" si="15"/>
        <v>58.033333333333339</v>
      </c>
      <c r="P62" s="8">
        <f t="shared" si="15"/>
        <v>59.033333333333331</v>
      </c>
      <c r="Q62" s="8">
        <f>AVERAGE(Q53:Q55)</f>
        <v>58.733333333333327</v>
      </c>
    </row>
    <row r="63" spans="2:20" x14ac:dyDescent="0.2">
      <c r="B63" s="4" t="s">
        <v>11</v>
      </c>
      <c r="C63" s="2">
        <f t="shared" ref="C63:J63" si="16">AVERAGE(C56:C58)</f>
        <v>6.330000000000001</v>
      </c>
      <c r="D63" s="2">
        <f t="shared" si="16"/>
        <v>4.1033333333333335</v>
      </c>
      <c r="E63" s="2">
        <f t="shared" si="16"/>
        <v>7.293333333333333</v>
      </c>
      <c r="F63" s="2">
        <f t="shared" si="16"/>
        <v>7.9366666666666665</v>
      </c>
      <c r="G63" s="2">
        <f t="shared" si="16"/>
        <v>8.26</v>
      </c>
      <c r="H63" s="2">
        <f t="shared" si="16"/>
        <v>9.5233333333333334</v>
      </c>
      <c r="I63" s="2">
        <f t="shared" si="16"/>
        <v>39.466666666666669</v>
      </c>
      <c r="J63" s="2">
        <f t="shared" si="16"/>
        <v>51.6</v>
      </c>
      <c r="K63" s="2">
        <f t="shared" ref="K63:Q63" si="17">AVERAGE(K56:K58)</f>
        <v>35.56666666666667</v>
      </c>
      <c r="L63" s="2">
        <f t="shared" si="17"/>
        <v>52.966666666666669</v>
      </c>
      <c r="M63" s="2">
        <f t="shared" si="17"/>
        <v>42.300000000000004</v>
      </c>
      <c r="N63" s="2">
        <f t="shared" si="17"/>
        <v>47.133333333333326</v>
      </c>
      <c r="O63" s="2">
        <f t="shared" si="17"/>
        <v>53.6</v>
      </c>
      <c r="P63" s="2">
        <f t="shared" si="17"/>
        <v>57.066666666666663</v>
      </c>
      <c r="Q63" s="2">
        <f t="shared" si="17"/>
        <v>53.233333333333327</v>
      </c>
    </row>
    <row r="64" spans="2:20" x14ac:dyDescent="0.2">
      <c r="B64" s="5" t="s">
        <v>12</v>
      </c>
      <c r="C64" s="7">
        <f t="shared" ref="C64:Q64" si="18">AVERAGE(C59:C61)</f>
        <v>3.8266666666666667</v>
      </c>
      <c r="D64" s="7">
        <f t="shared" si="18"/>
        <v>3.75</v>
      </c>
      <c r="E64" s="7">
        <f t="shared" si="18"/>
        <v>5.0699999999999994</v>
      </c>
      <c r="F64" s="7">
        <f t="shared" si="18"/>
        <v>7.4666666666666659</v>
      </c>
      <c r="G64" s="7">
        <f t="shared" si="18"/>
        <v>7.5</v>
      </c>
      <c r="H64" s="7">
        <f t="shared" si="18"/>
        <v>8.74</v>
      </c>
      <c r="I64" s="7">
        <f t="shared" si="18"/>
        <v>30.033333333333331</v>
      </c>
      <c r="J64" s="7">
        <f t="shared" si="18"/>
        <v>24.633333333333336</v>
      </c>
      <c r="K64" s="7">
        <f t="shared" si="18"/>
        <v>26.633333333333336</v>
      </c>
      <c r="L64" s="7">
        <f t="shared" si="18"/>
        <v>28.133333333333336</v>
      </c>
      <c r="M64" s="7">
        <f t="shared" si="18"/>
        <v>24.933333333333334</v>
      </c>
      <c r="N64" s="7">
        <f t="shared" si="18"/>
        <v>25.100000000000005</v>
      </c>
      <c r="O64" s="7">
        <f t="shared" si="18"/>
        <v>29</v>
      </c>
      <c r="P64" s="7">
        <f t="shared" si="18"/>
        <v>28.599999999999998</v>
      </c>
      <c r="Q64" s="7">
        <f t="shared" si="18"/>
        <v>33.266666666666666</v>
      </c>
    </row>
    <row r="66" spans="2:12" x14ac:dyDescent="0.2">
      <c r="D66" t="s">
        <v>21</v>
      </c>
      <c r="I66" t="s">
        <v>17</v>
      </c>
    </row>
    <row r="67" spans="2:12" x14ac:dyDescent="0.2">
      <c r="B67" t="s">
        <v>16</v>
      </c>
      <c r="C67" t="s">
        <v>24</v>
      </c>
      <c r="D67" t="s">
        <v>31</v>
      </c>
      <c r="E67" t="s">
        <v>32</v>
      </c>
      <c r="F67" t="s">
        <v>29</v>
      </c>
      <c r="G67" t="s">
        <v>30</v>
      </c>
      <c r="I67" t="s">
        <v>31</v>
      </c>
      <c r="J67" t="s">
        <v>32</v>
      </c>
      <c r="K67" t="s">
        <v>29</v>
      </c>
      <c r="L67" t="s">
        <v>30</v>
      </c>
    </row>
    <row r="68" spans="2:12" x14ac:dyDescent="0.2">
      <c r="B68" t="s">
        <v>13</v>
      </c>
      <c r="C68">
        <f>C3</f>
        <v>7</v>
      </c>
      <c r="D68" s="2">
        <f>AVERAGE(C15:E15)</f>
        <v>31.888888888888889</v>
      </c>
      <c r="E68" s="2">
        <f>AVERAGE(C31:E31)</f>
        <v>7.7333333333333343</v>
      </c>
      <c r="F68" s="2">
        <f>AVERAGE(C47:E47)</f>
        <v>2.5944444444444446</v>
      </c>
      <c r="G68" s="2">
        <f>AVERAGE(C63:E63)</f>
        <v>5.9088888888888889</v>
      </c>
      <c r="I68" s="2">
        <f>STDEV(C15:E15)</f>
        <v>12.128768982754892</v>
      </c>
      <c r="J68" s="2">
        <f>STDEV(C31:E31)</f>
        <v>2.3132973099980947</v>
      </c>
      <c r="K68" s="2">
        <f>STDEV(C47:E47)</f>
        <v>1.6184160065849476</v>
      </c>
      <c r="L68" s="2">
        <f>STDEV(C63:E63)</f>
        <v>1.6361619497855131</v>
      </c>
    </row>
    <row r="69" spans="2:12" x14ac:dyDescent="0.2">
      <c r="C69">
        <f>F3</f>
        <v>7.7</v>
      </c>
      <c r="D69" s="2">
        <f>AVERAGE(F15:H15)</f>
        <v>69.288888888888891</v>
      </c>
      <c r="E69" s="2">
        <f>AVERAGE(F31:H31)</f>
        <v>31.811111111111106</v>
      </c>
      <c r="F69" s="2">
        <f>AVERAGE(F47:H47)</f>
        <v>4.873333333333334</v>
      </c>
      <c r="G69" s="2">
        <f>AVERAGE(F63:H63)</f>
        <v>8.5733333333333324</v>
      </c>
      <c r="I69" s="2">
        <f>STDEV(F15:H15)</f>
        <v>2.2241935700466842</v>
      </c>
      <c r="J69" s="2">
        <f>STDEV(F31:H31)</f>
        <v>3.6375103410824123</v>
      </c>
      <c r="K69" s="2">
        <f>STDEV(F47:H47)</f>
        <v>2.1943133575474367</v>
      </c>
      <c r="L69" s="2">
        <f>STDEV(F63:H63)</f>
        <v>0.83845757859960413</v>
      </c>
    </row>
    <row r="70" spans="2:12" x14ac:dyDescent="0.2">
      <c r="C70">
        <f>I3</f>
        <v>8.1999999999999993</v>
      </c>
      <c r="D70" s="2">
        <f>AVERAGE(I15:K15)</f>
        <v>68.100000000000009</v>
      </c>
      <c r="E70" s="2">
        <f>AVERAGE(I31:K31)</f>
        <v>51.344444444444456</v>
      </c>
      <c r="F70" s="2">
        <f>AVERAGE(I47:K47)</f>
        <v>2.9933333333333336</v>
      </c>
      <c r="G70" s="2">
        <f>AVERAGE(I63:K63)</f>
        <v>42.211111111111109</v>
      </c>
      <c r="I70" s="2">
        <f>STDEV(I15:K15)</f>
        <v>0.73333333333333428</v>
      </c>
      <c r="J70" s="2">
        <f>STDEV(I31:K31)</f>
        <v>1.2863960567472317</v>
      </c>
      <c r="K70" s="2">
        <f>STDEV(I47:K47)</f>
        <v>0.3154538177152259</v>
      </c>
      <c r="L70" s="2">
        <f>STDEV(I63:K63)</f>
        <v>8.3615743688570277</v>
      </c>
    </row>
    <row r="71" spans="2:12" x14ac:dyDescent="0.2">
      <c r="C71">
        <f>L3</f>
        <v>8.5</v>
      </c>
      <c r="D71" s="2">
        <f>AVERAGE(L15:N15)</f>
        <v>64.233333333333334</v>
      </c>
      <c r="E71" s="2">
        <f>AVERAGE(L31:N31)</f>
        <v>56.81111111111111</v>
      </c>
      <c r="F71" s="2">
        <f>AVERAGE(L47:N47)</f>
        <v>3.3988888888888886</v>
      </c>
      <c r="G71" s="2">
        <f>AVERAGE(L63:N63)</f>
        <v>47.466666666666669</v>
      </c>
      <c r="I71" s="2">
        <f>STDEV(L15:N15)</f>
        <v>0.40551750201988279</v>
      </c>
      <c r="J71" s="2">
        <f>STDEV(L31:N31)</f>
        <v>1.9577008434877325</v>
      </c>
      <c r="K71" s="2">
        <f>STDEV(L47:N47)</f>
        <v>0.57659280194888229</v>
      </c>
      <c r="L71" s="2">
        <f>STDEV(L63:N63)</f>
        <v>5.3411401196540211</v>
      </c>
    </row>
    <row r="72" spans="2:12" x14ac:dyDescent="0.2">
      <c r="C72">
        <v>8.9</v>
      </c>
      <c r="D72" s="2">
        <f>AVERAGE(O15:Q15)</f>
        <v>67.2</v>
      </c>
      <c r="E72" s="2">
        <f>AVERAGE(O31:Q31)</f>
        <v>51.68888888888889</v>
      </c>
      <c r="F72" s="2">
        <f>AVERAGE(O47:Q47)</f>
        <v>7.8722222222222227</v>
      </c>
      <c r="G72" s="2">
        <f>AVERAGE(O63:Q63)</f>
        <v>54.633333333333326</v>
      </c>
      <c r="I72" s="2">
        <f>STDEV(O15:Q15)</f>
        <v>0.82529456020933112</v>
      </c>
      <c r="J72" s="2">
        <f>STDEV(O31:Q31)</f>
        <v>2.5684697851127329</v>
      </c>
      <c r="K72" s="2">
        <f>STDEV(O47:Q47)</f>
        <v>2.2299335648632477</v>
      </c>
      <c r="L72" s="2">
        <f>STDEV(O63:Q63)</f>
        <v>2.1152882650940135</v>
      </c>
    </row>
    <row r="74" spans="2:12" x14ac:dyDescent="0.2">
      <c r="B74" t="s">
        <v>14</v>
      </c>
      <c r="C74">
        <f>C68</f>
        <v>7</v>
      </c>
      <c r="D74" s="2">
        <f>AVERAGE(C16:E16)</f>
        <v>8.1922222222222221</v>
      </c>
      <c r="E74" s="2">
        <f>AVERAGE(C32:E32)</f>
        <v>3.6300000000000003</v>
      </c>
      <c r="F74" s="2">
        <f>AVERAGE(C48:E48)</f>
        <v>1.5666666666666667</v>
      </c>
      <c r="G74" s="2">
        <f>AVERAGE(C64:E64)</f>
        <v>4.2155555555555546</v>
      </c>
      <c r="I74" s="2">
        <f>STDEV(C16:E16)</f>
        <v>2.2037350449062911</v>
      </c>
      <c r="J74" s="2">
        <f>STDEV(C32:E32)</f>
        <v>0.88274194039556875</v>
      </c>
      <c r="K74" s="2">
        <f>STDEV(C48:E48)</f>
        <v>0.39004273270160211</v>
      </c>
      <c r="L74" s="2">
        <f>STDEV(C64:E64)</f>
        <v>0.74096283707479671</v>
      </c>
    </row>
    <row r="75" spans="2:12" x14ac:dyDescent="0.2">
      <c r="C75">
        <f>C69</f>
        <v>7.7</v>
      </c>
      <c r="D75" s="2">
        <f>AVERAGE(F16:H16)</f>
        <v>24.288888888888891</v>
      </c>
      <c r="E75" s="2">
        <f>AVERAGE(F32:H32)</f>
        <v>16.555555555555557</v>
      </c>
      <c r="F75" s="2">
        <f>AVERAGE(F48:H48)</f>
        <v>2.8144444444444452</v>
      </c>
      <c r="G75" s="2">
        <f>AVERAGE(F64:H64)</f>
        <v>7.9022222222222211</v>
      </c>
      <c r="I75" s="2">
        <f>STDEV(F16:H16)</f>
        <v>0.28349668493717878</v>
      </c>
      <c r="J75" s="2">
        <f>STDEV(F32:H32)</f>
        <v>1.5952475716373344</v>
      </c>
      <c r="K75" s="2">
        <f>STDEV(F48:H48)</f>
        <v>0.28570251298496824</v>
      </c>
      <c r="L75" s="2">
        <f>STDEV(F64:H64)</f>
        <v>0.72572824216884513</v>
      </c>
    </row>
    <row r="76" spans="2:12" x14ac:dyDescent="0.2">
      <c r="C76">
        <f>C70</f>
        <v>8.1999999999999993</v>
      </c>
      <c r="D76" s="2">
        <f>AVERAGE(I16:K16)</f>
        <v>65.955555555555563</v>
      </c>
      <c r="E76" s="2">
        <f>AVERAGE(I32:K32)</f>
        <v>26.12222222222222</v>
      </c>
      <c r="F76" s="2">
        <f>AVERAGE(I48:K48)</f>
        <v>2.8144444444444443</v>
      </c>
      <c r="G76" s="2">
        <f>AVERAGE(I64:K64)</f>
        <v>27.100000000000005</v>
      </c>
      <c r="I76" s="2">
        <f>STDEV(I16:K16)</f>
        <v>0.73358581512195931</v>
      </c>
      <c r="J76" s="2">
        <f>STDEV(I32:K32)</f>
        <v>1.9726838270441351</v>
      </c>
      <c r="K76" s="2">
        <f>STDEV(I48:K48)</f>
        <v>0.39696534040326825</v>
      </c>
      <c r="L76" s="2">
        <f>STDEV(I64:K64)</f>
        <v>2.7300793639257668</v>
      </c>
    </row>
    <row r="77" spans="2:12" x14ac:dyDescent="0.2">
      <c r="C77">
        <f>C71</f>
        <v>8.5</v>
      </c>
      <c r="D77" s="2">
        <f>AVERAGE(L16:N16)</f>
        <v>63.855555555555554</v>
      </c>
      <c r="E77" s="2">
        <f>AVERAGE(L32:N32)</f>
        <v>34.366666666666667</v>
      </c>
      <c r="F77" s="2">
        <f>AVERAGE(L48:N48)</f>
        <v>3.0044444444444438</v>
      </c>
      <c r="G77" s="2">
        <f>AVERAGE(L64:N64)</f>
        <v>26.055555555555557</v>
      </c>
      <c r="I77" s="2">
        <f>STDEV(L16:N16)</f>
        <v>1.5780907357849736</v>
      </c>
      <c r="J77" s="2">
        <f>STDEV(L32:N32)</f>
        <v>1.7243356208503413</v>
      </c>
      <c r="K77" s="2">
        <f>STDEV(L48:N48)</f>
        <v>0.16063531275439905</v>
      </c>
      <c r="L77" s="2">
        <f>STDEV(L64:N64)</f>
        <v>1.8013369520483435</v>
      </c>
    </row>
    <row r="78" spans="2:12" x14ac:dyDescent="0.2">
      <c r="C78">
        <v>8.9</v>
      </c>
      <c r="D78" s="2">
        <f>AVERAGE(O16:Q16)</f>
        <v>62.833333333333336</v>
      </c>
      <c r="E78" s="2">
        <f>AVERAGE(O32:Q32)</f>
        <v>33.633333333333333</v>
      </c>
      <c r="F78" s="2">
        <f>AVERAGE(O48:Q48)</f>
        <v>3.6944444444444446</v>
      </c>
      <c r="G78" s="2">
        <f>AVERAGE(O64:Q64)</f>
        <v>30.288888888888888</v>
      </c>
      <c r="I78" s="2">
        <f>STDEV(O16:Q16)</f>
        <v>2.722131517763239</v>
      </c>
      <c r="J78" s="2">
        <f>STDEV(O32:Q32)</f>
        <v>1.8009256878986788</v>
      </c>
      <c r="K78" s="2">
        <f>STDEV(O48:Q48)</f>
        <v>0.13785392161162346</v>
      </c>
      <c r="L78" s="2">
        <f>STDEV(O64:Q64)</f>
        <v>2.5865750270135934</v>
      </c>
    </row>
    <row r="80" spans="2:12" x14ac:dyDescent="0.2">
      <c r="B80" t="s">
        <v>25</v>
      </c>
      <c r="C80">
        <v>0</v>
      </c>
      <c r="D80">
        <v>12.5</v>
      </c>
    </row>
    <row r="81" spans="3:4" x14ac:dyDescent="0.2">
      <c r="C81">
        <v>10</v>
      </c>
      <c r="D81">
        <v>12.5</v>
      </c>
    </row>
    <row r="109" spans="6:13" x14ac:dyDescent="0.2">
      <c r="F109" s="2"/>
      <c r="G109" s="2"/>
      <c r="I109" s="2"/>
      <c r="J109" s="2"/>
      <c r="L109" s="2"/>
      <c r="M109" s="2"/>
    </row>
    <row r="110" spans="6:13" x14ac:dyDescent="0.2">
      <c r="F110" s="2"/>
      <c r="G110" s="2"/>
      <c r="I110" s="2"/>
      <c r="J110" s="2"/>
      <c r="L110" s="2"/>
      <c r="M110" s="2"/>
    </row>
    <row r="111" spans="6:13" x14ac:dyDescent="0.2">
      <c r="F111" s="2"/>
      <c r="G111" s="2"/>
      <c r="I111" s="2"/>
      <c r="J111" s="2"/>
      <c r="L111" s="2"/>
      <c r="M111" s="2"/>
    </row>
  </sheetData>
  <mergeCells count="33">
    <mergeCell ref="B53:B55"/>
    <mergeCell ref="B56:B58"/>
    <mergeCell ref="B59:B61"/>
    <mergeCell ref="C50:E50"/>
    <mergeCell ref="F50:H50"/>
    <mergeCell ref="I50:K50"/>
    <mergeCell ref="L50:N50"/>
    <mergeCell ref="O50:Q50"/>
    <mergeCell ref="B21:B23"/>
    <mergeCell ref="B24:B26"/>
    <mergeCell ref="B27:B29"/>
    <mergeCell ref="L34:N34"/>
    <mergeCell ref="O34:Q34"/>
    <mergeCell ref="I34:K34"/>
    <mergeCell ref="C34:E34"/>
    <mergeCell ref="F34:H34"/>
    <mergeCell ref="F2:H2"/>
    <mergeCell ref="L18:N18"/>
    <mergeCell ref="O18:Q18"/>
    <mergeCell ref="B11:B13"/>
    <mergeCell ref="C2:E2"/>
    <mergeCell ref="L2:N2"/>
    <mergeCell ref="B5:B7"/>
    <mergeCell ref="B8:B10"/>
    <mergeCell ref="I2:K2"/>
    <mergeCell ref="C18:E18"/>
    <mergeCell ref="F18:H18"/>
    <mergeCell ref="I18:K18"/>
    <mergeCell ref="R2:T2"/>
    <mergeCell ref="R18:T18"/>
    <mergeCell ref="R34:T34"/>
    <mergeCell ref="R50:T50"/>
    <mergeCell ref="O2:Q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2B34-BAA7-C94F-98FA-B25DDA5D16C9}">
  <dimension ref="B2:Q111"/>
  <sheetViews>
    <sheetView topLeftCell="A45" zoomScale="136" zoomScaleNormal="136" workbookViewId="0">
      <selection activeCell="T29" sqref="T29"/>
    </sheetView>
  </sheetViews>
  <sheetFormatPr baseColWidth="10" defaultRowHeight="16" x14ac:dyDescent="0.2"/>
  <cols>
    <col min="2" max="2" width="14" customWidth="1"/>
    <col min="3" max="14" width="7.33203125" bestFit="1" customWidth="1"/>
    <col min="15" max="20" width="7.33203125" customWidth="1"/>
  </cols>
  <sheetData>
    <row r="2" spans="2:17" x14ac:dyDescent="0.2">
      <c r="B2" s="6" t="s">
        <v>20</v>
      </c>
      <c r="C2" s="17" t="s">
        <v>3</v>
      </c>
      <c r="D2" s="17"/>
      <c r="E2" s="17"/>
      <c r="F2" s="17" t="s">
        <v>4</v>
      </c>
      <c r="G2" s="17"/>
      <c r="H2" s="17"/>
      <c r="I2" s="17" t="s">
        <v>5</v>
      </c>
      <c r="J2" s="17"/>
      <c r="K2" s="17"/>
      <c r="L2" s="17" t="s">
        <v>9</v>
      </c>
      <c r="M2" s="17"/>
      <c r="N2" s="17"/>
      <c r="O2" s="17" t="s">
        <v>15</v>
      </c>
      <c r="P2" s="17"/>
      <c r="Q2" s="17"/>
    </row>
    <row r="3" spans="2:17" x14ac:dyDescent="0.2">
      <c r="B3" t="s">
        <v>34</v>
      </c>
      <c r="C3" s="9">
        <v>0</v>
      </c>
      <c r="D3" s="9">
        <v>0</v>
      </c>
      <c r="E3" s="9">
        <v>0</v>
      </c>
      <c r="F3" s="9">
        <v>0.78400000000000003</v>
      </c>
      <c r="G3" s="9">
        <v>0.78400000000000003</v>
      </c>
      <c r="H3" s="9">
        <v>0.78400000000000003</v>
      </c>
      <c r="I3" s="9">
        <v>9.2840000000000007</v>
      </c>
      <c r="J3" s="9">
        <v>9.2840000000000007</v>
      </c>
      <c r="K3" s="9">
        <v>9.2840000000000007</v>
      </c>
      <c r="L3" s="9">
        <v>19.283999999999999</v>
      </c>
      <c r="M3" s="9">
        <v>19.283999999999999</v>
      </c>
      <c r="N3" s="9">
        <v>19.283999999999999</v>
      </c>
      <c r="O3" s="9">
        <v>37.283999999999999</v>
      </c>
      <c r="P3" s="9">
        <v>37.283999999999999</v>
      </c>
      <c r="Q3" s="9">
        <v>37.283999999999999</v>
      </c>
    </row>
    <row r="4" spans="2:17" x14ac:dyDescent="0.2">
      <c r="B4" s="1"/>
      <c r="C4" s="1" t="s">
        <v>0</v>
      </c>
      <c r="D4" s="1" t="s">
        <v>1</v>
      </c>
      <c r="E4" s="1" t="s">
        <v>2</v>
      </c>
      <c r="F4" s="1" t="s">
        <v>0</v>
      </c>
      <c r="G4" s="1" t="s">
        <v>1</v>
      </c>
      <c r="H4" s="1" t="s">
        <v>2</v>
      </c>
      <c r="I4" s="1" t="s">
        <v>0</v>
      </c>
      <c r="J4" s="1" t="s">
        <v>1</v>
      </c>
      <c r="K4" s="1" t="s">
        <v>2</v>
      </c>
      <c r="L4" s="1" t="s">
        <v>0</v>
      </c>
      <c r="M4" s="1" t="s">
        <v>1</v>
      </c>
      <c r="N4" s="1" t="s">
        <v>2</v>
      </c>
      <c r="O4" s="1" t="s">
        <v>0</v>
      </c>
      <c r="P4" s="1" t="s">
        <v>1</v>
      </c>
      <c r="Q4" s="1" t="s">
        <v>2</v>
      </c>
    </row>
    <row r="5" spans="2:17" x14ac:dyDescent="0.2">
      <c r="B5" s="18" t="s">
        <v>6</v>
      </c>
      <c r="C5" s="13">
        <v>62.6</v>
      </c>
      <c r="D5" s="13">
        <v>62.2</v>
      </c>
      <c r="E5" s="13">
        <v>61.1</v>
      </c>
      <c r="F5" s="13">
        <v>63</v>
      </c>
      <c r="G5" s="13">
        <v>61.3</v>
      </c>
      <c r="H5" s="13">
        <v>62</v>
      </c>
      <c r="I5" s="13">
        <v>64.599999999999994</v>
      </c>
      <c r="J5" s="13">
        <v>59.7</v>
      </c>
      <c r="K5" s="13">
        <v>63.3</v>
      </c>
      <c r="L5" s="13">
        <v>62</v>
      </c>
      <c r="M5" s="13">
        <v>63.4</v>
      </c>
      <c r="N5" s="13">
        <v>61.8</v>
      </c>
      <c r="O5" s="13">
        <v>62.8</v>
      </c>
      <c r="P5" s="13">
        <v>61.7</v>
      </c>
      <c r="Q5" s="13">
        <v>60.6</v>
      </c>
    </row>
    <row r="6" spans="2:17" x14ac:dyDescent="0.2">
      <c r="B6" s="19"/>
      <c r="C6" s="13">
        <v>62.6</v>
      </c>
      <c r="D6" s="13">
        <v>62.5</v>
      </c>
      <c r="E6" s="13">
        <v>61.9</v>
      </c>
      <c r="F6" s="13">
        <v>62.6</v>
      </c>
      <c r="G6" s="13">
        <v>62</v>
      </c>
      <c r="H6" s="13">
        <v>61.7</v>
      </c>
      <c r="I6" s="13">
        <v>63.2</v>
      </c>
      <c r="J6" s="13">
        <v>60</v>
      </c>
      <c r="K6" s="13">
        <v>62.9</v>
      </c>
      <c r="L6" s="13">
        <v>63.2</v>
      </c>
      <c r="M6" s="13">
        <v>62.7</v>
      </c>
      <c r="N6" s="13">
        <v>62.6</v>
      </c>
      <c r="O6" s="13">
        <v>62.8</v>
      </c>
      <c r="P6" s="13">
        <v>62.1</v>
      </c>
      <c r="Q6" s="13">
        <v>61.3</v>
      </c>
    </row>
    <row r="7" spans="2:17" x14ac:dyDescent="0.2">
      <c r="B7" s="20"/>
      <c r="C7" s="14">
        <v>63</v>
      </c>
      <c r="D7" s="14">
        <v>62.4</v>
      </c>
      <c r="E7" s="14">
        <v>61.7</v>
      </c>
      <c r="F7" s="14">
        <v>62.5</v>
      </c>
      <c r="G7" s="14">
        <v>62</v>
      </c>
      <c r="H7" s="14">
        <v>61.5</v>
      </c>
      <c r="I7" s="14">
        <v>62.6</v>
      </c>
      <c r="J7" s="14">
        <v>60.1</v>
      </c>
      <c r="K7" s="14">
        <v>62.7</v>
      </c>
      <c r="L7" s="14">
        <v>63.2</v>
      </c>
      <c r="M7" s="14">
        <v>63</v>
      </c>
      <c r="N7" s="14">
        <v>62.7</v>
      </c>
      <c r="O7" s="14">
        <v>62.3</v>
      </c>
      <c r="P7" s="14">
        <v>61.7</v>
      </c>
      <c r="Q7" s="14">
        <v>60.9</v>
      </c>
    </row>
    <row r="8" spans="2:17" x14ac:dyDescent="0.2">
      <c r="B8" s="18" t="s">
        <v>7</v>
      </c>
      <c r="C8" s="13">
        <v>67.099999999999994</v>
      </c>
      <c r="D8" s="13">
        <v>71.599999999999994</v>
      </c>
      <c r="E8" s="13">
        <v>72.3</v>
      </c>
      <c r="F8" s="13">
        <v>68.099999999999994</v>
      </c>
      <c r="G8" s="13">
        <v>69.400000000000006</v>
      </c>
      <c r="H8" s="13">
        <v>69.3</v>
      </c>
      <c r="I8" s="13">
        <v>69.8</v>
      </c>
      <c r="J8" s="13">
        <v>63.2</v>
      </c>
      <c r="K8" s="13">
        <v>69.099999999999994</v>
      </c>
      <c r="L8" s="13">
        <v>68.099999999999994</v>
      </c>
      <c r="M8" s="13">
        <v>67.8</v>
      </c>
      <c r="N8" s="13">
        <v>69.099999999999994</v>
      </c>
      <c r="O8" s="13">
        <v>66.3</v>
      </c>
      <c r="P8" s="13">
        <v>67.400000000000006</v>
      </c>
      <c r="Q8" s="13">
        <v>69.599999999999994</v>
      </c>
    </row>
    <row r="9" spans="2:17" x14ac:dyDescent="0.2">
      <c r="B9" s="19"/>
      <c r="C9" s="13">
        <v>65.2</v>
      </c>
      <c r="D9" s="13">
        <v>67.3</v>
      </c>
      <c r="E9" s="13">
        <v>71.2</v>
      </c>
      <c r="F9" s="13">
        <v>70.099999999999994</v>
      </c>
      <c r="G9" s="13">
        <v>68.2</v>
      </c>
      <c r="H9" s="13">
        <v>70.5</v>
      </c>
      <c r="I9" s="13">
        <v>65.7</v>
      </c>
      <c r="J9" s="13">
        <v>65.3</v>
      </c>
      <c r="K9" s="13">
        <v>70.8</v>
      </c>
      <c r="L9" s="13">
        <v>71.7</v>
      </c>
      <c r="M9" s="13">
        <v>68.2</v>
      </c>
      <c r="N9" s="13">
        <v>66.099999999999994</v>
      </c>
      <c r="O9" s="13">
        <v>66.3</v>
      </c>
      <c r="P9" s="13">
        <v>66.900000000000006</v>
      </c>
      <c r="Q9" s="13">
        <v>65.8</v>
      </c>
    </row>
    <row r="10" spans="2:17" x14ac:dyDescent="0.2">
      <c r="B10" s="20"/>
      <c r="C10" s="14">
        <v>68.400000000000006</v>
      </c>
      <c r="D10" s="14">
        <v>70.099999999999994</v>
      </c>
      <c r="E10" s="14">
        <v>70.400000000000006</v>
      </c>
      <c r="F10" s="14">
        <v>66.400000000000006</v>
      </c>
      <c r="G10" s="14">
        <v>67.8</v>
      </c>
      <c r="H10" s="14">
        <v>69.8</v>
      </c>
      <c r="I10" s="14">
        <v>68</v>
      </c>
      <c r="J10" s="14">
        <v>63.7</v>
      </c>
      <c r="K10" s="14">
        <v>65.8</v>
      </c>
      <c r="L10" s="14">
        <v>67.099999999999994</v>
      </c>
      <c r="M10" s="14">
        <v>66.099999999999994</v>
      </c>
      <c r="N10" s="14">
        <v>67.2</v>
      </c>
      <c r="O10" s="14">
        <v>65.3</v>
      </c>
      <c r="P10" s="14">
        <v>66.5</v>
      </c>
      <c r="Q10" s="14">
        <v>65.7</v>
      </c>
    </row>
    <row r="11" spans="2:17" x14ac:dyDescent="0.2">
      <c r="B11" s="18" t="s">
        <v>8</v>
      </c>
      <c r="C11" s="13">
        <v>24</v>
      </c>
      <c r="D11" s="13">
        <v>24.1</v>
      </c>
      <c r="E11" s="13">
        <v>25.6</v>
      </c>
      <c r="F11" s="13">
        <v>33.299999999999997</v>
      </c>
      <c r="G11" s="13">
        <v>41.7</v>
      </c>
      <c r="H11" s="13">
        <v>44.4</v>
      </c>
      <c r="I11" s="13">
        <v>36.9</v>
      </c>
      <c r="J11" s="13">
        <v>47</v>
      </c>
      <c r="K11" s="13">
        <v>45.9</v>
      </c>
      <c r="L11" s="13">
        <v>47.8</v>
      </c>
      <c r="M11" s="13">
        <v>41.9</v>
      </c>
      <c r="N11" s="13">
        <v>45.3</v>
      </c>
      <c r="O11" s="13">
        <v>30.2</v>
      </c>
      <c r="P11" s="13">
        <v>37.6</v>
      </c>
      <c r="Q11" s="13">
        <v>55.1</v>
      </c>
    </row>
    <row r="12" spans="2:17" x14ac:dyDescent="0.2">
      <c r="B12" s="19"/>
      <c r="C12" s="13">
        <v>23.7</v>
      </c>
      <c r="D12" s="13">
        <v>24.6</v>
      </c>
      <c r="E12" s="13">
        <v>23.8</v>
      </c>
      <c r="F12" s="13">
        <v>32.4</v>
      </c>
      <c r="G12" s="13">
        <v>41.6</v>
      </c>
      <c r="H12" s="13">
        <v>43.9</v>
      </c>
      <c r="I12" s="13">
        <v>37.1</v>
      </c>
      <c r="J12" s="13">
        <v>46</v>
      </c>
      <c r="K12" s="13">
        <v>43.7</v>
      </c>
      <c r="L12" s="13">
        <v>46</v>
      </c>
      <c r="M12" s="13">
        <v>41.3</v>
      </c>
      <c r="N12" s="13">
        <v>46.8</v>
      </c>
      <c r="O12" s="13">
        <v>29.4</v>
      </c>
      <c r="P12" s="13">
        <v>37.299999999999997</v>
      </c>
      <c r="Q12" s="13">
        <v>54.4</v>
      </c>
    </row>
    <row r="13" spans="2:17" x14ac:dyDescent="0.2">
      <c r="B13" s="20"/>
      <c r="C13" s="13">
        <v>24.2</v>
      </c>
      <c r="D13" s="13">
        <v>24.5</v>
      </c>
      <c r="E13" s="13">
        <v>24.1</v>
      </c>
      <c r="F13" s="13">
        <v>32.9</v>
      </c>
      <c r="G13" s="13">
        <v>41.9</v>
      </c>
      <c r="H13" s="13">
        <v>43.8</v>
      </c>
      <c r="I13" s="13">
        <v>39.700000000000003</v>
      </c>
      <c r="J13" s="13">
        <v>46</v>
      </c>
      <c r="K13" s="13">
        <v>43.5</v>
      </c>
      <c r="L13" s="13">
        <v>48.2</v>
      </c>
      <c r="M13" s="13">
        <v>44.6</v>
      </c>
      <c r="N13" s="13">
        <v>44.1</v>
      </c>
      <c r="O13" s="13">
        <v>28.7</v>
      </c>
      <c r="P13" s="13">
        <v>37.1</v>
      </c>
      <c r="Q13" s="13">
        <v>54.5</v>
      </c>
    </row>
    <row r="14" spans="2:17" x14ac:dyDescent="0.2">
      <c r="B14" s="3" t="s">
        <v>10</v>
      </c>
      <c r="C14" s="8">
        <f t="shared" ref="C14:P14" si="0">AVERAGE(C5:C7)</f>
        <v>62.733333333333327</v>
      </c>
      <c r="D14" s="8">
        <f t="shared" si="0"/>
        <v>62.366666666666667</v>
      </c>
      <c r="E14" s="8">
        <f t="shared" si="0"/>
        <v>61.566666666666663</v>
      </c>
      <c r="F14" s="8">
        <f t="shared" si="0"/>
        <v>62.699999999999996</v>
      </c>
      <c r="G14" s="8">
        <f t="shared" si="0"/>
        <v>61.766666666666673</v>
      </c>
      <c r="H14" s="8">
        <f t="shared" si="0"/>
        <v>61.733333333333327</v>
      </c>
      <c r="I14" s="8">
        <f t="shared" si="0"/>
        <v>63.466666666666669</v>
      </c>
      <c r="J14" s="8">
        <f t="shared" si="0"/>
        <v>59.933333333333337</v>
      </c>
      <c r="K14" s="8">
        <f t="shared" si="0"/>
        <v>62.966666666666661</v>
      </c>
      <c r="L14" s="8">
        <f t="shared" si="0"/>
        <v>62.800000000000004</v>
      </c>
      <c r="M14" s="8">
        <f t="shared" si="0"/>
        <v>63.033333333333331</v>
      </c>
      <c r="N14" s="8">
        <f t="shared" si="0"/>
        <v>62.366666666666674</v>
      </c>
      <c r="O14" s="8">
        <f t="shared" si="0"/>
        <v>62.633333333333326</v>
      </c>
      <c r="P14" s="8">
        <f t="shared" si="0"/>
        <v>61.833333333333336</v>
      </c>
      <c r="Q14" s="8">
        <f>AVERAGE(Q5:Q7)</f>
        <v>60.933333333333337</v>
      </c>
    </row>
    <row r="15" spans="2:17" x14ac:dyDescent="0.2">
      <c r="B15" s="4" t="s">
        <v>11</v>
      </c>
      <c r="C15" s="2">
        <f>AVERAGE(C8:C10)</f>
        <v>66.900000000000006</v>
      </c>
      <c r="D15" s="2">
        <f t="shared" ref="D15:Q15" si="1">AVERAGE(D8:D10)</f>
        <v>69.666666666666657</v>
      </c>
      <c r="E15" s="2">
        <f t="shared" si="1"/>
        <v>71.3</v>
      </c>
      <c r="F15" s="2">
        <f t="shared" si="1"/>
        <v>68.2</v>
      </c>
      <c r="G15" s="2">
        <f t="shared" si="1"/>
        <v>68.466666666666683</v>
      </c>
      <c r="H15" s="2">
        <f t="shared" si="1"/>
        <v>69.866666666666674</v>
      </c>
      <c r="I15" s="2">
        <f t="shared" si="1"/>
        <v>67.833333333333329</v>
      </c>
      <c r="J15" s="2">
        <f t="shared" si="1"/>
        <v>64.066666666666663</v>
      </c>
      <c r="K15" s="2">
        <f>AVERAGE(K8:K10)</f>
        <v>68.566666666666663</v>
      </c>
      <c r="L15" s="2">
        <f t="shared" si="1"/>
        <v>68.966666666666669</v>
      </c>
      <c r="M15" s="2">
        <f t="shared" si="1"/>
        <v>67.36666666666666</v>
      </c>
      <c r="N15" s="2">
        <f t="shared" si="1"/>
        <v>67.466666666666654</v>
      </c>
      <c r="O15" s="2">
        <f t="shared" si="1"/>
        <v>65.966666666666654</v>
      </c>
      <c r="P15" s="2">
        <f t="shared" si="1"/>
        <v>66.933333333333337</v>
      </c>
      <c r="Q15" s="2">
        <f t="shared" si="1"/>
        <v>67.033333333333317</v>
      </c>
    </row>
    <row r="16" spans="2:17" x14ac:dyDescent="0.2">
      <c r="B16" s="5" t="s">
        <v>12</v>
      </c>
      <c r="C16" s="7">
        <f>AVERAGE(C11:C13)</f>
        <v>23.966666666666669</v>
      </c>
      <c r="D16" s="7">
        <f t="shared" ref="D16:Q16" si="2">AVERAGE(D11:D13)</f>
        <v>24.400000000000002</v>
      </c>
      <c r="E16" s="7">
        <f t="shared" si="2"/>
        <v>24.5</v>
      </c>
      <c r="F16" s="7">
        <f t="shared" si="2"/>
        <v>32.866666666666667</v>
      </c>
      <c r="G16" s="7">
        <f t="shared" si="2"/>
        <v>41.733333333333341</v>
      </c>
      <c r="H16" s="7">
        <f t="shared" si="2"/>
        <v>44.033333333333331</v>
      </c>
      <c r="I16" s="7">
        <f t="shared" si="2"/>
        <v>37.9</v>
      </c>
      <c r="J16" s="7">
        <f t="shared" si="2"/>
        <v>46.333333333333336</v>
      </c>
      <c r="K16" s="7">
        <f t="shared" si="2"/>
        <v>44.366666666666667</v>
      </c>
      <c r="L16" s="7">
        <f t="shared" si="2"/>
        <v>47.333333333333336</v>
      </c>
      <c r="M16" s="7">
        <f t="shared" si="2"/>
        <v>42.599999999999994</v>
      </c>
      <c r="N16" s="7">
        <f t="shared" si="2"/>
        <v>45.4</v>
      </c>
      <c r="O16" s="7">
        <f t="shared" si="2"/>
        <v>29.433333333333334</v>
      </c>
      <c r="P16" s="7">
        <f t="shared" si="2"/>
        <v>37.333333333333336</v>
      </c>
      <c r="Q16" s="7">
        <f t="shared" si="2"/>
        <v>54.666666666666664</v>
      </c>
    </row>
    <row r="18" spans="2:17" x14ac:dyDescent="0.2">
      <c r="B18" s="6" t="s">
        <v>26</v>
      </c>
      <c r="C18" s="17" t="s">
        <v>3</v>
      </c>
      <c r="D18" s="17"/>
      <c r="E18" s="17"/>
      <c r="F18" s="17" t="s">
        <v>4</v>
      </c>
      <c r="G18" s="17"/>
      <c r="H18" s="17"/>
      <c r="I18" s="17" t="s">
        <v>5</v>
      </c>
      <c r="J18" s="17"/>
      <c r="K18" s="17"/>
      <c r="L18" s="17" t="s">
        <v>9</v>
      </c>
      <c r="M18" s="17"/>
      <c r="N18" s="17"/>
      <c r="O18" s="17" t="s">
        <v>15</v>
      </c>
      <c r="P18" s="17"/>
      <c r="Q18" s="17"/>
    </row>
    <row r="19" spans="2:17" x14ac:dyDescent="0.2">
      <c r="B19" t="s">
        <v>34</v>
      </c>
      <c r="C19" s="9">
        <v>0</v>
      </c>
      <c r="D19" s="9">
        <v>0</v>
      </c>
      <c r="E19" s="9">
        <v>0</v>
      </c>
      <c r="F19" s="9">
        <v>0.78400000000000003</v>
      </c>
      <c r="G19" s="9">
        <v>0.78400000000000003</v>
      </c>
      <c r="H19" s="9">
        <v>0.78400000000000003</v>
      </c>
      <c r="I19" s="9">
        <v>9.2840000000000007</v>
      </c>
      <c r="J19" s="9">
        <v>9.2840000000000007</v>
      </c>
      <c r="K19" s="9">
        <v>9.2840000000000007</v>
      </c>
      <c r="L19" s="9">
        <v>19.283999999999999</v>
      </c>
      <c r="M19" s="9">
        <v>19.283999999999999</v>
      </c>
      <c r="N19" s="9">
        <v>19.283999999999999</v>
      </c>
      <c r="O19" s="9">
        <v>37.283999999999999</v>
      </c>
      <c r="P19" s="9">
        <v>37.283999999999999</v>
      </c>
      <c r="Q19" s="9">
        <v>37.283999999999999</v>
      </c>
    </row>
    <row r="20" spans="2:17" x14ac:dyDescent="0.2">
      <c r="B20" s="1"/>
      <c r="C20" s="1" t="s">
        <v>0</v>
      </c>
      <c r="D20" s="1" t="s">
        <v>1</v>
      </c>
      <c r="E20" s="1" t="s">
        <v>2</v>
      </c>
      <c r="F20" s="1" t="s">
        <v>0</v>
      </c>
      <c r="G20" s="1" t="s">
        <v>1</v>
      </c>
      <c r="H20" s="1" t="s">
        <v>2</v>
      </c>
      <c r="I20" s="1" t="s">
        <v>0</v>
      </c>
      <c r="J20" s="1" t="s">
        <v>1</v>
      </c>
      <c r="K20" s="1" t="s">
        <v>2</v>
      </c>
      <c r="L20" s="1" t="s">
        <v>0</v>
      </c>
      <c r="M20" s="1" t="s">
        <v>1</v>
      </c>
      <c r="N20" s="1" t="s">
        <v>2</v>
      </c>
      <c r="O20" s="1" t="s">
        <v>0</v>
      </c>
      <c r="P20" s="1" t="s">
        <v>1</v>
      </c>
      <c r="Q20" s="1" t="s">
        <v>2</v>
      </c>
    </row>
    <row r="21" spans="2:17" x14ac:dyDescent="0.2">
      <c r="B21" s="18" t="s">
        <v>6</v>
      </c>
      <c r="C21" s="13">
        <v>63.7</v>
      </c>
      <c r="D21" s="13">
        <v>62.6</v>
      </c>
      <c r="E21" s="13">
        <v>62.2</v>
      </c>
      <c r="F21" s="13">
        <v>62.8</v>
      </c>
      <c r="G21" s="13">
        <v>62.1</v>
      </c>
      <c r="H21" s="13">
        <v>61.5</v>
      </c>
      <c r="I21" s="13">
        <v>61.2</v>
      </c>
      <c r="J21" s="13">
        <v>60.6</v>
      </c>
      <c r="K21" s="13">
        <v>61</v>
      </c>
      <c r="L21" s="13">
        <v>63.4</v>
      </c>
      <c r="M21" s="13">
        <v>63.2</v>
      </c>
      <c r="N21" s="13">
        <v>62.2</v>
      </c>
      <c r="O21" s="13">
        <v>63</v>
      </c>
      <c r="P21" s="13">
        <v>63.2</v>
      </c>
      <c r="Q21" s="13">
        <v>63.1</v>
      </c>
    </row>
    <row r="22" spans="2:17" x14ac:dyDescent="0.2">
      <c r="B22" s="19"/>
      <c r="C22" s="13">
        <v>62.1</v>
      </c>
      <c r="D22" s="13">
        <v>63.2</v>
      </c>
      <c r="E22" s="13">
        <v>61.8</v>
      </c>
      <c r="F22" s="13">
        <v>62.5</v>
      </c>
      <c r="G22" s="13">
        <v>62.5</v>
      </c>
      <c r="H22" s="13">
        <v>62.6</v>
      </c>
      <c r="I22" s="13">
        <v>61.1</v>
      </c>
      <c r="J22" s="13">
        <v>60.7</v>
      </c>
      <c r="K22" s="13">
        <v>61.8</v>
      </c>
      <c r="L22" s="13">
        <v>61.8</v>
      </c>
      <c r="M22" s="13">
        <v>63.5</v>
      </c>
      <c r="N22" s="13">
        <v>62.8</v>
      </c>
      <c r="O22" s="13">
        <v>63.4</v>
      </c>
      <c r="P22" s="13">
        <v>63.9</v>
      </c>
      <c r="Q22" s="13">
        <v>63.3</v>
      </c>
    </row>
    <row r="23" spans="2:17" x14ac:dyDescent="0.2">
      <c r="B23" s="20"/>
      <c r="C23" s="14">
        <v>62.4</v>
      </c>
      <c r="D23" s="14">
        <v>62.8</v>
      </c>
      <c r="E23" s="14">
        <v>61.8</v>
      </c>
      <c r="F23" s="14">
        <v>62.6</v>
      </c>
      <c r="G23" s="14">
        <v>62.7</v>
      </c>
      <c r="H23" s="14">
        <v>62.3</v>
      </c>
      <c r="I23" s="14">
        <v>60.7</v>
      </c>
      <c r="J23" s="14">
        <v>60.7</v>
      </c>
      <c r="K23" s="14">
        <v>61.6</v>
      </c>
      <c r="L23" s="14">
        <v>61.8</v>
      </c>
      <c r="M23" s="14">
        <v>63.5</v>
      </c>
      <c r="N23" s="14">
        <v>63.2</v>
      </c>
      <c r="O23" s="14">
        <v>63.2</v>
      </c>
      <c r="P23" s="14">
        <v>63.8</v>
      </c>
      <c r="Q23" s="14">
        <v>63.4</v>
      </c>
    </row>
    <row r="24" spans="2:17" x14ac:dyDescent="0.2">
      <c r="B24" s="18" t="s">
        <v>7</v>
      </c>
      <c r="C24" s="13">
        <v>32.6</v>
      </c>
      <c r="D24" s="15">
        <v>29.7</v>
      </c>
      <c r="E24" s="15">
        <v>42.6</v>
      </c>
      <c r="F24" s="13">
        <v>45</v>
      </c>
      <c r="G24" s="13">
        <v>44.8</v>
      </c>
      <c r="H24" s="13">
        <v>44.9</v>
      </c>
      <c r="I24" s="13">
        <v>63.8</v>
      </c>
      <c r="J24" s="15">
        <v>49.2</v>
      </c>
      <c r="K24" s="15">
        <v>72.2</v>
      </c>
      <c r="L24" s="13">
        <v>67.3</v>
      </c>
      <c r="M24" s="15">
        <v>84</v>
      </c>
      <c r="N24" s="15">
        <v>83.6</v>
      </c>
      <c r="O24" s="13">
        <v>77.7</v>
      </c>
      <c r="P24" s="13">
        <v>70.2</v>
      </c>
      <c r="Q24" s="13">
        <v>91.1</v>
      </c>
    </row>
    <row r="25" spans="2:17" x14ac:dyDescent="0.2">
      <c r="B25" s="19"/>
      <c r="C25" s="13">
        <v>35.4</v>
      </c>
      <c r="D25" s="13">
        <v>29.8</v>
      </c>
      <c r="E25" s="13">
        <v>27.5</v>
      </c>
      <c r="F25" s="13">
        <v>41.4</v>
      </c>
      <c r="G25" s="13">
        <v>46.2</v>
      </c>
      <c r="H25" s="13">
        <v>51</v>
      </c>
      <c r="I25" s="13">
        <v>69.3</v>
      </c>
      <c r="J25" s="13">
        <v>58.8</v>
      </c>
      <c r="K25" s="13">
        <v>67.900000000000006</v>
      </c>
      <c r="L25" s="13">
        <v>87.1</v>
      </c>
      <c r="M25" s="13">
        <v>98.5</v>
      </c>
      <c r="N25" s="13">
        <v>94.2</v>
      </c>
      <c r="O25" s="13">
        <v>89.9</v>
      </c>
      <c r="P25" s="13">
        <v>85.5</v>
      </c>
      <c r="Q25" s="13">
        <v>79.3</v>
      </c>
    </row>
    <row r="26" spans="2:17" x14ac:dyDescent="0.2">
      <c r="B26" s="20"/>
      <c r="C26" s="14">
        <v>29.6</v>
      </c>
      <c r="D26" s="14">
        <v>24.1</v>
      </c>
      <c r="E26" s="14">
        <v>35</v>
      </c>
      <c r="F26" s="14">
        <v>37.299999999999997</v>
      </c>
      <c r="G26" s="14">
        <v>37.299999999999997</v>
      </c>
      <c r="H26" s="14">
        <v>43.6</v>
      </c>
      <c r="I26" s="14">
        <v>59.8</v>
      </c>
      <c r="J26" s="14">
        <v>51.7</v>
      </c>
      <c r="K26" s="14">
        <v>68.2</v>
      </c>
      <c r="L26" s="14">
        <v>86.8</v>
      </c>
      <c r="M26" s="14">
        <v>89.3</v>
      </c>
      <c r="N26" s="14">
        <v>78.400000000000006</v>
      </c>
      <c r="O26" s="14">
        <v>91.2</v>
      </c>
      <c r="P26" s="14">
        <v>72.7</v>
      </c>
      <c r="Q26" s="14">
        <v>74.8</v>
      </c>
    </row>
    <row r="27" spans="2:17" x14ac:dyDescent="0.2">
      <c r="B27" s="18" t="s">
        <v>8</v>
      </c>
      <c r="C27" s="13">
        <v>17.899999999999999</v>
      </c>
      <c r="D27" s="15">
        <v>17.100000000000001</v>
      </c>
      <c r="E27" s="15">
        <v>14.4</v>
      </c>
      <c r="F27" s="13">
        <v>21.6</v>
      </c>
      <c r="G27" s="13">
        <v>26.5</v>
      </c>
      <c r="H27" s="13">
        <v>24.7</v>
      </c>
      <c r="I27" s="13">
        <v>26</v>
      </c>
      <c r="J27" s="15">
        <v>22.4</v>
      </c>
      <c r="K27" s="15">
        <v>32.299999999999997</v>
      </c>
      <c r="L27" s="13">
        <v>42.4</v>
      </c>
      <c r="M27" s="15">
        <v>33.6</v>
      </c>
      <c r="N27" s="15">
        <v>38.5</v>
      </c>
      <c r="O27" s="13">
        <v>36.9</v>
      </c>
      <c r="P27" s="13">
        <v>32.700000000000003</v>
      </c>
      <c r="Q27" s="13">
        <v>37.299999999999997</v>
      </c>
    </row>
    <row r="28" spans="2:17" x14ac:dyDescent="0.2">
      <c r="B28" s="19"/>
      <c r="C28" s="13">
        <v>17.600000000000001</v>
      </c>
      <c r="D28" s="13">
        <v>17.600000000000001</v>
      </c>
      <c r="E28" s="13">
        <v>15.7</v>
      </c>
      <c r="F28" s="13">
        <v>19.7</v>
      </c>
      <c r="G28" s="13">
        <v>26.8</v>
      </c>
      <c r="H28" s="13">
        <v>24.1</v>
      </c>
      <c r="I28" s="13">
        <v>24.9</v>
      </c>
      <c r="J28" s="13">
        <v>30.2</v>
      </c>
      <c r="K28" s="13">
        <v>31</v>
      </c>
      <c r="L28" s="13">
        <v>35.700000000000003</v>
      </c>
      <c r="M28" s="13">
        <v>34.4</v>
      </c>
      <c r="N28" s="13">
        <v>37.700000000000003</v>
      </c>
      <c r="O28" s="13">
        <v>37.5</v>
      </c>
      <c r="P28" s="13">
        <v>34.200000000000003</v>
      </c>
      <c r="Q28" s="13">
        <v>36.1</v>
      </c>
    </row>
    <row r="29" spans="2:17" x14ac:dyDescent="0.2">
      <c r="B29" s="20"/>
      <c r="C29" s="13">
        <v>17.600000000000001</v>
      </c>
      <c r="D29" s="13">
        <v>17</v>
      </c>
      <c r="E29" s="13">
        <v>14.1</v>
      </c>
      <c r="F29" s="13">
        <v>19.3</v>
      </c>
      <c r="G29" s="13">
        <v>23.9</v>
      </c>
      <c r="H29" s="13">
        <v>22.9</v>
      </c>
      <c r="I29" s="13">
        <v>27.1</v>
      </c>
      <c r="J29" s="13">
        <v>27.9</v>
      </c>
      <c r="K29" s="13">
        <v>33.6</v>
      </c>
      <c r="L29" s="13">
        <v>39.200000000000003</v>
      </c>
      <c r="M29" s="13">
        <v>34.4</v>
      </c>
      <c r="N29" s="13">
        <v>36.4</v>
      </c>
      <c r="O29" s="13">
        <v>42.6</v>
      </c>
      <c r="P29" s="13">
        <v>35.6</v>
      </c>
      <c r="Q29" s="13">
        <v>35.700000000000003</v>
      </c>
    </row>
    <row r="30" spans="2:17" x14ac:dyDescent="0.2">
      <c r="B30" s="3" t="s">
        <v>10</v>
      </c>
      <c r="C30" s="8">
        <f t="shared" ref="C30:E30" si="3">AVERAGE(C21:C23)</f>
        <v>62.733333333333341</v>
      </c>
      <c r="D30" s="8">
        <f t="shared" si="3"/>
        <v>62.866666666666674</v>
      </c>
      <c r="E30" s="8">
        <f>AVERAGE(E21:E23)</f>
        <v>61.933333333333337</v>
      </c>
      <c r="F30" s="8">
        <f t="shared" ref="F30:Q30" si="4">AVERAGE(F21:F23)</f>
        <v>62.633333333333333</v>
      </c>
      <c r="G30" s="8">
        <f t="shared" si="4"/>
        <v>62.433333333333337</v>
      </c>
      <c r="H30" s="8">
        <f t="shared" si="4"/>
        <v>62.133333333333326</v>
      </c>
      <c r="I30" s="8">
        <f t="shared" si="4"/>
        <v>61</v>
      </c>
      <c r="J30" s="8">
        <f t="shared" si="4"/>
        <v>60.666666666666664</v>
      </c>
      <c r="K30" s="8">
        <f t="shared" si="4"/>
        <v>61.466666666666669</v>
      </c>
      <c r="L30" s="8">
        <f t="shared" si="4"/>
        <v>62.333333333333336</v>
      </c>
      <c r="M30" s="8">
        <f t="shared" si="4"/>
        <v>63.4</v>
      </c>
      <c r="N30" s="8">
        <f t="shared" si="4"/>
        <v>62.733333333333327</v>
      </c>
      <c r="O30" s="8">
        <f t="shared" si="4"/>
        <v>63.20000000000001</v>
      </c>
      <c r="P30" s="8">
        <f t="shared" si="4"/>
        <v>63.633333333333326</v>
      </c>
      <c r="Q30" s="8">
        <f t="shared" si="4"/>
        <v>63.266666666666673</v>
      </c>
    </row>
    <row r="31" spans="2:17" x14ac:dyDescent="0.2">
      <c r="B31" s="4" t="s">
        <v>11</v>
      </c>
      <c r="C31" s="2">
        <f>AVERAGE(C24:C26)</f>
        <v>32.533333333333331</v>
      </c>
      <c r="D31" s="2">
        <f t="shared" ref="D31:L31" si="5">AVERAGE(D24:D26)</f>
        <v>27.866666666666664</v>
      </c>
      <c r="E31" s="2">
        <f t="shared" si="5"/>
        <v>35.033333333333331</v>
      </c>
      <c r="F31" s="2">
        <f t="shared" si="5"/>
        <v>41.233333333333334</v>
      </c>
      <c r="G31" s="2">
        <f t="shared" si="5"/>
        <v>42.766666666666673</v>
      </c>
      <c r="H31" s="2">
        <f t="shared" si="5"/>
        <v>46.5</v>
      </c>
      <c r="I31" s="2">
        <f t="shared" si="5"/>
        <v>64.3</v>
      </c>
      <c r="J31" s="2">
        <f t="shared" si="5"/>
        <v>53.233333333333327</v>
      </c>
      <c r="K31" s="2">
        <f t="shared" si="5"/>
        <v>69.433333333333337</v>
      </c>
      <c r="L31" s="2">
        <f t="shared" si="5"/>
        <v>80.399999999999991</v>
      </c>
      <c r="M31" s="2">
        <f>AVERAGE(M24:M26)</f>
        <v>90.600000000000009</v>
      </c>
      <c r="N31" s="2">
        <f t="shared" ref="N31:Q31" si="6">AVERAGE(N24:N26)</f>
        <v>85.40000000000002</v>
      </c>
      <c r="O31" s="2">
        <f t="shared" si="6"/>
        <v>86.266666666666666</v>
      </c>
      <c r="P31" s="2">
        <f t="shared" si="6"/>
        <v>76.133333333333326</v>
      </c>
      <c r="Q31" s="2">
        <f t="shared" si="6"/>
        <v>81.733333333333334</v>
      </c>
    </row>
    <row r="32" spans="2:17" x14ac:dyDescent="0.2">
      <c r="B32" s="5" t="s">
        <v>12</v>
      </c>
      <c r="C32" s="7">
        <f>AVERAGE(C27:C29)</f>
        <v>17.7</v>
      </c>
      <c r="D32" s="7">
        <f t="shared" ref="D32:Q32" si="7">AVERAGE(D27:D29)</f>
        <v>17.233333333333334</v>
      </c>
      <c r="E32" s="7">
        <f t="shared" si="7"/>
        <v>14.733333333333334</v>
      </c>
      <c r="F32" s="7">
        <f t="shared" si="7"/>
        <v>20.2</v>
      </c>
      <c r="G32" s="7">
        <f t="shared" si="7"/>
        <v>25.733333333333331</v>
      </c>
      <c r="H32" s="7">
        <f t="shared" si="7"/>
        <v>23.899999999999995</v>
      </c>
      <c r="I32" s="7">
        <f t="shared" si="7"/>
        <v>26</v>
      </c>
      <c r="J32" s="7">
        <f t="shared" si="7"/>
        <v>26.833333333333332</v>
      </c>
      <c r="K32" s="7">
        <f t="shared" si="7"/>
        <v>32.300000000000004</v>
      </c>
      <c r="L32" s="7">
        <f t="shared" si="7"/>
        <v>39.1</v>
      </c>
      <c r="M32" s="7">
        <f t="shared" si="7"/>
        <v>34.133333333333333</v>
      </c>
      <c r="N32" s="7">
        <f t="shared" si="7"/>
        <v>37.533333333333331</v>
      </c>
      <c r="O32" s="7">
        <f t="shared" si="7"/>
        <v>39</v>
      </c>
      <c r="P32" s="7">
        <f t="shared" si="7"/>
        <v>34.166666666666664</v>
      </c>
      <c r="Q32" s="7">
        <f t="shared" si="7"/>
        <v>36.366666666666667</v>
      </c>
    </row>
    <row r="34" spans="2:17" x14ac:dyDescent="0.2">
      <c r="B34" s="6" t="s">
        <v>27</v>
      </c>
      <c r="C34" s="17" t="s">
        <v>3</v>
      </c>
      <c r="D34" s="17"/>
      <c r="E34" s="17"/>
      <c r="F34" s="17" t="s">
        <v>4</v>
      </c>
      <c r="G34" s="17"/>
      <c r="H34" s="17"/>
      <c r="I34" s="17" t="s">
        <v>5</v>
      </c>
      <c r="J34" s="17"/>
      <c r="K34" s="17"/>
      <c r="L34" s="17" t="s">
        <v>9</v>
      </c>
      <c r="M34" s="17"/>
      <c r="N34" s="17"/>
      <c r="O34" s="17" t="s">
        <v>15</v>
      </c>
      <c r="P34" s="17"/>
      <c r="Q34" s="17"/>
    </row>
    <row r="35" spans="2:17" x14ac:dyDescent="0.2">
      <c r="B35" t="s">
        <v>34</v>
      </c>
      <c r="C35" s="9">
        <v>0</v>
      </c>
      <c r="D35" s="9">
        <v>0</v>
      </c>
      <c r="E35" s="9">
        <v>0</v>
      </c>
      <c r="F35" s="9">
        <v>0.78400000000000003</v>
      </c>
      <c r="G35" s="9">
        <v>0.78400000000000003</v>
      </c>
      <c r="H35" s="9">
        <v>0.78400000000000003</v>
      </c>
      <c r="I35" s="9">
        <v>9.2840000000000007</v>
      </c>
      <c r="J35" s="9">
        <v>9.2840000000000007</v>
      </c>
      <c r="K35" s="9">
        <v>9.2840000000000007</v>
      </c>
      <c r="L35" s="9">
        <v>19.283999999999999</v>
      </c>
      <c r="M35" s="9">
        <v>19.283999999999999</v>
      </c>
      <c r="N35" s="9">
        <v>19.283999999999999</v>
      </c>
      <c r="O35" s="9">
        <v>37.283999999999999</v>
      </c>
      <c r="P35" s="9">
        <v>37.283999999999999</v>
      </c>
      <c r="Q35" s="9">
        <v>37.283999999999999</v>
      </c>
    </row>
    <row r="36" spans="2:17" x14ac:dyDescent="0.2">
      <c r="B36" s="1"/>
      <c r="C36" s="1" t="s">
        <v>0</v>
      </c>
      <c r="D36" s="1" t="s">
        <v>1</v>
      </c>
      <c r="E36" s="1" t="s">
        <v>2</v>
      </c>
      <c r="F36" s="1" t="s">
        <v>0</v>
      </c>
      <c r="G36" s="1" t="s">
        <v>1</v>
      </c>
      <c r="H36" s="1" t="s">
        <v>2</v>
      </c>
      <c r="I36" s="1" t="s">
        <v>0</v>
      </c>
      <c r="J36" s="1" t="s">
        <v>1</v>
      </c>
      <c r="K36" s="1" t="s">
        <v>2</v>
      </c>
      <c r="L36" s="1" t="s">
        <v>0</v>
      </c>
      <c r="M36" s="1" t="s">
        <v>1</v>
      </c>
      <c r="N36" s="1" t="s">
        <v>2</v>
      </c>
      <c r="O36" s="1" t="s">
        <v>0</v>
      </c>
      <c r="P36" s="1" t="s">
        <v>1</v>
      </c>
      <c r="Q36" s="1" t="s">
        <v>2</v>
      </c>
    </row>
    <row r="37" spans="2:17" x14ac:dyDescent="0.2">
      <c r="B37" s="10" t="s">
        <v>6</v>
      </c>
      <c r="C37" s="13">
        <v>62.3</v>
      </c>
      <c r="D37" s="13">
        <v>61</v>
      </c>
      <c r="E37" s="13">
        <v>64</v>
      </c>
      <c r="F37" s="13">
        <v>61.9</v>
      </c>
      <c r="G37" s="13">
        <v>61.4</v>
      </c>
      <c r="H37" s="13">
        <v>61</v>
      </c>
      <c r="I37" s="13">
        <v>61.7</v>
      </c>
      <c r="J37" s="13">
        <v>63</v>
      </c>
      <c r="K37" s="13">
        <v>61.5</v>
      </c>
      <c r="L37" s="13">
        <v>62.3</v>
      </c>
      <c r="M37" s="13">
        <v>61.4</v>
      </c>
      <c r="N37" s="13">
        <v>62.4</v>
      </c>
      <c r="O37" s="13">
        <v>64.8</v>
      </c>
      <c r="P37" s="13">
        <v>61.8</v>
      </c>
      <c r="Q37" s="13">
        <v>61.5</v>
      </c>
    </row>
    <row r="38" spans="2:17" x14ac:dyDescent="0.2">
      <c r="B38" s="11"/>
      <c r="C38" s="13">
        <v>63.2</v>
      </c>
      <c r="D38" s="13">
        <v>62.7</v>
      </c>
      <c r="E38" s="13">
        <v>63.5</v>
      </c>
      <c r="F38" s="13">
        <v>60.9</v>
      </c>
      <c r="G38" s="13">
        <v>61.5</v>
      </c>
      <c r="H38" s="13">
        <v>61.2</v>
      </c>
      <c r="I38" s="13">
        <v>62</v>
      </c>
      <c r="J38" s="13">
        <v>61.7</v>
      </c>
      <c r="K38" s="13">
        <v>61.6</v>
      </c>
      <c r="L38" s="13">
        <v>62.2</v>
      </c>
      <c r="M38" s="13">
        <v>62.1</v>
      </c>
      <c r="N38" s="13">
        <v>61.8</v>
      </c>
      <c r="O38" s="13">
        <v>61.9</v>
      </c>
      <c r="P38" s="13">
        <v>62</v>
      </c>
      <c r="Q38" s="13">
        <v>61.6</v>
      </c>
    </row>
    <row r="39" spans="2:17" x14ac:dyDescent="0.2">
      <c r="B39" s="12"/>
      <c r="C39" s="14">
        <v>62.9</v>
      </c>
      <c r="D39" s="14">
        <v>63.3</v>
      </c>
      <c r="E39" s="14">
        <v>62.9</v>
      </c>
      <c r="F39" s="14">
        <v>61.2</v>
      </c>
      <c r="G39" s="14">
        <v>61.5</v>
      </c>
      <c r="H39" s="14">
        <v>61.2</v>
      </c>
      <c r="I39" s="14">
        <v>62</v>
      </c>
      <c r="J39" s="14">
        <v>61.7</v>
      </c>
      <c r="K39" s="14">
        <v>61.5</v>
      </c>
      <c r="L39" s="14">
        <v>62.2</v>
      </c>
      <c r="M39" s="14">
        <v>61.9</v>
      </c>
      <c r="N39" s="14">
        <v>61.9</v>
      </c>
      <c r="O39" s="14">
        <v>61.6</v>
      </c>
      <c r="P39" s="14">
        <v>61.7</v>
      </c>
      <c r="Q39" s="14">
        <v>61.4</v>
      </c>
    </row>
    <row r="40" spans="2:17" x14ac:dyDescent="0.2">
      <c r="B40" s="10" t="s">
        <v>7</v>
      </c>
      <c r="C40" s="13">
        <v>6.95</v>
      </c>
      <c r="D40" s="15">
        <v>3.07</v>
      </c>
      <c r="E40" s="15">
        <v>4.33</v>
      </c>
      <c r="F40" s="13">
        <v>5.5</v>
      </c>
      <c r="G40" s="13">
        <v>4.7</v>
      </c>
      <c r="H40" s="13">
        <v>8.17</v>
      </c>
      <c r="I40" s="13">
        <v>16.399999999999999</v>
      </c>
      <c r="J40" s="15">
        <v>31</v>
      </c>
      <c r="K40" s="15">
        <v>26.1</v>
      </c>
      <c r="L40" s="13">
        <v>40.200000000000003</v>
      </c>
      <c r="M40" s="15">
        <v>64.5</v>
      </c>
      <c r="N40" s="15">
        <v>39</v>
      </c>
      <c r="O40" s="13">
        <v>75.2</v>
      </c>
      <c r="P40" s="13">
        <v>66.5</v>
      </c>
      <c r="Q40" s="13">
        <v>58.2</v>
      </c>
    </row>
    <row r="41" spans="2:17" x14ac:dyDescent="0.2">
      <c r="B41" s="11"/>
      <c r="C41" s="13">
        <v>4.9800000000000004</v>
      </c>
      <c r="D41" s="13">
        <v>3.19</v>
      </c>
      <c r="E41" s="13">
        <v>5.3</v>
      </c>
      <c r="F41" s="13">
        <v>5.7</v>
      </c>
      <c r="G41" s="13">
        <v>6.65</v>
      </c>
      <c r="H41" s="13">
        <v>5.75</v>
      </c>
      <c r="I41" s="13">
        <v>22.9</v>
      </c>
      <c r="J41" s="13">
        <v>22.2</v>
      </c>
      <c r="K41" s="13">
        <v>25.5</v>
      </c>
      <c r="L41" s="13">
        <v>42.3</v>
      </c>
      <c r="M41" s="13">
        <v>50.6</v>
      </c>
      <c r="N41" s="13">
        <v>47.7</v>
      </c>
      <c r="O41" s="13">
        <v>79.3</v>
      </c>
      <c r="P41" s="13">
        <v>63.1</v>
      </c>
      <c r="Q41" s="13">
        <v>64.3</v>
      </c>
    </row>
    <row r="42" spans="2:17" x14ac:dyDescent="0.2">
      <c r="B42" s="12"/>
      <c r="C42" s="14">
        <v>10</v>
      </c>
      <c r="D42" s="14">
        <v>2.9</v>
      </c>
      <c r="E42" s="14">
        <v>3.14</v>
      </c>
      <c r="F42" s="14">
        <v>5.3</v>
      </c>
      <c r="G42" s="14">
        <v>7.73</v>
      </c>
      <c r="H42" s="14">
        <v>5.67</v>
      </c>
      <c r="I42" s="14">
        <v>18</v>
      </c>
      <c r="J42" s="14">
        <v>22</v>
      </c>
      <c r="K42" s="14">
        <v>18.7</v>
      </c>
      <c r="L42" s="14">
        <v>39.1</v>
      </c>
      <c r="M42" s="14">
        <v>63.3</v>
      </c>
      <c r="N42" s="14">
        <v>39.5</v>
      </c>
      <c r="O42" s="14">
        <v>79.7</v>
      </c>
      <c r="P42" s="14">
        <v>50.7</v>
      </c>
      <c r="Q42" s="14">
        <v>50.3</v>
      </c>
    </row>
    <row r="43" spans="2:17" x14ac:dyDescent="0.2">
      <c r="B43" s="10" t="s">
        <v>8</v>
      </c>
      <c r="C43" s="13">
        <v>2.2400000000000002</v>
      </c>
      <c r="D43" s="15">
        <v>2.58</v>
      </c>
      <c r="E43" s="15">
        <v>3.46</v>
      </c>
      <c r="F43" s="13">
        <v>4.76</v>
      </c>
      <c r="G43" s="13">
        <v>4.26</v>
      </c>
      <c r="H43" s="13">
        <v>4.28</v>
      </c>
      <c r="I43" s="13">
        <v>10.199999999999999</v>
      </c>
      <c r="J43" s="15">
        <v>7.68</v>
      </c>
      <c r="K43" s="15">
        <v>9.06</v>
      </c>
      <c r="L43" s="13">
        <v>16.600000000000001</v>
      </c>
      <c r="M43" s="15">
        <v>20.3</v>
      </c>
      <c r="N43" s="15">
        <v>19.2</v>
      </c>
      <c r="O43" s="13">
        <v>27.2</v>
      </c>
      <c r="P43" s="13">
        <v>29.2</v>
      </c>
      <c r="Q43" s="13">
        <v>26</v>
      </c>
    </row>
    <row r="44" spans="2:17" x14ac:dyDescent="0.2">
      <c r="B44" s="11"/>
      <c r="C44" s="13">
        <v>2.91</v>
      </c>
      <c r="D44" s="13">
        <v>2.62</v>
      </c>
      <c r="E44" s="13">
        <v>2.29</v>
      </c>
      <c r="F44" s="13">
        <v>4.43</v>
      </c>
      <c r="G44" s="13">
        <v>4.4000000000000004</v>
      </c>
      <c r="H44" s="13">
        <v>4.3</v>
      </c>
      <c r="I44" s="13">
        <v>9.6</v>
      </c>
      <c r="J44" s="13">
        <v>7.88</v>
      </c>
      <c r="K44" s="13">
        <v>8.93</v>
      </c>
      <c r="L44" s="13">
        <v>18.600000000000001</v>
      </c>
      <c r="M44" s="13">
        <v>21.7</v>
      </c>
      <c r="N44" s="13">
        <v>18.7</v>
      </c>
      <c r="O44" s="13">
        <v>26.6</v>
      </c>
      <c r="P44" s="13">
        <v>28.4</v>
      </c>
      <c r="Q44" s="13">
        <v>25.7</v>
      </c>
    </row>
    <row r="45" spans="2:17" x14ac:dyDescent="0.2">
      <c r="B45" s="12"/>
      <c r="C45" s="13">
        <v>3.07</v>
      </c>
      <c r="D45" s="13">
        <v>2.52</v>
      </c>
      <c r="E45" s="13">
        <v>3.64</v>
      </c>
      <c r="F45" s="13">
        <v>4.46</v>
      </c>
      <c r="G45" s="13">
        <v>3.77</v>
      </c>
      <c r="H45" s="13">
        <v>4.5599999999999996</v>
      </c>
      <c r="I45" s="13">
        <v>10.199999999999999</v>
      </c>
      <c r="J45" s="13">
        <v>7.23</v>
      </c>
      <c r="K45" s="13">
        <v>8.9</v>
      </c>
      <c r="L45" s="13">
        <v>18.600000000000001</v>
      </c>
      <c r="M45" s="13">
        <v>21.5</v>
      </c>
      <c r="N45" s="13">
        <v>19.2</v>
      </c>
      <c r="O45" s="13">
        <v>25.8</v>
      </c>
      <c r="P45" s="13">
        <v>29.6</v>
      </c>
      <c r="Q45" s="13">
        <v>28.1</v>
      </c>
    </row>
    <row r="46" spans="2:17" x14ac:dyDescent="0.2">
      <c r="B46" s="3" t="s">
        <v>10</v>
      </c>
      <c r="C46" s="8">
        <f>AVERAGE(C37:C39)</f>
        <v>62.800000000000004</v>
      </c>
      <c r="D46" s="8">
        <f t="shared" ref="D46:Q46" si="8">AVERAGE(D37:D39)</f>
        <v>62.333333333333336</v>
      </c>
      <c r="E46" s="8">
        <f t="shared" si="8"/>
        <v>63.466666666666669</v>
      </c>
      <c r="F46" s="8">
        <f t="shared" si="8"/>
        <v>61.333333333333336</v>
      </c>
      <c r="G46" s="8">
        <f t="shared" si="8"/>
        <v>61.466666666666669</v>
      </c>
      <c r="H46" s="8">
        <f t="shared" si="8"/>
        <v>61.133333333333333</v>
      </c>
      <c r="I46" s="8">
        <f t="shared" si="8"/>
        <v>61.9</v>
      </c>
      <c r="J46" s="8">
        <f t="shared" si="8"/>
        <v>62.133333333333333</v>
      </c>
      <c r="K46" s="8">
        <f t="shared" si="8"/>
        <v>61.533333333333331</v>
      </c>
      <c r="L46" s="8">
        <f t="shared" si="8"/>
        <v>62.233333333333327</v>
      </c>
      <c r="M46" s="8">
        <f t="shared" si="8"/>
        <v>61.800000000000004</v>
      </c>
      <c r="N46" s="8">
        <f t="shared" si="8"/>
        <v>62.033333333333331</v>
      </c>
      <c r="O46" s="8">
        <f t="shared" si="8"/>
        <v>62.766666666666659</v>
      </c>
      <c r="P46" s="8">
        <f t="shared" si="8"/>
        <v>61.833333333333336</v>
      </c>
      <c r="Q46" s="8">
        <f t="shared" si="8"/>
        <v>61.5</v>
      </c>
    </row>
    <row r="47" spans="2:17" x14ac:dyDescent="0.2">
      <c r="B47" s="4" t="s">
        <v>11</v>
      </c>
      <c r="C47" s="2">
        <f>AVERAGE(C40:C42)</f>
        <v>7.31</v>
      </c>
      <c r="D47" s="2">
        <f t="shared" ref="D47:Q47" si="9">AVERAGE(D40:D42)</f>
        <v>3.0533333333333332</v>
      </c>
      <c r="E47" s="2">
        <f t="shared" si="9"/>
        <v>4.2566666666666668</v>
      </c>
      <c r="F47" s="2">
        <f t="shared" si="9"/>
        <v>5.5</v>
      </c>
      <c r="G47" s="2">
        <f t="shared" si="9"/>
        <v>6.36</v>
      </c>
      <c r="H47" s="2">
        <f t="shared" si="9"/>
        <v>6.53</v>
      </c>
      <c r="I47" s="2">
        <f t="shared" si="9"/>
        <v>19.099999999999998</v>
      </c>
      <c r="J47" s="2">
        <f t="shared" si="9"/>
        <v>25.066666666666666</v>
      </c>
      <c r="K47" s="2">
        <f t="shared" si="9"/>
        <v>23.433333333333334</v>
      </c>
      <c r="L47" s="2">
        <f t="shared" si="9"/>
        <v>40.533333333333331</v>
      </c>
      <c r="M47" s="2">
        <f>AVERAGE(M40:M42)</f>
        <v>59.466666666666661</v>
      </c>
      <c r="N47" s="2">
        <f t="shared" si="9"/>
        <v>42.06666666666667</v>
      </c>
      <c r="O47" s="2">
        <f t="shared" si="9"/>
        <v>78.066666666666663</v>
      </c>
      <c r="P47" s="2">
        <f t="shared" si="9"/>
        <v>60.1</v>
      </c>
      <c r="Q47" s="2">
        <f t="shared" si="9"/>
        <v>57.6</v>
      </c>
    </row>
    <row r="48" spans="2:17" x14ac:dyDescent="0.2">
      <c r="B48" s="5" t="s">
        <v>12</v>
      </c>
      <c r="C48" s="7">
        <f>AVERAGE(C43:C45)</f>
        <v>2.74</v>
      </c>
      <c r="D48" s="7">
        <f t="shared" ref="D48:Q48" si="10">AVERAGE(D43:D45)</f>
        <v>2.5733333333333337</v>
      </c>
      <c r="E48" s="7">
        <f t="shared" si="10"/>
        <v>3.1300000000000003</v>
      </c>
      <c r="F48" s="7">
        <f t="shared" si="10"/>
        <v>4.55</v>
      </c>
      <c r="G48" s="7">
        <f t="shared" si="10"/>
        <v>4.1433333333333335</v>
      </c>
      <c r="H48" s="7">
        <f t="shared" si="10"/>
        <v>4.38</v>
      </c>
      <c r="I48" s="7">
        <f t="shared" si="10"/>
        <v>9.9999999999999982</v>
      </c>
      <c r="J48" s="7">
        <f t="shared" si="10"/>
        <v>7.5966666666666667</v>
      </c>
      <c r="K48" s="7">
        <f t="shared" si="10"/>
        <v>8.9633333333333329</v>
      </c>
      <c r="L48" s="7">
        <f t="shared" si="10"/>
        <v>17.933333333333334</v>
      </c>
      <c r="M48" s="7">
        <f t="shared" si="10"/>
        <v>21.166666666666668</v>
      </c>
      <c r="N48" s="7">
        <f t="shared" si="10"/>
        <v>19.033333333333331</v>
      </c>
      <c r="O48" s="7">
        <f t="shared" si="10"/>
        <v>26.533333333333331</v>
      </c>
      <c r="P48" s="7">
        <f t="shared" si="10"/>
        <v>29.066666666666663</v>
      </c>
      <c r="Q48" s="7">
        <f t="shared" si="10"/>
        <v>26.600000000000005</v>
      </c>
    </row>
    <row r="50" spans="2:17" x14ac:dyDescent="0.2">
      <c r="B50" s="6" t="s">
        <v>28</v>
      </c>
      <c r="C50" s="17" t="s">
        <v>3</v>
      </c>
      <c r="D50" s="17"/>
      <c r="E50" s="17"/>
      <c r="F50" s="17" t="s">
        <v>4</v>
      </c>
      <c r="G50" s="17"/>
      <c r="H50" s="17"/>
      <c r="I50" s="17" t="s">
        <v>5</v>
      </c>
      <c r="J50" s="17"/>
      <c r="K50" s="17"/>
      <c r="L50" s="17" t="s">
        <v>9</v>
      </c>
      <c r="M50" s="17"/>
      <c r="N50" s="17"/>
      <c r="O50" s="17" t="s">
        <v>15</v>
      </c>
      <c r="P50" s="17"/>
      <c r="Q50" s="17"/>
    </row>
    <row r="51" spans="2:17" x14ac:dyDescent="0.2">
      <c r="B51" t="s">
        <v>34</v>
      </c>
      <c r="C51" s="9">
        <v>0</v>
      </c>
      <c r="D51" s="9">
        <v>0</v>
      </c>
      <c r="E51" s="9">
        <v>0</v>
      </c>
      <c r="F51" s="9">
        <v>0.78400000000000003</v>
      </c>
      <c r="G51" s="9">
        <v>0.78400000000000003</v>
      </c>
      <c r="H51" s="9">
        <v>0.78400000000000003</v>
      </c>
      <c r="I51" s="9">
        <v>9.2840000000000007</v>
      </c>
      <c r="J51" s="9">
        <v>9.2840000000000007</v>
      </c>
      <c r="K51" s="9">
        <v>9.2840000000000007</v>
      </c>
      <c r="L51" s="9">
        <v>19.283999999999999</v>
      </c>
      <c r="M51" s="9">
        <v>19.283999999999999</v>
      </c>
      <c r="N51" s="9">
        <v>19.283999999999999</v>
      </c>
      <c r="O51" s="9">
        <v>37.283999999999999</v>
      </c>
      <c r="P51" s="9">
        <v>37.283999999999999</v>
      </c>
      <c r="Q51" s="9">
        <v>37.283999999999999</v>
      </c>
    </row>
    <row r="52" spans="2:17" x14ac:dyDescent="0.2">
      <c r="B52" s="1"/>
      <c r="C52" s="1" t="s">
        <v>0</v>
      </c>
      <c r="D52" s="1" t="s">
        <v>1</v>
      </c>
      <c r="E52" s="1" t="s">
        <v>2</v>
      </c>
      <c r="F52" s="1" t="s">
        <v>0</v>
      </c>
      <c r="G52" s="1" t="s">
        <v>1</v>
      </c>
      <c r="H52" s="1" t="s">
        <v>2</v>
      </c>
      <c r="I52" s="1" t="s">
        <v>0</v>
      </c>
      <c r="J52" s="1" t="s">
        <v>1</v>
      </c>
      <c r="K52" s="1" t="s">
        <v>2</v>
      </c>
      <c r="L52" s="1" t="s">
        <v>0</v>
      </c>
      <c r="M52" s="1" t="s">
        <v>1</v>
      </c>
      <c r="N52" s="1" t="s">
        <v>2</v>
      </c>
      <c r="O52" s="1" t="s">
        <v>0</v>
      </c>
      <c r="P52" s="1" t="s">
        <v>1</v>
      </c>
      <c r="Q52" s="1" t="s">
        <v>2</v>
      </c>
    </row>
    <row r="53" spans="2:17" x14ac:dyDescent="0.2">
      <c r="B53" s="18" t="s">
        <v>6</v>
      </c>
      <c r="C53" s="13">
        <v>62.3</v>
      </c>
      <c r="D53" s="13">
        <v>61.2</v>
      </c>
      <c r="E53" s="13">
        <v>60.6</v>
      </c>
      <c r="F53" s="13">
        <v>64.2</v>
      </c>
      <c r="G53" s="13">
        <v>60.8</v>
      </c>
      <c r="H53" s="13">
        <v>60.5</v>
      </c>
      <c r="I53" s="13">
        <v>61.9</v>
      </c>
      <c r="J53" s="13">
        <v>61.8</v>
      </c>
      <c r="K53" s="13">
        <v>60.7</v>
      </c>
      <c r="L53" s="13">
        <v>64.2</v>
      </c>
      <c r="M53" s="13">
        <v>61.8</v>
      </c>
      <c r="N53" s="13">
        <v>60.6</v>
      </c>
      <c r="O53" s="13">
        <v>62.2</v>
      </c>
      <c r="P53" s="13">
        <v>61.4</v>
      </c>
      <c r="Q53" s="13">
        <v>61.7</v>
      </c>
    </row>
    <row r="54" spans="2:17" x14ac:dyDescent="0.2">
      <c r="B54" s="19"/>
      <c r="C54" s="13">
        <v>62.4</v>
      </c>
      <c r="D54" s="13">
        <v>61.6</v>
      </c>
      <c r="E54" s="13">
        <v>61.1</v>
      </c>
      <c r="F54" s="13">
        <v>62.8</v>
      </c>
      <c r="G54" s="13">
        <v>61</v>
      </c>
      <c r="H54" s="13">
        <v>60.7</v>
      </c>
      <c r="I54" s="13">
        <v>61.4</v>
      </c>
      <c r="J54" s="13">
        <v>61.9</v>
      </c>
      <c r="K54" s="13">
        <v>60.8</v>
      </c>
      <c r="L54" s="13">
        <v>62.9</v>
      </c>
      <c r="M54" s="13">
        <v>61.9</v>
      </c>
      <c r="N54" s="13">
        <v>61.1</v>
      </c>
      <c r="O54" s="13">
        <v>62.7</v>
      </c>
      <c r="P54" s="13">
        <v>61.7</v>
      </c>
      <c r="Q54" s="13">
        <v>60.8</v>
      </c>
    </row>
    <row r="55" spans="2:17" x14ac:dyDescent="0.2">
      <c r="B55" s="20"/>
      <c r="C55" s="14">
        <v>62.4</v>
      </c>
      <c r="D55" s="14">
        <v>61.5</v>
      </c>
      <c r="E55" s="14">
        <v>61</v>
      </c>
      <c r="F55" s="14">
        <v>62.7</v>
      </c>
      <c r="G55" s="14">
        <v>60.4</v>
      </c>
      <c r="H55" s="14">
        <v>60.9</v>
      </c>
      <c r="I55" s="14">
        <v>61.6</v>
      </c>
      <c r="J55" s="14">
        <v>61.7</v>
      </c>
      <c r="K55" s="14">
        <v>61.2</v>
      </c>
      <c r="L55" s="14">
        <v>62.9</v>
      </c>
      <c r="M55" s="14">
        <v>61.9</v>
      </c>
      <c r="N55" s="14">
        <v>62.7</v>
      </c>
      <c r="O55" s="14">
        <v>62.3</v>
      </c>
      <c r="P55" s="14">
        <v>61.3</v>
      </c>
      <c r="Q55" s="14">
        <v>60.6</v>
      </c>
    </row>
    <row r="56" spans="2:17" x14ac:dyDescent="0.2">
      <c r="B56" s="18" t="s">
        <v>7</v>
      </c>
      <c r="C56" s="13">
        <v>7.22</v>
      </c>
      <c r="D56" s="13">
        <v>7.92</v>
      </c>
      <c r="E56" s="13">
        <v>9.4600000000000009</v>
      </c>
      <c r="F56" s="13">
        <v>30.8</v>
      </c>
      <c r="G56" s="13">
        <v>37.4</v>
      </c>
      <c r="H56" s="13">
        <v>31.9</v>
      </c>
      <c r="I56" s="13">
        <v>70.7</v>
      </c>
      <c r="J56" s="13">
        <v>47.2</v>
      </c>
      <c r="K56" s="13">
        <v>42.7</v>
      </c>
      <c r="L56" s="13">
        <v>68.7</v>
      </c>
      <c r="M56" s="15">
        <v>55.7</v>
      </c>
      <c r="N56" s="15">
        <v>52.3</v>
      </c>
      <c r="O56" s="13">
        <v>65.2</v>
      </c>
      <c r="P56" s="13">
        <v>53.2</v>
      </c>
      <c r="Q56" s="13">
        <v>65.3</v>
      </c>
    </row>
    <row r="57" spans="2:17" x14ac:dyDescent="0.2">
      <c r="B57" s="19"/>
      <c r="C57" s="13">
        <v>7.82</v>
      </c>
      <c r="D57" s="13">
        <v>8.16</v>
      </c>
      <c r="E57" s="13">
        <v>9.19</v>
      </c>
      <c r="F57" s="13">
        <v>40.299999999999997</v>
      </c>
      <c r="G57" s="13">
        <v>48.8</v>
      </c>
      <c r="H57" s="13">
        <v>28.4</v>
      </c>
      <c r="I57" s="13">
        <v>70.8</v>
      </c>
      <c r="J57" s="13">
        <v>46</v>
      </c>
      <c r="K57" s="13">
        <v>40.6</v>
      </c>
      <c r="L57" s="13">
        <v>61.9</v>
      </c>
      <c r="M57" s="13">
        <v>62</v>
      </c>
      <c r="N57" s="13">
        <v>58.4</v>
      </c>
      <c r="O57" s="13">
        <v>65.3</v>
      </c>
      <c r="P57" s="13">
        <v>61.6</v>
      </c>
      <c r="Q57" s="13">
        <v>68</v>
      </c>
    </row>
    <row r="58" spans="2:17" x14ac:dyDescent="0.2">
      <c r="B58" s="20"/>
      <c r="C58" s="14">
        <v>8.77</v>
      </c>
      <c r="D58" s="14">
        <v>8.6999999999999993</v>
      </c>
      <c r="E58" s="14">
        <v>9.92</v>
      </c>
      <c r="F58" s="14">
        <v>30.5</v>
      </c>
      <c r="G58" s="14">
        <v>40.4</v>
      </c>
      <c r="H58" s="14">
        <v>30.3</v>
      </c>
      <c r="I58" s="14">
        <v>59.1</v>
      </c>
      <c r="J58" s="14">
        <v>55.7</v>
      </c>
      <c r="K58" s="14">
        <v>41.9</v>
      </c>
      <c r="L58" s="14">
        <v>62.7</v>
      </c>
      <c r="M58" s="14">
        <v>62.1</v>
      </c>
      <c r="N58" s="14">
        <v>49.2</v>
      </c>
      <c r="O58" s="14">
        <v>66.900000000000006</v>
      </c>
      <c r="P58" s="14">
        <v>64.7</v>
      </c>
      <c r="Q58" s="14">
        <v>62.9</v>
      </c>
    </row>
    <row r="59" spans="2:17" x14ac:dyDescent="0.2">
      <c r="B59" s="18" t="s">
        <v>8</v>
      </c>
      <c r="C59" s="13">
        <v>6.8</v>
      </c>
      <c r="D59" s="13">
        <v>7.68</v>
      </c>
      <c r="E59" s="13">
        <v>8.7200000000000006</v>
      </c>
      <c r="F59" s="13">
        <v>19.7</v>
      </c>
      <c r="G59" s="13">
        <v>25.5</v>
      </c>
      <c r="H59" s="13">
        <v>25.2</v>
      </c>
      <c r="I59" s="13">
        <v>31.8</v>
      </c>
      <c r="J59" s="13">
        <v>25.2</v>
      </c>
      <c r="K59" s="13">
        <v>22.7</v>
      </c>
      <c r="L59" s="13">
        <v>21.3</v>
      </c>
      <c r="M59" s="15">
        <v>25.1</v>
      </c>
      <c r="N59" s="15">
        <v>24.3</v>
      </c>
      <c r="O59" s="13">
        <v>25.7</v>
      </c>
      <c r="P59" s="13">
        <v>23</v>
      </c>
      <c r="Q59" s="13">
        <v>29.9</v>
      </c>
    </row>
    <row r="60" spans="2:17" x14ac:dyDescent="0.2">
      <c r="B60" s="19"/>
      <c r="C60" s="13">
        <v>7.96</v>
      </c>
      <c r="D60" s="13">
        <v>7.24</v>
      </c>
      <c r="E60" s="13">
        <v>8.9499999999999993</v>
      </c>
      <c r="F60" s="13">
        <v>19.2</v>
      </c>
      <c r="G60" s="13">
        <v>26.3</v>
      </c>
      <c r="H60" s="13">
        <v>25.1</v>
      </c>
      <c r="I60" s="13">
        <v>27.2</v>
      </c>
      <c r="J60" s="13">
        <v>25.6</v>
      </c>
      <c r="K60" s="13">
        <v>22</v>
      </c>
      <c r="L60" s="13">
        <v>21.6</v>
      </c>
      <c r="M60" s="13">
        <v>26.4</v>
      </c>
      <c r="N60" s="13">
        <v>22.8</v>
      </c>
      <c r="O60" s="13">
        <v>24.3</v>
      </c>
      <c r="P60" s="13">
        <v>22.9</v>
      </c>
      <c r="Q60" s="13">
        <v>29</v>
      </c>
    </row>
    <row r="61" spans="2:17" x14ac:dyDescent="0.2">
      <c r="B61" s="20"/>
      <c r="C61" s="13">
        <v>7.64</v>
      </c>
      <c r="D61" s="13">
        <v>7.58</v>
      </c>
      <c r="E61" s="13">
        <v>8.5500000000000007</v>
      </c>
      <c r="F61" s="13">
        <v>19.100000000000001</v>
      </c>
      <c r="G61" s="13">
        <v>26.3</v>
      </c>
      <c r="H61" s="13">
        <v>25.1</v>
      </c>
      <c r="I61" s="13">
        <v>27.3</v>
      </c>
      <c r="J61" s="13">
        <v>24.3</v>
      </c>
      <c r="K61" s="13">
        <v>23</v>
      </c>
      <c r="L61" s="13">
        <v>21</v>
      </c>
      <c r="M61" s="13">
        <v>25.5</v>
      </c>
      <c r="N61" s="13">
        <v>23.1</v>
      </c>
      <c r="O61" s="13">
        <v>23.3</v>
      </c>
      <c r="P61" s="13">
        <v>23</v>
      </c>
      <c r="Q61" s="13">
        <v>29.1</v>
      </c>
    </row>
    <row r="62" spans="2:17" x14ac:dyDescent="0.2">
      <c r="B62" s="3" t="s">
        <v>10</v>
      </c>
      <c r="C62" s="8">
        <f>AVERAGE(C53:C55)</f>
        <v>62.366666666666667</v>
      </c>
      <c r="D62" s="8">
        <f t="shared" ref="D62:Q62" si="11">AVERAGE(D53:D55)</f>
        <v>61.433333333333337</v>
      </c>
      <c r="E62" s="8">
        <f t="shared" si="11"/>
        <v>60.9</v>
      </c>
      <c r="F62" s="8">
        <f t="shared" si="11"/>
        <v>63.233333333333327</v>
      </c>
      <c r="G62" s="8">
        <f t="shared" si="11"/>
        <v>60.733333333333327</v>
      </c>
      <c r="H62" s="8">
        <f t="shared" si="11"/>
        <v>60.699999999999996</v>
      </c>
      <c r="I62" s="8">
        <f t="shared" si="11"/>
        <v>61.633333333333333</v>
      </c>
      <c r="J62" s="8">
        <f t="shared" si="11"/>
        <v>61.79999999999999</v>
      </c>
      <c r="K62" s="8">
        <f t="shared" si="11"/>
        <v>60.9</v>
      </c>
      <c r="L62" s="8">
        <f t="shared" si="11"/>
        <v>63.333333333333336</v>
      </c>
      <c r="M62" s="8">
        <f t="shared" si="11"/>
        <v>61.866666666666667</v>
      </c>
      <c r="N62" s="8">
        <f t="shared" si="11"/>
        <v>61.466666666666669</v>
      </c>
      <c r="O62" s="8">
        <f t="shared" si="11"/>
        <v>62.4</v>
      </c>
      <c r="P62" s="8">
        <f t="shared" si="11"/>
        <v>61.466666666666661</v>
      </c>
      <c r="Q62" s="8">
        <f t="shared" si="11"/>
        <v>61.033333333333331</v>
      </c>
    </row>
    <row r="63" spans="2:17" x14ac:dyDescent="0.2">
      <c r="B63" s="4" t="s">
        <v>11</v>
      </c>
      <c r="C63" s="2">
        <f>AVERAGE(C56:C58)</f>
        <v>7.9366666666666665</v>
      </c>
      <c r="D63" s="2">
        <f t="shared" ref="D63:L63" si="12">AVERAGE(D56:D58)</f>
        <v>8.26</v>
      </c>
      <c r="E63" s="2">
        <f t="shared" si="12"/>
        <v>9.5233333333333334</v>
      </c>
      <c r="F63" s="2">
        <f t="shared" si="12"/>
        <v>33.866666666666667</v>
      </c>
      <c r="G63" s="2">
        <f t="shared" si="12"/>
        <v>42.199999999999996</v>
      </c>
      <c r="H63" s="2">
        <f t="shared" si="12"/>
        <v>30.2</v>
      </c>
      <c r="I63" s="2">
        <f t="shared" si="12"/>
        <v>66.86666666666666</v>
      </c>
      <c r="J63" s="2">
        <f t="shared" si="12"/>
        <v>49.633333333333333</v>
      </c>
      <c r="K63" s="2">
        <f t="shared" si="12"/>
        <v>41.733333333333341</v>
      </c>
      <c r="L63" s="2">
        <f t="shared" si="12"/>
        <v>64.433333333333337</v>
      </c>
      <c r="M63" s="2">
        <f>AVERAGE(M56:M58)</f>
        <v>59.933333333333337</v>
      </c>
      <c r="N63" s="2">
        <f t="shared" ref="N63:Q63" si="13">AVERAGE(N56:N58)</f>
        <v>53.29999999999999</v>
      </c>
      <c r="O63" s="2">
        <f t="shared" si="13"/>
        <v>65.8</v>
      </c>
      <c r="P63" s="2">
        <f t="shared" si="13"/>
        <v>59.833333333333336</v>
      </c>
      <c r="Q63" s="2">
        <f t="shared" si="13"/>
        <v>65.400000000000006</v>
      </c>
    </row>
    <row r="64" spans="2:17" x14ac:dyDescent="0.2">
      <c r="B64" s="5" t="s">
        <v>12</v>
      </c>
      <c r="C64" s="7">
        <f>AVERAGE(C59:C61)</f>
        <v>7.4666666666666659</v>
      </c>
      <c r="D64" s="7">
        <f t="shared" ref="D64:Q64" si="14">AVERAGE(D59:D61)</f>
        <v>7.5</v>
      </c>
      <c r="E64" s="7">
        <f t="shared" si="14"/>
        <v>8.74</v>
      </c>
      <c r="F64" s="7">
        <f t="shared" si="14"/>
        <v>19.333333333333332</v>
      </c>
      <c r="G64" s="7">
        <f t="shared" si="14"/>
        <v>26.033333333333331</v>
      </c>
      <c r="H64" s="7">
        <f t="shared" si="14"/>
        <v>25.133333333333336</v>
      </c>
      <c r="I64" s="7">
        <f t="shared" si="14"/>
        <v>28.766666666666666</v>
      </c>
      <c r="J64" s="7">
        <f t="shared" si="14"/>
        <v>25.033333333333331</v>
      </c>
      <c r="K64" s="7">
        <f t="shared" si="14"/>
        <v>22.566666666666666</v>
      </c>
      <c r="L64" s="7">
        <f t="shared" si="14"/>
        <v>21.3</v>
      </c>
      <c r="M64" s="7">
        <f t="shared" si="14"/>
        <v>25.666666666666668</v>
      </c>
      <c r="N64" s="7">
        <f t="shared" si="14"/>
        <v>23.400000000000002</v>
      </c>
      <c r="O64" s="7">
        <f t="shared" si="14"/>
        <v>24.433333333333334</v>
      </c>
      <c r="P64" s="7">
        <f t="shared" si="14"/>
        <v>22.966666666666669</v>
      </c>
      <c r="Q64" s="7">
        <f t="shared" si="14"/>
        <v>29.333333333333332</v>
      </c>
    </row>
    <row r="66" spans="2:12" x14ac:dyDescent="0.2">
      <c r="D66" t="s">
        <v>21</v>
      </c>
      <c r="I66" t="s">
        <v>17</v>
      </c>
    </row>
    <row r="67" spans="2:12" x14ac:dyDescent="0.2">
      <c r="B67" t="s">
        <v>16</v>
      </c>
      <c r="C67" t="s">
        <v>33</v>
      </c>
      <c r="D67" t="s">
        <v>31</v>
      </c>
      <c r="E67" t="s">
        <v>32</v>
      </c>
      <c r="F67" t="s">
        <v>29</v>
      </c>
      <c r="G67" t="s">
        <v>30</v>
      </c>
      <c r="I67" t="s">
        <v>31</v>
      </c>
      <c r="J67" t="s">
        <v>32</v>
      </c>
      <c r="K67" t="s">
        <v>29</v>
      </c>
      <c r="L67" t="s">
        <v>30</v>
      </c>
    </row>
    <row r="68" spans="2:12" x14ac:dyDescent="0.2">
      <c r="B68" t="s">
        <v>13</v>
      </c>
      <c r="C68">
        <f>C51</f>
        <v>0</v>
      </c>
      <c r="D68" s="2">
        <f>AVERAGE(C15:E15)</f>
        <v>69.288888888888891</v>
      </c>
      <c r="E68" s="2">
        <f>AVERAGE(C31:E31)</f>
        <v>31.811111111111106</v>
      </c>
      <c r="F68" s="2">
        <f>AVERAGE(C47:E47)</f>
        <v>4.873333333333334</v>
      </c>
      <c r="G68" s="2">
        <f>AVERAGE(C63:E63)</f>
        <v>8.5733333333333324</v>
      </c>
      <c r="I68" s="2">
        <f>STDEV(C15:E15)</f>
        <v>2.2241935700466842</v>
      </c>
      <c r="J68" s="2">
        <f>STDEV(C31:E31)</f>
        <v>3.6375103410824123</v>
      </c>
      <c r="K68" s="2">
        <f>STDEV(C47:E47)</f>
        <v>2.1943133575474367</v>
      </c>
      <c r="L68" s="2">
        <f>STDEV(C63:E63)</f>
        <v>0.83845757859960413</v>
      </c>
    </row>
    <row r="69" spans="2:12" x14ac:dyDescent="0.2">
      <c r="C69">
        <f>F3</f>
        <v>0.78400000000000003</v>
      </c>
      <c r="D69" s="2">
        <f>AVERAGE(F15:H15)</f>
        <v>68.844444444444449</v>
      </c>
      <c r="E69" s="2">
        <f>AVERAGE(F31:H31)</f>
        <v>43.5</v>
      </c>
      <c r="F69" s="2">
        <f>AVERAGE(F47:H47)</f>
        <v>6.13</v>
      </c>
      <c r="G69" s="2">
        <f>AVERAGE(F63:H63)</f>
        <v>35.422222222222224</v>
      </c>
      <c r="I69" s="2">
        <f>STDEV(F15:H15)</f>
        <v>0.8952549812659415</v>
      </c>
      <c r="J69" s="2">
        <f>STDEV(F31:H31)</f>
        <v>2.7088332871880048</v>
      </c>
      <c r="K69" s="2">
        <f>STDEV(F47:H47)</f>
        <v>0.55217750769114105</v>
      </c>
      <c r="L69" s="2">
        <f>STDEV(F63:H63)</f>
        <v>6.1493751564540728</v>
      </c>
    </row>
    <row r="70" spans="2:12" x14ac:dyDescent="0.2">
      <c r="C70">
        <f>I3</f>
        <v>9.2840000000000007</v>
      </c>
      <c r="D70" s="2">
        <f>AVERAGE(I15:K15)</f>
        <v>66.822222222222209</v>
      </c>
      <c r="E70" s="2">
        <f>AVERAGE(I31:K31)</f>
        <v>62.322222222222223</v>
      </c>
      <c r="F70" s="2">
        <f>AVERAGE(I47:K47)</f>
        <v>22.533333333333331</v>
      </c>
      <c r="G70" s="2">
        <f>AVERAGE(I63:K63)</f>
        <v>52.744444444444447</v>
      </c>
      <c r="I70" s="2">
        <f>STDEV(I15:K15)</f>
        <v>2.4143858969227057</v>
      </c>
      <c r="J70" s="2">
        <f>STDEV(I31:K31)</f>
        <v>8.2791124949299082</v>
      </c>
      <c r="K70" s="2">
        <f>STDEV(I47:K47)</f>
        <v>3.0834684655072842</v>
      </c>
      <c r="L70" s="2">
        <f>STDEV(I63:K63)</f>
        <v>12.852251568124938</v>
      </c>
    </row>
    <row r="71" spans="2:12" x14ac:dyDescent="0.2">
      <c r="C71">
        <f>L3</f>
        <v>19.283999999999999</v>
      </c>
      <c r="D71" s="2">
        <f>AVERAGE(L15:N15)</f>
        <v>67.933333333333323</v>
      </c>
      <c r="E71" s="2">
        <f>AVERAGE(L31:N31)</f>
        <v>85.466666666666683</v>
      </c>
      <c r="F71" s="2">
        <f>AVERAGE(L47:N47)</f>
        <v>47.355555555555554</v>
      </c>
      <c r="G71" s="2">
        <f>AVERAGE(L63:N63)</f>
        <v>59.222222222222221</v>
      </c>
      <c r="I71" s="2">
        <f>STDEV(L15:N15)</f>
        <v>0.89628864398325658</v>
      </c>
      <c r="J71" s="2">
        <f>STDEV(L31:N31)</f>
        <v>5.1003267869160522</v>
      </c>
      <c r="K71" s="2">
        <f>STDEV(L47:N47)</f>
        <v>10.516512589116097</v>
      </c>
      <c r="L71" s="2">
        <f>STDEV(L63:N63)</f>
        <v>5.6006282716349887</v>
      </c>
    </row>
    <row r="72" spans="2:12" x14ac:dyDescent="0.2">
      <c r="C72">
        <f>O3</f>
        <v>37.283999999999999</v>
      </c>
      <c r="D72" s="2">
        <f>AVERAGE(O15:Q15)</f>
        <v>66.644444444444431</v>
      </c>
      <c r="E72" s="2">
        <f>AVERAGE(O31:Q31)</f>
        <v>81.37777777777778</v>
      </c>
      <c r="F72" s="2">
        <f>AVERAGE(O47:Q47)</f>
        <v>65.255555555555546</v>
      </c>
      <c r="G72" s="2">
        <f>AVERAGE(O63:Q63)</f>
        <v>63.677777777777777</v>
      </c>
      <c r="I72" s="2">
        <f>STDEV(O15:Q15)</f>
        <v>0.58909849519162771</v>
      </c>
      <c r="J72" s="2">
        <f>STDEV(O31:Q31)</f>
        <v>5.0760147680957308</v>
      </c>
      <c r="K72" s="2">
        <f>STDEV(O47:Q47)</f>
        <v>11.164941823669595</v>
      </c>
      <c r="L72" s="2">
        <f>STDEV(O63:Q63)</f>
        <v>3.335388255483132</v>
      </c>
    </row>
    <row r="73" spans="2:12" x14ac:dyDescent="0.2">
      <c r="I73" s="2"/>
    </row>
    <row r="74" spans="2:12" x14ac:dyDescent="0.2">
      <c r="B74" t="s">
        <v>14</v>
      </c>
      <c r="C74">
        <f>C3</f>
        <v>0</v>
      </c>
      <c r="D74" s="2">
        <f>AVERAGE(C16:E16)</f>
        <v>24.288888888888891</v>
      </c>
      <c r="E74" s="2">
        <f>AVERAGE(C32:E32)</f>
        <v>16.555555555555557</v>
      </c>
      <c r="F74" s="2">
        <f>AVERAGE(C48:E48)</f>
        <v>2.8144444444444452</v>
      </c>
      <c r="G74" s="2">
        <f>AVERAGE(C64:E64)</f>
        <v>7.9022222222222211</v>
      </c>
      <c r="I74" s="2">
        <f>STDEV(C16:E16)</f>
        <v>0.28349668493717878</v>
      </c>
      <c r="J74" s="2">
        <f>STDEV(C32:E32)</f>
        <v>1.5952475716373344</v>
      </c>
      <c r="K74" s="2">
        <f>STDEV(C48:E48)</f>
        <v>0.28570251298496824</v>
      </c>
      <c r="L74" s="2">
        <f>STDEV(C64:E64)</f>
        <v>0.72572824216884513</v>
      </c>
    </row>
    <row r="75" spans="2:12" x14ac:dyDescent="0.2">
      <c r="C75">
        <f>C69</f>
        <v>0.78400000000000003</v>
      </c>
      <c r="D75" s="2">
        <f>AVERAGE(F16:H16)</f>
        <v>39.544444444444444</v>
      </c>
      <c r="E75" s="2">
        <f>AVERAGE(F32:H32)</f>
        <v>23.277777777777775</v>
      </c>
      <c r="F75" s="2">
        <f>AVERAGE(F48:H48)</f>
        <v>4.3577777777777778</v>
      </c>
      <c r="G75" s="2">
        <f>AVERAGE(F64:H64)</f>
        <v>23.5</v>
      </c>
      <c r="I75" s="2">
        <f>STDEV(F16:H16)</f>
        <v>5.8963579468208147</v>
      </c>
      <c r="J75" s="2">
        <f>STDEV(F32:H32)</f>
        <v>2.8186547881595589</v>
      </c>
      <c r="K75" s="2">
        <f>STDEV(F48:H48)</f>
        <v>0.20424204957553363</v>
      </c>
      <c r="L75" s="2">
        <f>STDEV(F64:H64)</f>
        <v>3.6363901514184858</v>
      </c>
    </row>
    <row r="76" spans="2:12" x14ac:dyDescent="0.2">
      <c r="C76">
        <f>C70</f>
        <v>9.2840000000000007</v>
      </c>
      <c r="D76" s="2">
        <f>AVERAGE(I16:K16)</f>
        <v>42.866666666666667</v>
      </c>
      <c r="E76" s="2">
        <f>AVERAGE(I32:K32)</f>
        <v>28.377777777777776</v>
      </c>
      <c r="F76" s="2">
        <f>AVERAGE(I48:K48)</f>
        <v>8.8533333333333317</v>
      </c>
      <c r="G76" s="2">
        <f>AVERAGE(I64:K64)</f>
        <v>25.455555555555552</v>
      </c>
      <c r="I76" s="2">
        <f>STDEV(I16:K16)</f>
        <v>4.4122304765025362</v>
      </c>
      <c r="J76" s="2">
        <f>STDEV(I32:K32)</f>
        <v>3.422204184656652</v>
      </c>
      <c r="K76" s="2">
        <f>STDEV(I48:K48)</f>
        <v>1.2054367580996495</v>
      </c>
      <c r="L76" s="2">
        <f>STDEV(I64:K64)</f>
        <v>3.1214906220752452</v>
      </c>
    </row>
    <row r="77" spans="2:12" x14ac:dyDescent="0.2">
      <c r="C77">
        <f>C71</f>
        <v>19.283999999999999</v>
      </c>
      <c r="D77" s="2">
        <f>AVERAGE(L16:N16)</f>
        <v>45.111111111111114</v>
      </c>
      <c r="E77" s="2">
        <f>AVERAGE(L32:N32)</f>
        <v>36.922222222222224</v>
      </c>
      <c r="F77" s="2">
        <f>AVERAGE(L48:N48)</f>
        <v>19.377777777777776</v>
      </c>
      <c r="G77" s="2">
        <f>AVERAGE(L64:N64)</f>
        <v>23.455555555555559</v>
      </c>
      <c r="I77" s="2">
        <f>STDEV(L16:N16)</f>
        <v>2.3798537147698222</v>
      </c>
      <c r="J77" s="2">
        <f>STDEV(L32:N32)</f>
        <v>2.5391016200690038</v>
      </c>
      <c r="K77" s="2">
        <f>STDEV(L48:N48)</f>
        <v>1.643956384029879</v>
      </c>
      <c r="L77" s="2">
        <f>STDEV(L64:N64)</f>
        <v>2.1838633792568758</v>
      </c>
    </row>
    <row r="78" spans="2:12" x14ac:dyDescent="0.2">
      <c r="C78">
        <f>C72</f>
        <v>37.283999999999999</v>
      </c>
      <c r="D78" s="2">
        <f>AVERAGE(O16:Q16)</f>
        <v>40.477777777777781</v>
      </c>
      <c r="E78" s="2">
        <f>AVERAGE(O32:Q32)</f>
        <v>36.511111111111113</v>
      </c>
      <c r="F78" s="2">
        <f>AVERAGE(O48:Q48)</f>
        <v>27.400000000000002</v>
      </c>
      <c r="G78" s="2">
        <f>AVERAGE(O64:Q64)</f>
        <v>25.577777777777779</v>
      </c>
      <c r="I78" s="2">
        <f>STDEV(O16:Q16)</f>
        <v>12.907204419467668</v>
      </c>
      <c r="J78" s="2">
        <f>STDEV(O32:Q32)</f>
        <v>2.4199020488288223</v>
      </c>
      <c r="K78" s="2">
        <f>STDEV(O48:Q48)</f>
        <v>1.4437605218471781</v>
      </c>
      <c r="L78" s="2">
        <f>STDEV(O64:Q64)</f>
        <v>3.3340554773317619</v>
      </c>
    </row>
    <row r="80" spans="2:12" x14ac:dyDescent="0.2">
      <c r="B80" t="s">
        <v>25</v>
      </c>
      <c r="C80">
        <v>0</v>
      </c>
      <c r="D80">
        <v>12.5</v>
      </c>
    </row>
    <row r="81" spans="3:4" x14ac:dyDescent="0.2">
      <c r="C81">
        <v>50</v>
      </c>
      <c r="D81">
        <v>12.5</v>
      </c>
    </row>
    <row r="82" spans="3:4" x14ac:dyDescent="0.2">
      <c r="C82" s="6"/>
    </row>
    <row r="109" spans="6:13" x14ac:dyDescent="0.2">
      <c r="F109" s="2"/>
      <c r="G109" s="2"/>
      <c r="I109" s="2"/>
      <c r="J109" s="2"/>
      <c r="L109" s="2"/>
      <c r="M109" s="2"/>
    </row>
    <row r="110" spans="6:13" x14ac:dyDescent="0.2">
      <c r="F110" s="2"/>
      <c r="G110" s="2"/>
      <c r="I110" s="2"/>
      <c r="J110" s="2"/>
      <c r="L110" s="2"/>
      <c r="M110" s="2"/>
    </row>
    <row r="111" spans="6:13" x14ac:dyDescent="0.2">
      <c r="F111" s="2"/>
      <c r="G111" s="2"/>
      <c r="I111" s="2"/>
      <c r="J111" s="2"/>
      <c r="L111" s="2"/>
      <c r="M111" s="2"/>
    </row>
  </sheetData>
  <mergeCells count="29">
    <mergeCell ref="O2:Q2"/>
    <mergeCell ref="B8:B10"/>
    <mergeCell ref="B11:B13"/>
    <mergeCell ref="C18:E18"/>
    <mergeCell ref="F18:H18"/>
    <mergeCell ref="I18:K18"/>
    <mergeCell ref="B5:B7"/>
    <mergeCell ref="C2:E2"/>
    <mergeCell ref="F2:H2"/>
    <mergeCell ref="I2:K2"/>
    <mergeCell ref="L2:N2"/>
    <mergeCell ref="L50:N50"/>
    <mergeCell ref="O50:Q50"/>
    <mergeCell ref="B53:B55"/>
    <mergeCell ref="O18:Q18"/>
    <mergeCell ref="B21:B23"/>
    <mergeCell ref="B24:B26"/>
    <mergeCell ref="B27:B29"/>
    <mergeCell ref="C34:E34"/>
    <mergeCell ref="F34:H34"/>
    <mergeCell ref="I34:K34"/>
    <mergeCell ref="L34:N34"/>
    <mergeCell ref="O34:Q34"/>
    <mergeCell ref="L18:N18"/>
    <mergeCell ref="B56:B58"/>
    <mergeCell ref="B59:B61"/>
    <mergeCell ref="C50:E50"/>
    <mergeCell ref="F50:H50"/>
    <mergeCell ref="I50:K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758F-2CC7-D74A-953E-03DC383E3581}">
  <dimension ref="B2:N108"/>
  <sheetViews>
    <sheetView tabSelected="1" topLeftCell="A45" zoomScale="128" zoomScaleNormal="128" workbookViewId="0">
      <selection activeCell="H79" sqref="H79"/>
    </sheetView>
  </sheetViews>
  <sheetFormatPr baseColWidth="10" defaultRowHeight="16" x14ac:dyDescent="0.2"/>
  <cols>
    <col min="2" max="2" width="14" customWidth="1"/>
    <col min="3" max="14" width="7.33203125" bestFit="1" customWidth="1"/>
  </cols>
  <sheetData>
    <row r="2" spans="2:14" x14ac:dyDescent="0.2">
      <c r="B2" s="6" t="s">
        <v>20</v>
      </c>
      <c r="C2" s="17" t="s">
        <v>3</v>
      </c>
      <c r="D2" s="17"/>
      <c r="E2" s="17"/>
      <c r="F2" s="17" t="s">
        <v>4</v>
      </c>
      <c r="G2" s="17"/>
      <c r="H2" s="17"/>
      <c r="I2" s="17" t="s">
        <v>5</v>
      </c>
      <c r="J2" s="17"/>
      <c r="K2" s="17"/>
      <c r="L2" s="17" t="s">
        <v>9</v>
      </c>
      <c r="M2" s="17"/>
      <c r="N2" s="17"/>
    </row>
    <row r="3" spans="2:14" x14ac:dyDescent="0.2">
      <c r="B3" t="s">
        <v>35</v>
      </c>
      <c r="C3" s="9">
        <v>62</v>
      </c>
      <c r="D3" s="9">
        <v>62</v>
      </c>
      <c r="E3" s="9">
        <v>62</v>
      </c>
      <c r="F3" s="9">
        <v>132</v>
      </c>
      <c r="G3" s="9">
        <v>132</v>
      </c>
      <c r="H3" s="9">
        <v>132</v>
      </c>
      <c r="I3" s="9">
        <v>200</v>
      </c>
      <c r="J3" s="9">
        <v>200</v>
      </c>
      <c r="K3" s="9">
        <v>200</v>
      </c>
      <c r="L3" s="9">
        <v>285</v>
      </c>
      <c r="M3" s="9">
        <v>285</v>
      </c>
      <c r="N3" s="9">
        <v>285</v>
      </c>
    </row>
    <row r="4" spans="2:14" x14ac:dyDescent="0.2">
      <c r="B4" s="1"/>
      <c r="C4" s="1" t="s">
        <v>0</v>
      </c>
      <c r="D4" s="1" t="s">
        <v>1</v>
      </c>
      <c r="E4" s="1" t="s">
        <v>2</v>
      </c>
      <c r="F4" s="1" t="s">
        <v>0</v>
      </c>
      <c r="G4" s="1" t="s">
        <v>1</v>
      </c>
      <c r="H4" s="1" t="s">
        <v>2</v>
      </c>
      <c r="I4" s="1" t="s">
        <v>0</v>
      </c>
      <c r="J4" s="1" t="s">
        <v>1</v>
      </c>
      <c r="K4" s="1" t="s">
        <v>2</v>
      </c>
      <c r="L4" s="1" t="s">
        <v>0</v>
      </c>
      <c r="M4" s="1" t="s">
        <v>1</v>
      </c>
      <c r="N4" s="1" t="s">
        <v>2</v>
      </c>
    </row>
    <row r="5" spans="2:14" x14ac:dyDescent="0.2">
      <c r="B5" s="18" t="s">
        <v>6</v>
      </c>
      <c r="C5" s="13">
        <v>62.6</v>
      </c>
      <c r="D5" s="13">
        <v>62.2</v>
      </c>
      <c r="E5" s="13">
        <v>61.1</v>
      </c>
      <c r="F5" s="13">
        <v>131</v>
      </c>
      <c r="G5" s="13">
        <v>132</v>
      </c>
      <c r="H5" s="13">
        <v>130</v>
      </c>
      <c r="I5" s="13">
        <v>200</v>
      </c>
      <c r="J5" s="13">
        <v>200</v>
      </c>
      <c r="K5" s="13">
        <v>205</v>
      </c>
      <c r="L5" s="13">
        <v>290</v>
      </c>
      <c r="M5" s="13">
        <v>290</v>
      </c>
      <c r="N5" s="13">
        <v>289</v>
      </c>
    </row>
    <row r="6" spans="2:14" x14ac:dyDescent="0.2">
      <c r="B6" s="19"/>
      <c r="C6" s="13">
        <v>62.6</v>
      </c>
      <c r="D6" s="13">
        <v>62.5</v>
      </c>
      <c r="E6" s="13">
        <v>61.9</v>
      </c>
      <c r="F6" s="13">
        <v>133</v>
      </c>
      <c r="G6" s="13">
        <v>133</v>
      </c>
      <c r="H6" s="13">
        <v>132</v>
      </c>
      <c r="I6" s="13">
        <v>201</v>
      </c>
      <c r="J6" s="13">
        <v>201</v>
      </c>
      <c r="K6" s="13">
        <v>199</v>
      </c>
      <c r="L6" s="13">
        <v>288</v>
      </c>
      <c r="M6" s="13">
        <v>294</v>
      </c>
      <c r="N6" s="13">
        <v>293</v>
      </c>
    </row>
    <row r="7" spans="2:14" x14ac:dyDescent="0.2">
      <c r="B7" s="20"/>
      <c r="C7" s="14">
        <v>63</v>
      </c>
      <c r="D7" s="14">
        <v>62.4</v>
      </c>
      <c r="E7" s="14">
        <v>61.7</v>
      </c>
      <c r="F7" s="14">
        <v>133</v>
      </c>
      <c r="G7" s="14">
        <v>133</v>
      </c>
      <c r="H7" s="14">
        <v>132</v>
      </c>
      <c r="I7" s="14">
        <v>201</v>
      </c>
      <c r="J7" s="14">
        <v>202</v>
      </c>
      <c r="K7" s="14">
        <v>198</v>
      </c>
      <c r="L7" s="14">
        <v>286</v>
      </c>
      <c r="M7" s="14">
        <v>294</v>
      </c>
      <c r="N7" s="14">
        <v>293</v>
      </c>
    </row>
    <row r="8" spans="2:14" x14ac:dyDescent="0.2">
      <c r="B8" s="18" t="s">
        <v>7</v>
      </c>
      <c r="C8" s="13">
        <v>67.099999999999994</v>
      </c>
      <c r="D8" s="13">
        <v>71.599999999999994</v>
      </c>
      <c r="E8" s="13">
        <v>72.3</v>
      </c>
      <c r="F8" s="13">
        <v>119</v>
      </c>
      <c r="G8" s="13">
        <v>129</v>
      </c>
      <c r="H8" s="13">
        <v>125</v>
      </c>
      <c r="I8" s="13">
        <v>157</v>
      </c>
      <c r="J8" s="13">
        <v>192</v>
      </c>
      <c r="K8" s="13">
        <v>204</v>
      </c>
      <c r="L8" s="13">
        <v>242</v>
      </c>
      <c r="M8" s="13">
        <v>278</v>
      </c>
      <c r="N8" s="13">
        <v>281</v>
      </c>
    </row>
    <row r="9" spans="2:14" x14ac:dyDescent="0.2">
      <c r="B9" s="19"/>
      <c r="C9" s="13">
        <v>65.2</v>
      </c>
      <c r="D9" s="13">
        <v>67.3</v>
      </c>
      <c r="E9" s="13">
        <v>71.2</v>
      </c>
      <c r="F9" s="13">
        <v>128</v>
      </c>
      <c r="G9" s="13">
        <v>129</v>
      </c>
      <c r="H9" s="13">
        <v>126</v>
      </c>
      <c r="I9" s="13">
        <v>157</v>
      </c>
      <c r="J9" s="13">
        <v>192</v>
      </c>
      <c r="K9" s="13">
        <v>205</v>
      </c>
      <c r="L9" s="13">
        <v>251</v>
      </c>
      <c r="M9" s="13">
        <v>282</v>
      </c>
      <c r="N9" s="13">
        <v>280</v>
      </c>
    </row>
    <row r="10" spans="2:14" x14ac:dyDescent="0.2">
      <c r="B10" s="20"/>
      <c r="C10" s="14">
        <v>68.400000000000006</v>
      </c>
      <c r="D10" s="14">
        <v>70.099999999999994</v>
      </c>
      <c r="E10" s="14">
        <v>70.400000000000006</v>
      </c>
      <c r="F10" s="14">
        <v>118</v>
      </c>
      <c r="G10" s="14">
        <v>127</v>
      </c>
      <c r="H10" s="14">
        <v>125</v>
      </c>
      <c r="I10" s="14">
        <v>158</v>
      </c>
      <c r="J10" s="14">
        <v>189</v>
      </c>
      <c r="K10" s="14">
        <v>205</v>
      </c>
      <c r="L10" s="14">
        <v>247</v>
      </c>
      <c r="M10" s="14">
        <v>257</v>
      </c>
      <c r="N10" s="14">
        <v>294</v>
      </c>
    </row>
    <row r="11" spans="2:14" x14ac:dyDescent="0.2">
      <c r="B11" s="18" t="s">
        <v>8</v>
      </c>
      <c r="C11" s="13">
        <v>24</v>
      </c>
      <c r="D11" s="13">
        <v>24.1</v>
      </c>
      <c r="E11" s="13">
        <v>25.6</v>
      </c>
      <c r="F11" s="13">
        <v>46</v>
      </c>
      <c r="G11" s="13">
        <v>48.7</v>
      </c>
      <c r="H11" s="13">
        <v>57.6</v>
      </c>
      <c r="I11" s="13">
        <v>53.4</v>
      </c>
      <c r="J11" s="13">
        <v>67.3</v>
      </c>
      <c r="K11" s="13">
        <v>82.5</v>
      </c>
      <c r="L11" s="13">
        <v>111</v>
      </c>
      <c r="M11" s="13">
        <v>140</v>
      </c>
      <c r="N11" s="13">
        <v>164</v>
      </c>
    </row>
    <row r="12" spans="2:14" x14ac:dyDescent="0.2">
      <c r="B12" s="19"/>
      <c r="C12" s="13">
        <v>23.7</v>
      </c>
      <c r="D12" s="13">
        <v>24.6</v>
      </c>
      <c r="E12" s="13">
        <v>23.8</v>
      </c>
      <c r="F12" s="13">
        <v>46.5</v>
      </c>
      <c r="G12" s="13">
        <v>48.3</v>
      </c>
      <c r="H12" s="13">
        <v>56.6</v>
      </c>
      <c r="I12" s="13">
        <v>53.2</v>
      </c>
      <c r="J12" s="13">
        <v>66.3</v>
      </c>
      <c r="K12" s="13">
        <v>81.8</v>
      </c>
      <c r="L12" s="13">
        <v>114</v>
      </c>
      <c r="M12" s="13">
        <v>141</v>
      </c>
      <c r="N12" s="13">
        <v>161</v>
      </c>
    </row>
    <row r="13" spans="2:14" x14ac:dyDescent="0.2">
      <c r="B13" s="20"/>
      <c r="C13" s="13">
        <v>24.2</v>
      </c>
      <c r="D13" s="13">
        <v>24.5</v>
      </c>
      <c r="E13" s="13">
        <v>24.1</v>
      </c>
      <c r="F13" s="13">
        <v>45</v>
      </c>
      <c r="G13" s="13">
        <v>47.8</v>
      </c>
      <c r="H13" s="13">
        <v>58.3</v>
      </c>
      <c r="I13" s="13">
        <v>52.8</v>
      </c>
      <c r="J13" s="13">
        <v>65.3</v>
      </c>
      <c r="K13" s="13">
        <v>81.5</v>
      </c>
      <c r="L13" s="13">
        <v>116</v>
      </c>
      <c r="M13" s="13">
        <v>133</v>
      </c>
      <c r="N13" s="13">
        <v>152</v>
      </c>
    </row>
    <row r="14" spans="2:14" x14ac:dyDescent="0.2">
      <c r="B14" s="3" t="s">
        <v>10</v>
      </c>
      <c r="C14" s="8">
        <f t="shared" ref="C14:N14" si="0">AVERAGE(C5:C7)</f>
        <v>62.733333333333327</v>
      </c>
      <c r="D14" s="8">
        <f t="shared" si="0"/>
        <v>62.366666666666667</v>
      </c>
      <c r="E14" s="8">
        <f t="shared" si="0"/>
        <v>61.566666666666663</v>
      </c>
      <c r="F14" s="8">
        <f t="shared" si="0"/>
        <v>132.33333333333334</v>
      </c>
      <c r="G14" s="8">
        <f t="shared" si="0"/>
        <v>132.66666666666666</v>
      </c>
      <c r="H14" s="8">
        <f t="shared" si="0"/>
        <v>131.33333333333334</v>
      </c>
      <c r="I14" s="8">
        <f t="shared" si="0"/>
        <v>200.66666666666666</v>
      </c>
      <c r="J14" s="8">
        <f t="shared" si="0"/>
        <v>201</v>
      </c>
      <c r="K14" s="8">
        <f t="shared" si="0"/>
        <v>200.66666666666666</v>
      </c>
      <c r="L14" s="8">
        <f t="shared" si="0"/>
        <v>288</v>
      </c>
      <c r="M14" s="8">
        <f t="shared" si="0"/>
        <v>292.66666666666669</v>
      </c>
      <c r="N14" s="8">
        <f t="shared" si="0"/>
        <v>291.66666666666669</v>
      </c>
    </row>
    <row r="15" spans="2:14" x14ac:dyDescent="0.2">
      <c r="B15" s="4" t="s">
        <v>11</v>
      </c>
      <c r="C15" s="2">
        <f>AVERAGE(C8:C10)</f>
        <v>66.900000000000006</v>
      </c>
      <c r="D15" s="2">
        <f t="shared" ref="D15:N15" si="1">AVERAGE(D8:D10)</f>
        <v>69.666666666666657</v>
      </c>
      <c r="E15" s="2">
        <f t="shared" si="1"/>
        <v>71.3</v>
      </c>
      <c r="F15" s="2">
        <f t="shared" si="1"/>
        <v>121.66666666666667</v>
      </c>
      <c r="G15" s="2">
        <f t="shared" si="1"/>
        <v>128.33333333333334</v>
      </c>
      <c r="H15" s="2">
        <f t="shared" si="1"/>
        <v>125.33333333333333</v>
      </c>
      <c r="I15" s="2">
        <f t="shared" si="1"/>
        <v>157.33333333333334</v>
      </c>
      <c r="J15" s="2">
        <f t="shared" si="1"/>
        <v>191</v>
      </c>
      <c r="K15" s="2">
        <f>AVERAGE(K8:K10)</f>
        <v>204.66666666666666</v>
      </c>
      <c r="L15" s="2">
        <f t="shared" si="1"/>
        <v>246.66666666666666</v>
      </c>
      <c r="M15" s="2">
        <f t="shared" si="1"/>
        <v>272.33333333333331</v>
      </c>
      <c r="N15" s="2">
        <f t="shared" si="1"/>
        <v>285</v>
      </c>
    </row>
    <row r="16" spans="2:14" x14ac:dyDescent="0.2">
      <c r="B16" s="5" t="s">
        <v>12</v>
      </c>
      <c r="C16" s="7">
        <f>AVERAGE(C11:C13)</f>
        <v>23.966666666666669</v>
      </c>
      <c r="D16" s="7">
        <f t="shared" ref="D16:N16" si="2">AVERAGE(D11:D13)</f>
        <v>24.400000000000002</v>
      </c>
      <c r="E16" s="7">
        <f t="shared" si="2"/>
        <v>24.5</v>
      </c>
      <c r="F16" s="7">
        <f t="shared" si="2"/>
        <v>45.833333333333336</v>
      </c>
      <c r="G16" s="7">
        <f t="shared" si="2"/>
        <v>48.266666666666673</v>
      </c>
      <c r="H16" s="7">
        <f t="shared" si="2"/>
        <v>57.5</v>
      </c>
      <c r="I16" s="7">
        <f t="shared" si="2"/>
        <v>53.133333333333326</v>
      </c>
      <c r="J16" s="7">
        <f t="shared" si="2"/>
        <v>66.3</v>
      </c>
      <c r="K16" s="7">
        <f t="shared" si="2"/>
        <v>81.933333333333337</v>
      </c>
      <c r="L16" s="7">
        <f t="shared" si="2"/>
        <v>113.66666666666667</v>
      </c>
      <c r="M16" s="7">
        <f t="shared" si="2"/>
        <v>138</v>
      </c>
      <c r="N16" s="7">
        <f t="shared" si="2"/>
        <v>159</v>
      </c>
    </row>
    <row r="18" spans="2:14" x14ac:dyDescent="0.2">
      <c r="B18" s="6" t="s">
        <v>26</v>
      </c>
      <c r="C18" s="17" t="s">
        <v>3</v>
      </c>
      <c r="D18" s="17"/>
      <c r="E18" s="17"/>
      <c r="F18" s="17" t="s">
        <v>4</v>
      </c>
      <c r="G18" s="17"/>
      <c r="H18" s="17"/>
      <c r="I18" s="17" t="s">
        <v>5</v>
      </c>
      <c r="J18" s="17"/>
      <c r="K18" s="17"/>
      <c r="L18" s="17" t="s">
        <v>9</v>
      </c>
      <c r="M18" s="17"/>
      <c r="N18" s="17"/>
    </row>
    <row r="19" spans="2:14" x14ac:dyDescent="0.2">
      <c r="B19" t="s">
        <v>35</v>
      </c>
      <c r="C19" s="9">
        <v>62</v>
      </c>
      <c r="D19" s="9">
        <v>62</v>
      </c>
      <c r="E19" s="9">
        <v>62</v>
      </c>
      <c r="F19" s="9">
        <v>132</v>
      </c>
      <c r="G19" s="9">
        <v>132</v>
      </c>
      <c r="H19" s="9">
        <v>132</v>
      </c>
      <c r="I19" s="9">
        <v>200</v>
      </c>
      <c r="J19" s="9">
        <v>200</v>
      </c>
      <c r="K19" s="9">
        <v>200</v>
      </c>
      <c r="L19" s="9">
        <v>285</v>
      </c>
      <c r="M19" s="9">
        <v>285</v>
      </c>
      <c r="N19" s="9">
        <v>285</v>
      </c>
    </row>
    <row r="20" spans="2:14" x14ac:dyDescent="0.2">
      <c r="B20" s="1"/>
      <c r="C20" s="1" t="s">
        <v>0</v>
      </c>
      <c r="D20" s="1" t="s">
        <v>1</v>
      </c>
      <c r="E20" s="1" t="s">
        <v>2</v>
      </c>
      <c r="F20" s="1" t="s">
        <v>0</v>
      </c>
      <c r="G20" s="1" t="s">
        <v>1</v>
      </c>
      <c r="H20" s="1" t="s">
        <v>2</v>
      </c>
      <c r="I20" s="1" t="s">
        <v>0</v>
      </c>
      <c r="J20" s="1" t="s">
        <v>1</v>
      </c>
      <c r="K20" s="1" t="s">
        <v>2</v>
      </c>
      <c r="L20" s="1" t="s">
        <v>0</v>
      </c>
      <c r="M20" s="1" t="s">
        <v>1</v>
      </c>
      <c r="N20" s="1" t="s">
        <v>2</v>
      </c>
    </row>
    <row r="21" spans="2:14" x14ac:dyDescent="0.2">
      <c r="B21" s="18" t="s">
        <v>6</v>
      </c>
      <c r="C21" s="13">
        <v>63.7</v>
      </c>
      <c r="D21" s="13">
        <v>62.6</v>
      </c>
      <c r="E21" s="13">
        <v>62.2</v>
      </c>
      <c r="F21" s="13">
        <v>133</v>
      </c>
      <c r="G21" s="13">
        <v>132</v>
      </c>
      <c r="H21" s="13">
        <v>135</v>
      </c>
      <c r="I21" s="13">
        <v>199</v>
      </c>
      <c r="J21" s="13">
        <v>200</v>
      </c>
      <c r="K21" s="13">
        <v>203</v>
      </c>
      <c r="L21" s="13">
        <v>292</v>
      </c>
      <c r="M21" s="13">
        <v>285</v>
      </c>
      <c r="N21" s="13">
        <v>294</v>
      </c>
    </row>
    <row r="22" spans="2:14" x14ac:dyDescent="0.2">
      <c r="B22" s="19"/>
      <c r="C22" s="13">
        <v>62.1</v>
      </c>
      <c r="D22" s="13">
        <v>63.2</v>
      </c>
      <c r="E22" s="13">
        <v>61.8</v>
      </c>
      <c r="F22" s="13">
        <v>134</v>
      </c>
      <c r="G22" s="13">
        <v>133</v>
      </c>
      <c r="H22" s="13">
        <v>134</v>
      </c>
      <c r="I22" s="13">
        <v>201</v>
      </c>
      <c r="J22" s="13">
        <v>202</v>
      </c>
      <c r="K22" s="13">
        <v>201</v>
      </c>
      <c r="L22" s="13">
        <v>289</v>
      </c>
      <c r="M22" s="13">
        <v>287</v>
      </c>
      <c r="N22" s="13">
        <v>290</v>
      </c>
    </row>
    <row r="23" spans="2:14" x14ac:dyDescent="0.2">
      <c r="B23" s="20"/>
      <c r="C23" s="14">
        <v>62.4</v>
      </c>
      <c r="D23" s="14">
        <v>62.8</v>
      </c>
      <c r="E23" s="14">
        <v>61.8</v>
      </c>
      <c r="F23" s="14">
        <v>134</v>
      </c>
      <c r="G23" s="14">
        <v>134</v>
      </c>
      <c r="H23" s="14">
        <v>133</v>
      </c>
      <c r="I23" s="14">
        <v>201</v>
      </c>
      <c r="J23" s="14">
        <v>202</v>
      </c>
      <c r="K23" s="14">
        <v>202</v>
      </c>
      <c r="L23" s="14">
        <v>292</v>
      </c>
      <c r="M23" s="14">
        <v>293</v>
      </c>
      <c r="N23" s="14">
        <v>299</v>
      </c>
    </row>
    <row r="24" spans="2:14" x14ac:dyDescent="0.2">
      <c r="B24" s="18" t="s">
        <v>7</v>
      </c>
      <c r="C24" s="13">
        <v>32.6</v>
      </c>
      <c r="D24" s="15">
        <v>29.7</v>
      </c>
      <c r="E24" s="15">
        <v>42.6</v>
      </c>
      <c r="F24" s="13">
        <v>33.1</v>
      </c>
      <c r="G24" s="13">
        <v>40.200000000000003</v>
      </c>
      <c r="H24" s="13">
        <v>49.6</v>
      </c>
      <c r="I24" s="13">
        <v>43.4</v>
      </c>
      <c r="J24" s="15">
        <v>49.2</v>
      </c>
      <c r="K24" s="15">
        <v>53.8</v>
      </c>
      <c r="L24" s="13">
        <v>66.3</v>
      </c>
      <c r="M24" s="15">
        <v>48.3</v>
      </c>
      <c r="N24" s="15">
        <v>78.900000000000006</v>
      </c>
    </row>
    <row r="25" spans="2:14" x14ac:dyDescent="0.2">
      <c r="B25" s="19"/>
      <c r="C25" s="13">
        <v>35.4</v>
      </c>
      <c r="D25" s="13">
        <v>29.8</v>
      </c>
      <c r="E25" s="13">
        <v>27.5</v>
      </c>
      <c r="F25" s="13">
        <v>39</v>
      </c>
      <c r="G25" s="13">
        <v>50.1</v>
      </c>
      <c r="H25" s="13">
        <v>68.900000000000006</v>
      </c>
      <c r="I25" s="13">
        <v>43.2</v>
      </c>
      <c r="J25" s="13">
        <v>55</v>
      </c>
      <c r="K25" s="13">
        <v>52.5</v>
      </c>
      <c r="L25" s="13">
        <v>66.599999999999994</v>
      </c>
      <c r="M25" s="13">
        <v>46.5</v>
      </c>
      <c r="N25" s="13">
        <v>78.599999999999994</v>
      </c>
    </row>
    <row r="26" spans="2:14" x14ac:dyDescent="0.2">
      <c r="B26" s="20"/>
      <c r="C26" s="14">
        <v>29.6</v>
      </c>
      <c r="D26" s="14">
        <v>24.1</v>
      </c>
      <c r="E26" s="14">
        <v>35</v>
      </c>
      <c r="F26" s="14">
        <v>33.799999999999997</v>
      </c>
      <c r="G26" s="14">
        <v>36.700000000000003</v>
      </c>
      <c r="H26" s="14">
        <v>45.2</v>
      </c>
      <c r="I26" s="14">
        <v>44.1</v>
      </c>
      <c r="J26" s="14">
        <v>51.7</v>
      </c>
      <c r="K26" s="14">
        <v>59.3</v>
      </c>
      <c r="L26" s="14">
        <v>66.3</v>
      </c>
      <c r="M26" s="14">
        <v>46.2</v>
      </c>
      <c r="N26" s="14">
        <v>77.099999999999994</v>
      </c>
    </row>
    <row r="27" spans="2:14" x14ac:dyDescent="0.2">
      <c r="B27" s="18" t="s">
        <v>8</v>
      </c>
      <c r="C27" s="13">
        <v>17.899999999999999</v>
      </c>
      <c r="D27" s="15">
        <v>17.100000000000001</v>
      </c>
      <c r="E27" s="15">
        <v>14.4</v>
      </c>
      <c r="F27" s="13">
        <v>25.5</v>
      </c>
      <c r="G27" s="13">
        <v>30.5</v>
      </c>
      <c r="H27" s="13">
        <v>34.4</v>
      </c>
      <c r="I27" s="13">
        <v>34.6</v>
      </c>
      <c r="J27" s="15">
        <v>40.9</v>
      </c>
      <c r="K27" s="15">
        <v>51.7</v>
      </c>
      <c r="L27" s="13">
        <v>66.3</v>
      </c>
      <c r="M27" s="15">
        <v>45.8</v>
      </c>
      <c r="N27" s="15">
        <v>76.900000000000006</v>
      </c>
    </row>
    <row r="28" spans="2:14" x14ac:dyDescent="0.2">
      <c r="B28" s="19"/>
      <c r="C28" s="13">
        <v>17.600000000000001</v>
      </c>
      <c r="D28" s="13">
        <v>17.600000000000001</v>
      </c>
      <c r="E28" s="13">
        <v>15.7</v>
      </c>
      <c r="F28" s="13">
        <v>26.7</v>
      </c>
      <c r="G28" s="13">
        <v>30.7</v>
      </c>
      <c r="H28" s="13">
        <v>34.799999999999997</v>
      </c>
      <c r="I28" s="13">
        <v>35.200000000000003</v>
      </c>
      <c r="J28" s="13">
        <v>39.9</v>
      </c>
      <c r="K28" s="13">
        <v>50.6</v>
      </c>
      <c r="L28" s="13">
        <v>67.3</v>
      </c>
      <c r="M28" s="13">
        <v>46.9</v>
      </c>
      <c r="N28" s="13">
        <v>76.900000000000006</v>
      </c>
    </row>
    <row r="29" spans="2:14" x14ac:dyDescent="0.2">
      <c r="B29" s="20"/>
      <c r="C29" s="13">
        <v>17.600000000000001</v>
      </c>
      <c r="D29" s="13">
        <v>17</v>
      </c>
      <c r="E29" s="13">
        <v>14.1</v>
      </c>
      <c r="F29" s="13">
        <v>25.5</v>
      </c>
      <c r="G29" s="13">
        <v>30</v>
      </c>
      <c r="H29" s="13">
        <v>33.6</v>
      </c>
      <c r="I29" s="13">
        <v>35.1</v>
      </c>
      <c r="J29" s="13">
        <v>39.9</v>
      </c>
      <c r="K29" s="13">
        <v>50.7</v>
      </c>
      <c r="L29" s="13">
        <v>68.3</v>
      </c>
      <c r="M29" s="13">
        <v>44.7</v>
      </c>
      <c r="N29" s="13">
        <v>76.099999999999994</v>
      </c>
    </row>
    <row r="30" spans="2:14" x14ac:dyDescent="0.2">
      <c r="B30" s="3" t="s">
        <v>10</v>
      </c>
      <c r="C30" s="8">
        <f t="shared" ref="C30:M30" si="3">AVERAGE(C21:C23)</f>
        <v>62.733333333333341</v>
      </c>
      <c r="D30" s="8">
        <f t="shared" si="3"/>
        <v>62.866666666666674</v>
      </c>
      <c r="E30" s="8">
        <f t="shared" si="3"/>
        <v>61.933333333333337</v>
      </c>
      <c r="F30" s="8">
        <f t="shared" si="3"/>
        <v>133.66666666666666</v>
      </c>
      <c r="G30" s="8">
        <f t="shared" si="3"/>
        <v>133</v>
      </c>
      <c r="H30" s="8">
        <f t="shared" si="3"/>
        <v>134</v>
      </c>
      <c r="I30" s="8">
        <f t="shared" si="3"/>
        <v>200.33333333333334</v>
      </c>
      <c r="J30" s="8">
        <f t="shared" si="3"/>
        <v>201.33333333333334</v>
      </c>
      <c r="K30" s="8">
        <f t="shared" si="3"/>
        <v>202</v>
      </c>
      <c r="L30" s="8">
        <f t="shared" si="3"/>
        <v>291</v>
      </c>
      <c r="M30" s="8">
        <f t="shared" si="3"/>
        <v>288.33333333333331</v>
      </c>
      <c r="N30" s="8">
        <f>AVERAGE(N21:N23)</f>
        <v>294.33333333333331</v>
      </c>
    </row>
    <row r="31" spans="2:14" x14ac:dyDescent="0.2">
      <c r="B31" s="4" t="s">
        <v>11</v>
      </c>
      <c r="C31" s="2">
        <f>AVERAGE(C24:C26)</f>
        <v>32.533333333333331</v>
      </c>
      <c r="D31" s="2">
        <f t="shared" ref="D31:L31" si="4">AVERAGE(D24:D26)</f>
        <v>27.866666666666664</v>
      </c>
      <c r="E31" s="2">
        <f t="shared" si="4"/>
        <v>35.033333333333331</v>
      </c>
      <c r="F31" s="2">
        <f t="shared" si="4"/>
        <v>35.299999999999997</v>
      </c>
      <c r="G31" s="2">
        <f t="shared" si="4"/>
        <v>42.333333333333336</v>
      </c>
      <c r="H31" s="2">
        <f t="shared" si="4"/>
        <v>54.566666666666663</v>
      </c>
      <c r="I31" s="2">
        <f t="shared" si="4"/>
        <v>43.566666666666663</v>
      </c>
      <c r="J31" s="2">
        <f t="shared" si="4"/>
        <v>51.966666666666669</v>
      </c>
      <c r="K31" s="2">
        <f t="shared" si="4"/>
        <v>55.199999999999996</v>
      </c>
      <c r="L31" s="2">
        <f t="shared" si="4"/>
        <v>66.399999999999991</v>
      </c>
      <c r="M31" s="2">
        <f>AVERAGE(M24:M26)</f>
        <v>47</v>
      </c>
      <c r="N31" s="2">
        <f t="shared" ref="N31" si="5">AVERAGE(N24:N26)</f>
        <v>78.2</v>
      </c>
    </row>
    <row r="32" spans="2:14" x14ac:dyDescent="0.2">
      <c r="B32" s="5" t="s">
        <v>12</v>
      </c>
      <c r="C32" s="7">
        <f>AVERAGE(C27:C29)</f>
        <v>17.7</v>
      </c>
      <c r="D32" s="7">
        <f t="shared" ref="D32:N32" si="6">AVERAGE(D27:D29)</f>
        <v>17.233333333333334</v>
      </c>
      <c r="E32" s="7">
        <f t="shared" si="6"/>
        <v>14.733333333333334</v>
      </c>
      <c r="F32" s="7">
        <f t="shared" si="6"/>
        <v>25.900000000000002</v>
      </c>
      <c r="G32" s="7">
        <f t="shared" si="6"/>
        <v>30.400000000000002</v>
      </c>
      <c r="H32" s="7">
        <f t="shared" si="6"/>
        <v>34.266666666666659</v>
      </c>
      <c r="I32" s="7">
        <f t="shared" si="6"/>
        <v>34.966666666666669</v>
      </c>
      <c r="J32" s="7">
        <f t="shared" si="6"/>
        <v>40.233333333333327</v>
      </c>
      <c r="K32" s="7">
        <f t="shared" si="6"/>
        <v>51</v>
      </c>
      <c r="L32" s="7">
        <f t="shared" si="6"/>
        <v>67.3</v>
      </c>
      <c r="M32" s="7">
        <f t="shared" si="6"/>
        <v>45.79999999999999</v>
      </c>
      <c r="N32" s="7">
        <f t="shared" si="6"/>
        <v>76.63333333333334</v>
      </c>
    </row>
    <row r="34" spans="2:14" x14ac:dyDescent="0.2">
      <c r="B34" s="6" t="s">
        <v>27</v>
      </c>
      <c r="C34" s="17" t="s">
        <v>3</v>
      </c>
      <c r="D34" s="17"/>
      <c r="E34" s="17"/>
      <c r="F34" s="17" t="s">
        <v>4</v>
      </c>
      <c r="G34" s="17"/>
      <c r="H34" s="17"/>
      <c r="I34" s="17" t="s">
        <v>5</v>
      </c>
      <c r="J34" s="17"/>
      <c r="K34" s="17"/>
      <c r="L34" s="17" t="s">
        <v>9</v>
      </c>
      <c r="M34" s="17"/>
      <c r="N34" s="17"/>
    </row>
    <row r="35" spans="2:14" x14ac:dyDescent="0.2">
      <c r="B35" t="s">
        <v>35</v>
      </c>
      <c r="C35" s="9">
        <v>62</v>
      </c>
      <c r="D35" s="9">
        <v>62</v>
      </c>
      <c r="E35" s="9">
        <v>62</v>
      </c>
      <c r="F35" s="9">
        <v>132</v>
      </c>
      <c r="G35" s="9">
        <v>132</v>
      </c>
      <c r="H35" s="9">
        <v>132</v>
      </c>
      <c r="I35" s="9">
        <v>200</v>
      </c>
      <c r="J35" s="9">
        <v>200</v>
      </c>
      <c r="K35" s="9">
        <v>200</v>
      </c>
      <c r="L35" s="9">
        <v>285</v>
      </c>
      <c r="M35" s="9">
        <v>285</v>
      </c>
      <c r="N35" s="9">
        <v>285</v>
      </c>
    </row>
    <row r="36" spans="2:14" x14ac:dyDescent="0.2">
      <c r="B36" s="1"/>
      <c r="C36" s="1" t="s">
        <v>0</v>
      </c>
      <c r="D36" s="1" t="s">
        <v>1</v>
      </c>
      <c r="E36" s="1" t="s">
        <v>2</v>
      </c>
      <c r="F36" s="1" t="s">
        <v>0</v>
      </c>
      <c r="G36" s="1" t="s">
        <v>1</v>
      </c>
      <c r="H36" s="1" t="s">
        <v>2</v>
      </c>
      <c r="I36" s="1" t="s">
        <v>0</v>
      </c>
      <c r="J36" s="1" t="s">
        <v>1</v>
      </c>
      <c r="K36" s="1" t="s">
        <v>2</v>
      </c>
      <c r="L36" s="1" t="s">
        <v>0</v>
      </c>
      <c r="M36" s="1" t="s">
        <v>1</v>
      </c>
      <c r="N36" s="1" t="s">
        <v>2</v>
      </c>
    </row>
    <row r="37" spans="2:14" x14ac:dyDescent="0.2">
      <c r="B37" s="10" t="s">
        <v>6</v>
      </c>
      <c r="C37" s="13">
        <v>62.3</v>
      </c>
      <c r="D37" s="13">
        <v>61</v>
      </c>
      <c r="E37" s="13">
        <v>64</v>
      </c>
      <c r="F37" s="13">
        <v>131</v>
      </c>
      <c r="G37" s="13">
        <v>130</v>
      </c>
      <c r="H37" s="13">
        <v>130</v>
      </c>
      <c r="I37" s="13">
        <v>195</v>
      </c>
      <c r="J37" s="13">
        <v>199</v>
      </c>
      <c r="K37" s="13">
        <v>200</v>
      </c>
      <c r="L37" s="13">
        <v>315</v>
      </c>
      <c r="M37" s="13">
        <v>286</v>
      </c>
      <c r="N37" s="13">
        <v>282</v>
      </c>
    </row>
    <row r="38" spans="2:14" x14ac:dyDescent="0.2">
      <c r="B38" s="11"/>
      <c r="C38" s="13">
        <v>63.2</v>
      </c>
      <c r="D38" s="13">
        <v>62.7</v>
      </c>
      <c r="E38" s="13">
        <v>63.5</v>
      </c>
      <c r="F38" s="13">
        <v>132</v>
      </c>
      <c r="G38" s="13">
        <v>130</v>
      </c>
      <c r="H38" s="13">
        <v>131</v>
      </c>
      <c r="I38" s="13">
        <v>193</v>
      </c>
      <c r="J38" s="13">
        <v>197</v>
      </c>
      <c r="K38" s="13">
        <v>196</v>
      </c>
      <c r="L38" s="13">
        <v>313</v>
      </c>
      <c r="M38" s="13">
        <v>289</v>
      </c>
      <c r="N38" s="13">
        <v>286</v>
      </c>
    </row>
    <row r="39" spans="2:14" x14ac:dyDescent="0.2">
      <c r="B39" s="12"/>
      <c r="C39" s="14">
        <v>62.9</v>
      </c>
      <c r="D39" s="14">
        <v>63.3</v>
      </c>
      <c r="E39" s="14">
        <v>62.9</v>
      </c>
      <c r="F39" s="14">
        <v>132</v>
      </c>
      <c r="G39" s="14">
        <v>130</v>
      </c>
      <c r="H39" s="14">
        <v>132</v>
      </c>
      <c r="I39" s="14">
        <v>193</v>
      </c>
      <c r="J39" s="14">
        <v>196</v>
      </c>
      <c r="K39" s="14">
        <v>196</v>
      </c>
      <c r="L39" s="14">
        <v>317</v>
      </c>
      <c r="M39" s="14">
        <v>290</v>
      </c>
      <c r="N39" s="14">
        <v>280</v>
      </c>
    </row>
    <row r="40" spans="2:14" x14ac:dyDescent="0.2">
      <c r="B40" s="10" t="s">
        <v>7</v>
      </c>
      <c r="C40" s="13">
        <v>6.95</v>
      </c>
      <c r="D40" s="15">
        <v>3.07</v>
      </c>
      <c r="E40" s="15">
        <v>4.33</v>
      </c>
      <c r="F40" s="13">
        <v>2.74</v>
      </c>
      <c r="G40" s="13">
        <v>2.75</v>
      </c>
      <c r="H40" s="13">
        <v>2.31</v>
      </c>
      <c r="I40" s="13">
        <v>3.97</v>
      </c>
      <c r="J40" s="15">
        <v>5.29</v>
      </c>
      <c r="K40" s="15">
        <v>3.51</v>
      </c>
      <c r="L40" s="13">
        <v>5.18</v>
      </c>
      <c r="M40" s="15">
        <v>3.9</v>
      </c>
      <c r="N40" s="15">
        <v>5.23</v>
      </c>
    </row>
    <row r="41" spans="2:14" x14ac:dyDescent="0.2">
      <c r="B41" s="11"/>
      <c r="C41" s="13">
        <v>4.9800000000000004</v>
      </c>
      <c r="D41" s="13">
        <v>3.19</v>
      </c>
      <c r="E41" s="13">
        <v>5.3</v>
      </c>
      <c r="F41" s="13">
        <v>2.56</v>
      </c>
      <c r="G41" s="13">
        <v>2.73</v>
      </c>
      <c r="H41" s="13">
        <v>2.1800000000000002</v>
      </c>
      <c r="I41" s="13">
        <v>3.94</v>
      </c>
      <c r="J41" s="13">
        <v>5.88</v>
      </c>
      <c r="K41" s="13">
        <v>3.39</v>
      </c>
      <c r="L41" s="13">
        <v>5.17</v>
      </c>
      <c r="M41" s="13">
        <v>4.22</v>
      </c>
      <c r="N41" s="13">
        <v>4.93</v>
      </c>
    </row>
    <row r="42" spans="2:14" x14ac:dyDescent="0.2">
      <c r="B42" s="12"/>
      <c r="C42" s="14">
        <v>10</v>
      </c>
      <c r="D42" s="14">
        <v>2.9</v>
      </c>
      <c r="E42" s="14">
        <v>3.14</v>
      </c>
      <c r="F42" s="14">
        <v>2.75</v>
      </c>
      <c r="G42" s="14">
        <v>2.73</v>
      </c>
      <c r="H42" s="14">
        <v>2.3199999999999998</v>
      </c>
      <c r="I42" s="14">
        <v>3.91</v>
      </c>
      <c r="J42" s="14">
        <v>5.16</v>
      </c>
      <c r="K42" s="14">
        <v>3.39</v>
      </c>
      <c r="L42" s="14">
        <v>4.8600000000000003</v>
      </c>
      <c r="M42" s="14">
        <v>3.69</v>
      </c>
      <c r="N42" s="14">
        <v>4.9800000000000004</v>
      </c>
    </row>
    <row r="43" spans="2:14" x14ac:dyDescent="0.2">
      <c r="B43" s="10" t="s">
        <v>8</v>
      </c>
      <c r="C43" s="13">
        <v>2.2400000000000002</v>
      </c>
      <c r="D43" s="15">
        <v>2.58</v>
      </c>
      <c r="E43" s="15">
        <v>3.46</v>
      </c>
      <c r="F43" s="13">
        <v>2.5</v>
      </c>
      <c r="G43" s="13">
        <v>2.84</v>
      </c>
      <c r="H43" s="13">
        <v>2.12</v>
      </c>
      <c r="I43" s="13">
        <v>3.35</v>
      </c>
      <c r="J43" s="15">
        <v>5.24</v>
      </c>
      <c r="K43" s="15">
        <v>3.5</v>
      </c>
      <c r="L43" s="13">
        <v>4.42</v>
      </c>
      <c r="M43" s="15">
        <v>3.89</v>
      </c>
      <c r="N43" s="15">
        <v>5.05</v>
      </c>
    </row>
    <row r="44" spans="2:14" x14ac:dyDescent="0.2">
      <c r="B44" s="11"/>
      <c r="C44" s="13">
        <v>2.91</v>
      </c>
      <c r="D44" s="13">
        <v>2.62</v>
      </c>
      <c r="E44" s="13">
        <v>2.29</v>
      </c>
      <c r="F44" s="13">
        <v>2.5499999999999998</v>
      </c>
      <c r="G44" s="13">
        <v>2.83</v>
      </c>
      <c r="H44" s="13">
        <v>2.0299999999999998</v>
      </c>
      <c r="I44" s="13">
        <v>3.36</v>
      </c>
      <c r="J44" s="13">
        <v>5.0999999999999996</v>
      </c>
      <c r="K44" s="13">
        <v>3.15</v>
      </c>
      <c r="L44" s="13">
        <v>4.34</v>
      </c>
      <c r="M44" s="13">
        <v>4.16</v>
      </c>
      <c r="N44" s="13">
        <v>4.6399999999999997</v>
      </c>
    </row>
    <row r="45" spans="2:14" x14ac:dyDescent="0.2">
      <c r="B45" s="12"/>
      <c r="C45" s="13">
        <v>3.07</v>
      </c>
      <c r="D45" s="13">
        <v>2.52</v>
      </c>
      <c r="E45" s="13">
        <v>3.64</v>
      </c>
      <c r="F45" s="13">
        <v>2.52</v>
      </c>
      <c r="G45" s="13">
        <v>2.75</v>
      </c>
      <c r="H45" s="13">
        <v>1.98</v>
      </c>
      <c r="I45" s="13">
        <v>3.24</v>
      </c>
      <c r="J45" s="13">
        <v>5.12</v>
      </c>
      <c r="K45" s="13">
        <v>3.25</v>
      </c>
      <c r="L45" s="13">
        <v>3.99</v>
      </c>
      <c r="M45" s="13">
        <v>3.55</v>
      </c>
      <c r="N45" s="13">
        <v>4.5999999999999996</v>
      </c>
    </row>
    <row r="46" spans="2:14" x14ac:dyDescent="0.2">
      <c r="B46" s="3" t="s">
        <v>10</v>
      </c>
      <c r="C46" s="8">
        <f t="shared" ref="C46:M46" si="7">AVERAGE(C37:C39)</f>
        <v>62.800000000000004</v>
      </c>
      <c r="D46" s="8">
        <f t="shared" si="7"/>
        <v>62.333333333333336</v>
      </c>
      <c r="E46" s="8">
        <f t="shared" si="7"/>
        <v>63.466666666666669</v>
      </c>
      <c r="F46" s="8">
        <f t="shared" si="7"/>
        <v>131.66666666666666</v>
      </c>
      <c r="G46" s="8">
        <f t="shared" si="7"/>
        <v>130</v>
      </c>
      <c r="H46" s="8">
        <f t="shared" si="7"/>
        <v>131</v>
      </c>
      <c r="I46" s="8">
        <f t="shared" si="7"/>
        <v>193.66666666666666</v>
      </c>
      <c r="J46" s="8">
        <f t="shared" si="7"/>
        <v>197.33333333333334</v>
      </c>
      <c r="K46" s="8">
        <f t="shared" si="7"/>
        <v>197.33333333333334</v>
      </c>
      <c r="L46" s="8">
        <f>AVERAGE(L37:L39)</f>
        <v>315</v>
      </c>
      <c r="M46" s="8">
        <f t="shared" si="7"/>
        <v>288.33333333333331</v>
      </c>
      <c r="N46" s="8">
        <f>AVERAGE(N37:N39)</f>
        <v>282.66666666666669</v>
      </c>
    </row>
    <row r="47" spans="2:14" x14ac:dyDescent="0.2">
      <c r="B47" s="4" t="s">
        <v>11</v>
      </c>
      <c r="C47" s="2">
        <f>AVERAGE(C40:C42)</f>
        <v>7.31</v>
      </c>
      <c r="D47" s="2">
        <f t="shared" ref="D47:N47" si="8">AVERAGE(D40:D42)</f>
        <v>3.0533333333333332</v>
      </c>
      <c r="E47" s="2">
        <f t="shared" si="8"/>
        <v>4.2566666666666668</v>
      </c>
      <c r="F47" s="2">
        <f t="shared" si="8"/>
        <v>2.6833333333333336</v>
      </c>
      <c r="G47" s="2">
        <f t="shared" si="8"/>
        <v>2.7366666666666668</v>
      </c>
      <c r="H47" s="2">
        <f t="shared" si="8"/>
        <v>2.27</v>
      </c>
      <c r="I47" s="2">
        <f t="shared" si="8"/>
        <v>3.94</v>
      </c>
      <c r="J47" s="2">
        <f t="shared" si="8"/>
        <v>5.4433333333333325</v>
      </c>
      <c r="K47" s="2">
        <f t="shared" si="8"/>
        <v>3.43</v>
      </c>
      <c r="L47" s="2">
        <f t="shared" si="8"/>
        <v>5.07</v>
      </c>
      <c r="M47" s="2">
        <f>AVERAGE(M40:M42)</f>
        <v>3.9366666666666661</v>
      </c>
      <c r="N47" s="2">
        <f t="shared" si="8"/>
        <v>5.0466666666666669</v>
      </c>
    </row>
    <row r="48" spans="2:14" x14ac:dyDescent="0.2">
      <c r="B48" s="5" t="s">
        <v>12</v>
      </c>
      <c r="C48" s="7">
        <f>AVERAGE(C43:C45)</f>
        <v>2.74</v>
      </c>
      <c r="D48" s="7">
        <f t="shared" ref="D48:N48" si="9">AVERAGE(D43:D45)</f>
        <v>2.5733333333333337</v>
      </c>
      <c r="E48" s="7">
        <f t="shared" si="9"/>
        <v>3.1300000000000003</v>
      </c>
      <c r="F48" s="7">
        <f t="shared" si="9"/>
        <v>2.5233333333333334</v>
      </c>
      <c r="G48" s="7">
        <f t="shared" si="9"/>
        <v>2.8066666666666666</v>
      </c>
      <c r="H48" s="7">
        <f t="shared" si="9"/>
        <v>2.0433333333333334</v>
      </c>
      <c r="I48" s="7">
        <f t="shared" si="9"/>
        <v>3.3166666666666664</v>
      </c>
      <c r="J48" s="7">
        <f t="shared" si="9"/>
        <v>5.1533333333333333</v>
      </c>
      <c r="K48" s="7">
        <f t="shared" si="9"/>
        <v>3.3000000000000003</v>
      </c>
      <c r="L48" s="7">
        <f t="shared" si="9"/>
        <v>4.25</v>
      </c>
      <c r="M48" s="7">
        <f t="shared" si="9"/>
        <v>3.8666666666666671</v>
      </c>
      <c r="N48" s="7">
        <f t="shared" si="9"/>
        <v>4.7633333333333328</v>
      </c>
    </row>
    <row r="50" spans="2:14" x14ac:dyDescent="0.2">
      <c r="B50" s="6" t="s">
        <v>28</v>
      </c>
      <c r="C50" s="17" t="s">
        <v>3</v>
      </c>
      <c r="D50" s="17"/>
      <c r="E50" s="17"/>
      <c r="F50" s="17" t="s">
        <v>4</v>
      </c>
      <c r="G50" s="17"/>
      <c r="H50" s="17"/>
      <c r="I50" s="17" t="s">
        <v>5</v>
      </c>
      <c r="J50" s="17"/>
      <c r="K50" s="17"/>
      <c r="L50" s="17" t="s">
        <v>9</v>
      </c>
      <c r="M50" s="17"/>
      <c r="N50" s="17"/>
    </row>
    <row r="51" spans="2:14" x14ac:dyDescent="0.2">
      <c r="B51" t="s">
        <v>35</v>
      </c>
      <c r="C51" s="9">
        <v>62</v>
      </c>
      <c r="D51" s="9">
        <v>62</v>
      </c>
      <c r="E51" s="9">
        <v>62</v>
      </c>
      <c r="F51" s="9">
        <v>132</v>
      </c>
      <c r="G51" s="9">
        <v>132</v>
      </c>
      <c r="H51" s="9">
        <v>132</v>
      </c>
      <c r="I51" s="9">
        <v>200</v>
      </c>
      <c r="J51" s="9">
        <v>200</v>
      </c>
      <c r="K51" s="9">
        <v>200</v>
      </c>
      <c r="L51" s="9">
        <v>285</v>
      </c>
      <c r="M51" s="9">
        <v>285</v>
      </c>
      <c r="N51" s="9">
        <v>285</v>
      </c>
    </row>
    <row r="52" spans="2:14" x14ac:dyDescent="0.2">
      <c r="B52" s="1"/>
      <c r="C52" s="1" t="s">
        <v>0</v>
      </c>
      <c r="D52" s="1" t="s">
        <v>1</v>
      </c>
      <c r="E52" s="1" t="s">
        <v>2</v>
      </c>
      <c r="F52" s="1" t="s">
        <v>0</v>
      </c>
      <c r="G52" s="1" t="s">
        <v>1</v>
      </c>
      <c r="H52" s="1" t="s">
        <v>2</v>
      </c>
      <c r="I52" s="1" t="s">
        <v>0</v>
      </c>
      <c r="J52" s="1" t="s">
        <v>1</v>
      </c>
      <c r="K52" s="1" t="s">
        <v>2</v>
      </c>
      <c r="L52" s="1" t="s">
        <v>0</v>
      </c>
      <c r="M52" s="1" t="s">
        <v>1</v>
      </c>
      <c r="N52" s="1" t="s">
        <v>2</v>
      </c>
    </row>
    <row r="53" spans="2:14" x14ac:dyDescent="0.2">
      <c r="B53" s="18" t="s">
        <v>6</v>
      </c>
      <c r="C53" s="13">
        <v>62.3</v>
      </c>
      <c r="D53" s="13">
        <v>61.2</v>
      </c>
      <c r="E53" s="13">
        <v>60.6</v>
      </c>
      <c r="F53" s="13">
        <v>130</v>
      </c>
      <c r="G53" s="13">
        <v>131</v>
      </c>
      <c r="H53" s="13">
        <v>132</v>
      </c>
      <c r="I53" s="13">
        <v>204</v>
      </c>
      <c r="J53" s="13">
        <v>198</v>
      </c>
      <c r="K53" s="13">
        <v>194</v>
      </c>
      <c r="L53" s="13">
        <v>297</v>
      </c>
      <c r="M53" s="13">
        <v>295</v>
      </c>
      <c r="N53" s="13">
        <v>293</v>
      </c>
    </row>
    <row r="54" spans="2:14" x14ac:dyDescent="0.2">
      <c r="B54" s="19"/>
      <c r="C54" s="13">
        <v>62.4</v>
      </c>
      <c r="D54" s="13">
        <v>61.6</v>
      </c>
      <c r="E54" s="13">
        <v>61.1</v>
      </c>
      <c r="F54" s="13">
        <v>131</v>
      </c>
      <c r="G54" s="13">
        <v>131</v>
      </c>
      <c r="H54" s="13">
        <v>132</v>
      </c>
      <c r="I54" s="13">
        <v>201</v>
      </c>
      <c r="J54" s="13">
        <v>199</v>
      </c>
      <c r="K54" s="13">
        <v>198</v>
      </c>
      <c r="L54" s="13">
        <v>297</v>
      </c>
      <c r="M54" s="13">
        <v>295</v>
      </c>
      <c r="N54" s="13">
        <v>294</v>
      </c>
    </row>
    <row r="55" spans="2:14" x14ac:dyDescent="0.2">
      <c r="B55" s="20"/>
      <c r="C55" s="14">
        <v>62.4</v>
      </c>
      <c r="D55" s="14">
        <v>61.5</v>
      </c>
      <c r="E55" s="14">
        <v>61</v>
      </c>
      <c r="F55" s="14">
        <v>130</v>
      </c>
      <c r="G55" s="14">
        <v>132</v>
      </c>
      <c r="H55" s="14">
        <v>131</v>
      </c>
      <c r="I55" s="14">
        <v>201</v>
      </c>
      <c r="J55" s="14">
        <v>199</v>
      </c>
      <c r="K55" s="14">
        <v>198</v>
      </c>
      <c r="L55" s="14">
        <v>298</v>
      </c>
      <c r="M55" s="14">
        <v>294</v>
      </c>
      <c r="N55" s="14">
        <v>295</v>
      </c>
    </row>
    <row r="56" spans="2:14" x14ac:dyDescent="0.2">
      <c r="B56" s="18" t="s">
        <v>7</v>
      </c>
      <c r="C56" s="13">
        <v>7.22</v>
      </c>
      <c r="D56" s="13">
        <v>7.92</v>
      </c>
      <c r="E56" s="13">
        <v>9.4600000000000009</v>
      </c>
      <c r="F56" s="13">
        <v>11</v>
      </c>
      <c r="G56" s="13">
        <v>12.2</v>
      </c>
      <c r="H56" s="13">
        <v>20.6</v>
      </c>
      <c r="I56" s="13">
        <v>10.199999999999999</v>
      </c>
      <c r="J56" s="13">
        <v>23.1</v>
      </c>
      <c r="K56" s="13">
        <v>33.700000000000003</v>
      </c>
      <c r="L56" s="13">
        <v>30.1</v>
      </c>
      <c r="M56" s="15">
        <v>29.2</v>
      </c>
      <c r="N56" s="15">
        <v>34.799999999999997</v>
      </c>
    </row>
    <row r="57" spans="2:14" x14ac:dyDescent="0.2">
      <c r="B57" s="19"/>
      <c r="C57" s="13">
        <v>7.82</v>
      </c>
      <c r="D57" s="13">
        <v>8.16</v>
      </c>
      <c r="E57" s="13">
        <v>9.19</v>
      </c>
      <c r="F57" s="13">
        <v>14.4</v>
      </c>
      <c r="G57" s="13">
        <v>12.4</v>
      </c>
      <c r="H57" s="13">
        <v>19.8</v>
      </c>
      <c r="I57" s="13">
        <v>10.1</v>
      </c>
      <c r="J57" s="13">
        <v>16.2</v>
      </c>
      <c r="K57" s="13">
        <v>29.9</v>
      </c>
      <c r="L57" s="13">
        <v>30.5</v>
      </c>
      <c r="M57" s="13">
        <v>23.2</v>
      </c>
      <c r="N57" s="13">
        <v>37.299999999999997</v>
      </c>
    </row>
    <row r="58" spans="2:14" x14ac:dyDescent="0.2">
      <c r="B58" s="20"/>
      <c r="C58" s="14">
        <v>8.77</v>
      </c>
      <c r="D58" s="14">
        <v>8.6999999999999993</v>
      </c>
      <c r="E58" s="14">
        <v>9.92</v>
      </c>
      <c r="F58" s="14">
        <v>10.4</v>
      </c>
      <c r="G58" s="14">
        <v>14.1</v>
      </c>
      <c r="H58" s="14">
        <v>18</v>
      </c>
      <c r="I58" s="14">
        <v>8.33</v>
      </c>
      <c r="J58" s="14">
        <v>18</v>
      </c>
      <c r="K58" s="14">
        <v>32</v>
      </c>
      <c r="L58" s="14">
        <v>27.1</v>
      </c>
      <c r="M58" s="14">
        <v>25.6</v>
      </c>
      <c r="N58" s="14">
        <v>38.5</v>
      </c>
    </row>
    <row r="59" spans="2:14" x14ac:dyDescent="0.2">
      <c r="B59" s="18" t="s">
        <v>8</v>
      </c>
      <c r="C59" s="13">
        <v>6.8</v>
      </c>
      <c r="D59" s="13">
        <v>7.68</v>
      </c>
      <c r="E59" s="13">
        <v>8.7200000000000006</v>
      </c>
      <c r="F59" s="13">
        <v>8.93</v>
      </c>
      <c r="G59" s="13">
        <v>10.3</v>
      </c>
      <c r="H59" s="13">
        <v>16.3</v>
      </c>
      <c r="I59" s="13">
        <v>7.02</v>
      </c>
      <c r="J59" s="13">
        <v>13.3</v>
      </c>
      <c r="K59" s="13">
        <v>23.7</v>
      </c>
      <c r="L59" s="13">
        <v>30.3</v>
      </c>
      <c r="M59" s="15">
        <v>18.3</v>
      </c>
      <c r="N59" s="15">
        <v>27.6</v>
      </c>
    </row>
    <row r="60" spans="2:14" x14ac:dyDescent="0.2">
      <c r="B60" s="19"/>
      <c r="C60" s="13">
        <v>7.96</v>
      </c>
      <c r="D60" s="13">
        <v>7.24</v>
      </c>
      <c r="E60" s="13">
        <v>8.9499999999999993</v>
      </c>
      <c r="F60" s="13">
        <v>9.34</v>
      </c>
      <c r="G60" s="13">
        <v>11</v>
      </c>
      <c r="H60" s="13">
        <v>17.3</v>
      </c>
      <c r="I60" s="13">
        <v>8.19</v>
      </c>
      <c r="J60" s="13">
        <v>13.2</v>
      </c>
      <c r="K60" s="13">
        <v>24.3</v>
      </c>
      <c r="L60" s="13">
        <v>24.7</v>
      </c>
      <c r="M60" s="13">
        <v>21.2</v>
      </c>
      <c r="N60" s="13">
        <v>33.4</v>
      </c>
    </row>
    <row r="61" spans="2:14" x14ac:dyDescent="0.2">
      <c r="B61" s="20"/>
      <c r="C61" s="13">
        <v>7.64</v>
      </c>
      <c r="D61" s="13">
        <v>7.58</v>
      </c>
      <c r="E61" s="13">
        <v>8.5500000000000007</v>
      </c>
      <c r="F61" s="13">
        <v>9.89</v>
      </c>
      <c r="G61" s="13">
        <v>9.36</v>
      </c>
      <c r="H61" s="13">
        <v>16.3</v>
      </c>
      <c r="I61" s="13">
        <v>7.74</v>
      </c>
      <c r="J61" s="13">
        <v>12.9</v>
      </c>
      <c r="K61" s="13">
        <v>23</v>
      </c>
      <c r="L61" s="13">
        <v>27.7</v>
      </c>
      <c r="M61" s="13">
        <v>20.8</v>
      </c>
      <c r="N61" s="13">
        <v>30.7</v>
      </c>
    </row>
    <row r="62" spans="2:14" x14ac:dyDescent="0.2">
      <c r="B62" s="3" t="s">
        <v>10</v>
      </c>
      <c r="C62" s="8">
        <f t="shared" ref="C62:L62" si="10">AVERAGE(C53:C55)</f>
        <v>62.366666666666667</v>
      </c>
      <c r="D62" s="8">
        <f t="shared" si="10"/>
        <v>61.433333333333337</v>
      </c>
      <c r="E62" s="8">
        <f t="shared" si="10"/>
        <v>60.9</v>
      </c>
      <c r="F62" s="8">
        <f t="shared" si="10"/>
        <v>130.33333333333334</v>
      </c>
      <c r="G62" s="8">
        <f t="shared" si="10"/>
        <v>131.33333333333334</v>
      </c>
      <c r="H62" s="8">
        <f t="shared" si="10"/>
        <v>131.66666666666666</v>
      </c>
      <c r="I62" s="8">
        <f t="shared" si="10"/>
        <v>202</v>
      </c>
      <c r="J62" s="8">
        <f t="shared" si="10"/>
        <v>198.66666666666666</v>
      </c>
      <c r="K62" s="8">
        <f t="shared" si="10"/>
        <v>196.66666666666666</v>
      </c>
      <c r="L62" s="8">
        <f t="shared" si="10"/>
        <v>297.33333333333331</v>
      </c>
      <c r="M62" s="8">
        <f>AVERAGE(M53:M55)</f>
        <v>294.66666666666669</v>
      </c>
      <c r="N62" s="8">
        <f>AVERAGE(N53:N55)</f>
        <v>294</v>
      </c>
    </row>
    <row r="63" spans="2:14" x14ac:dyDescent="0.2">
      <c r="B63" s="4" t="s">
        <v>11</v>
      </c>
      <c r="C63" s="2">
        <f>AVERAGE(C56:C58)</f>
        <v>7.9366666666666665</v>
      </c>
      <c r="D63" s="2">
        <f t="shared" ref="D63:L63" si="11">AVERAGE(D56:D58)</f>
        <v>8.26</v>
      </c>
      <c r="E63" s="2">
        <f t="shared" si="11"/>
        <v>9.5233333333333334</v>
      </c>
      <c r="F63" s="2">
        <f t="shared" si="11"/>
        <v>11.933333333333332</v>
      </c>
      <c r="G63" s="2">
        <f t="shared" si="11"/>
        <v>12.9</v>
      </c>
      <c r="H63" s="2">
        <f t="shared" si="11"/>
        <v>19.466666666666669</v>
      </c>
      <c r="I63" s="2">
        <f t="shared" si="11"/>
        <v>9.5433333333333312</v>
      </c>
      <c r="J63" s="2">
        <f t="shared" si="11"/>
        <v>19.099999999999998</v>
      </c>
      <c r="K63" s="2">
        <f t="shared" si="11"/>
        <v>31.866666666666664</v>
      </c>
      <c r="L63" s="2">
        <f t="shared" si="11"/>
        <v>29.233333333333334</v>
      </c>
      <c r="M63" s="2">
        <f>AVERAGE(M56:M58)</f>
        <v>26</v>
      </c>
      <c r="N63" s="2">
        <f t="shared" ref="N63" si="12">AVERAGE(N56:N58)</f>
        <v>36.866666666666667</v>
      </c>
    </row>
    <row r="64" spans="2:14" x14ac:dyDescent="0.2">
      <c r="B64" s="5" t="s">
        <v>12</v>
      </c>
      <c r="C64" s="7">
        <f>AVERAGE(C59:C61)</f>
        <v>7.4666666666666659</v>
      </c>
      <c r="D64" s="7">
        <f t="shared" ref="D64:N64" si="13">AVERAGE(D59:D61)</f>
        <v>7.5</v>
      </c>
      <c r="E64" s="7">
        <f t="shared" si="13"/>
        <v>8.74</v>
      </c>
      <c r="F64" s="7">
        <f t="shared" si="13"/>
        <v>9.3866666666666667</v>
      </c>
      <c r="G64" s="7">
        <f t="shared" si="13"/>
        <v>10.220000000000001</v>
      </c>
      <c r="H64" s="7">
        <f t="shared" si="13"/>
        <v>16.633333333333336</v>
      </c>
      <c r="I64" s="7">
        <f t="shared" si="13"/>
        <v>7.6499999999999995</v>
      </c>
      <c r="J64" s="7">
        <f t="shared" si="13"/>
        <v>13.133333333333333</v>
      </c>
      <c r="K64" s="7">
        <f t="shared" si="13"/>
        <v>23.666666666666668</v>
      </c>
      <c r="L64" s="7">
        <f t="shared" si="13"/>
        <v>27.566666666666666</v>
      </c>
      <c r="M64" s="7">
        <f t="shared" si="13"/>
        <v>20.099999999999998</v>
      </c>
      <c r="N64" s="7">
        <f t="shared" si="13"/>
        <v>30.566666666666666</v>
      </c>
    </row>
    <row r="66" spans="2:12" x14ac:dyDescent="0.2">
      <c r="D66" t="s">
        <v>21</v>
      </c>
      <c r="I66" t="s">
        <v>17</v>
      </c>
    </row>
    <row r="67" spans="2:12" x14ac:dyDescent="0.2">
      <c r="B67" t="s">
        <v>16</v>
      </c>
      <c r="C67" t="s">
        <v>36</v>
      </c>
      <c r="D67" t="s">
        <v>19</v>
      </c>
      <c r="E67" t="s">
        <v>18</v>
      </c>
      <c r="F67" t="s">
        <v>22</v>
      </c>
      <c r="G67" t="s">
        <v>23</v>
      </c>
      <c r="I67" t="s">
        <v>19</v>
      </c>
      <c r="J67" t="s">
        <v>18</v>
      </c>
      <c r="K67" t="s">
        <v>22</v>
      </c>
      <c r="L67" t="s">
        <v>23</v>
      </c>
    </row>
    <row r="68" spans="2:12" x14ac:dyDescent="0.2">
      <c r="B68" t="s">
        <v>13</v>
      </c>
      <c r="C68">
        <f>C3</f>
        <v>62</v>
      </c>
      <c r="D68" s="2">
        <f>AVERAGE(C15:E15)</f>
        <v>69.288888888888891</v>
      </c>
      <c r="E68" s="2">
        <f>AVERAGE(C31:E31)</f>
        <v>31.811111111111106</v>
      </c>
      <c r="F68" s="2">
        <f>AVERAGE(C47:E47)</f>
        <v>4.873333333333334</v>
      </c>
      <c r="G68" s="2">
        <f>AVERAGE(C63:E63)</f>
        <v>8.5733333333333324</v>
      </c>
      <c r="I68" s="16">
        <f>STDEV(C15:E15)</f>
        <v>2.2241935700466842</v>
      </c>
      <c r="J68" s="16">
        <f>STDEV(C31:E31)</f>
        <v>3.6375103410824123</v>
      </c>
      <c r="K68" s="16">
        <f>STDEV(C47:E47)</f>
        <v>2.1943133575474367</v>
      </c>
      <c r="L68" s="16">
        <f>STDEV(C63:E63)</f>
        <v>0.83845757859960413</v>
      </c>
    </row>
    <row r="69" spans="2:12" x14ac:dyDescent="0.2">
      <c r="C69">
        <f>F3</f>
        <v>132</v>
      </c>
      <c r="D69" s="2">
        <f>AVERAGE(F15:H15)</f>
        <v>125.1111111111111</v>
      </c>
      <c r="E69" s="2">
        <f>AVERAGE(F31:H31)</f>
        <v>44.066666666666663</v>
      </c>
      <c r="F69" s="2">
        <f>AVERAGE(F47:H47)</f>
        <v>2.563333333333333</v>
      </c>
      <c r="G69" s="2">
        <f>AVERAGE(F63:H63)</f>
        <v>14.766666666666666</v>
      </c>
      <c r="I69" s="16">
        <f>STDEV(F15:H15)</f>
        <v>3.3388842669592731</v>
      </c>
      <c r="J69" s="16">
        <f>STDEV(F31:H31)</f>
        <v>9.7495868858349546</v>
      </c>
      <c r="K69" s="16">
        <f>STDEV(F47:H47)</f>
        <v>0.25542992080890697</v>
      </c>
      <c r="L69" s="16">
        <f>STDEV(F63:H63)</f>
        <v>4.098915845819616</v>
      </c>
    </row>
    <row r="70" spans="2:12" x14ac:dyDescent="0.2">
      <c r="C70">
        <f>I3</f>
        <v>200</v>
      </c>
      <c r="D70" s="2">
        <f>AVERAGE(I15:K15)</f>
        <v>184.33333333333334</v>
      </c>
      <c r="E70" s="2">
        <f>AVERAGE(I31:K31)</f>
        <v>50.24444444444444</v>
      </c>
      <c r="F70" s="2">
        <f>AVERAGE(I47:K47)</f>
        <v>4.2711111111111109</v>
      </c>
      <c r="G70" s="2">
        <f>AVERAGE(I63:K63)</f>
        <v>20.169999999999998</v>
      </c>
      <c r="I70" s="16">
        <f>STDEV(I15:K15)</f>
        <v>24.360715187457966</v>
      </c>
      <c r="J70" s="16">
        <f>STDEV(I31:K31)</f>
        <v>6.0048437238739325</v>
      </c>
      <c r="K70" s="16">
        <f>STDEV(I47:K47)</f>
        <v>1.0467108978622983</v>
      </c>
      <c r="L70" s="16">
        <f>STDEV(I63:K63)</f>
        <v>11.200065972027923</v>
      </c>
    </row>
    <row r="71" spans="2:12" x14ac:dyDescent="0.2">
      <c r="C71">
        <v>285</v>
      </c>
      <c r="D71" s="2">
        <f>AVERAGE(L15:N15)</f>
        <v>268</v>
      </c>
      <c r="E71" s="2">
        <f>AVERAGE(L31:N31)</f>
        <v>63.866666666666667</v>
      </c>
      <c r="F71" s="2">
        <f>AVERAGE(L47:N47)</f>
        <v>4.684444444444444</v>
      </c>
      <c r="G71" s="2">
        <f>AVERAGE(L63:N63)</f>
        <v>30.7</v>
      </c>
      <c r="I71" s="16">
        <f>STDEV(L15:N15)</f>
        <v>19.530602767053672</v>
      </c>
      <c r="J71" s="16">
        <f>STDEV(L31:N31)</f>
        <v>15.753518125591315</v>
      </c>
      <c r="K71" s="16">
        <f>STDEV(L47:N47)</f>
        <v>0.64769963317483648</v>
      </c>
      <c r="L71" s="16">
        <f>STDEV(L63:N63)</f>
        <v>5.5798247682561346</v>
      </c>
    </row>
    <row r="72" spans="2:12" x14ac:dyDescent="0.2">
      <c r="I72" s="16"/>
      <c r="J72" s="16"/>
      <c r="K72" s="16"/>
      <c r="L72" s="16"/>
    </row>
    <row r="73" spans="2:12" x14ac:dyDescent="0.2">
      <c r="I73" s="16"/>
      <c r="J73" s="16"/>
      <c r="K73" s="16"/>
      <c r="L73" s="16"/>
    </row>
    <row r="74" spans="2:12" x14ac:dyDescent="0.2">
      <c r="B74" t="s">
        <v>14</v>
      </c>
      <c r="C74">
        <f>C3</f>
        <v>62</v>
      </c>
      <c r="D74" s="2">
        <f>AVERAGE(C16:E16)</f>
        <v>24.288888888888891</v>
      </c>
      <c r="E74" s="2">
        <f>AVERAGE(C32:E32)</f>
        <v>16.555555555555557</v>
      </c>
      <c r="F74" s="2">
        <f>AVERAGE(C48:E48)</f>
        <v>2.8144444444444452</v>
      </c>
      <c r="G74" s="2">
        <f>AVERAGE(C64:E64)</f>
        <v>7.9022222222222211</v>
      </c>
      <c r="I74" s="16">
        <f>STDEV(C16:E16)</f>
        <v>0.28349668493717878</v>
      </c>
      <c r="J74" s="16">
        <f>STDEV(C32:E32)</f>
        <v>1.5952475716373344</v>
      </c>
      <c r="K74" s="16">
        <f>STDEV(C48:E48)</f>
        <v>0.28570251298496824</v>
      </c>
      <c r="L74" s="16">
        <f>STDEV(C64:E64)</f>
        <v>0.72572824216884513</v>
      </c>
    </row>
    <row r="75" spans="2:12" x14ac:dyDescent="0.2">
      <c r="C75">
        <f>C69</f>
        <v>132</v>
      </c>
      <c r="D75" s="2">
        <f>AVERAGE(F16:H16)</f>
        <v>50.533333333333339</v>
      </c>
      <c r="E75" s="2">
        <f>AVERAGE(F32:H32)</f>
        <v>30.188888888888886</v>
      </c>
      <c r="F75" s="2">
        <f>AVERAGE(F48:H48)</f>
        <v>2.4577777777777778</v>
      </c>
      <c r="G75" s="2">
        <f>AVERAGE(F64:H64)</f>
        <v>12.080000000000004</v>
      </c>
      <c r="I75" s="16">
        <f>STDEV(F16:H16)</f>
        <v>6.1547632863588744</v>
      </c>
      <c r="J75" s="16">
        <f>STDEV(F32:H32)</f>
        <v>4.1873265580443597</v>
      </c>
      <c r="K75" s="16">
        <f>STDEV(F48:H48)</f>
        <v>0.38586602933219183</v>
      </c>
      <c r="L75" s="16">
        <f>STDEV(F64:H64)</f>
        <v>3.9652546506428044</v>
      </c>
    </row>
    <row r="76" spans="2:12" x14ac:dyDescent="0.2">
      <c r="C76">
        <f>C70</f>
        <v>200</v>
      </c>
      <c r="D76" s="2">
        <f>AVERAGE(I16:K16)</f>
        <v>67.12222222222222</v>
      </c>
      <c r="E76" s="2">
        <f>AVERAGE(I32:K32)</f>
        <v>42.066666666666663</v>
      </c>
      <c r="F76" s="2">
        <f>AVERAGE(I48:K48)</f>
        <v>3.9233333333333333</v>
      </c>
      <c r="G76" s="2">
        <f>AVERAGE(I64:K64)</f>
        <v>14.816666666666668</v>
      </c>
      <c r="I76" s="16">
        <f>STDEV(I16:K16)</f>
        <v>14.417594703591703</v>
      </c>
      <c r="J76" s="16">
        <f>STDEV(I32:K32)</f>
        <v>8.1723789546115668</v>
      </c>
      <c r="K76" s="16">
        <f>STDEV(I48:K48)</f>
        <v>1.0652438427160456</v>
      </c>
      <c r="L76" s="16">
        <f>STDEV(I64:K64)</f>
        <v>8.1399392572126192</v>
      </c>
    </row>
    <row r="77" spans="2:12" x14ac:dyDescent="0.2">
      <c r="C77">
        <v>285</v>
      </c>
      <c r="D77" s="2">
        <f>AVERAGE(L16:N16)</f>
        <v>136.88888888888889</v>
      </c>
      <c r="E77" s="2">
        <f>AVERAGE(L32:N32)</f>
        <v>63.244444444444447</v>
      </c>
      <c r="F77" s="2">
        <f>AVERAGE(L48:N48)</f>
        <v>4.293333333333333</v>
      </c>
      <c r="G77" s="2">
        <f>AVERAGE(L64:N64)</f>
        <v>26.077777777777779</v>
      </c>
      <c r="I77" s="16">
        <f>STDEV(L16:N16)</f>
        <v>22.687082309184245</v>
      </c>
      <c r="J77" s="16">
        <f>STDEV(L32:N32)</f>
        <v>15.811681101617824</v>
      </c>
      <c r="K77" s="16">
        <f>STDEV(L48:N48)</f>
        <v>0.44990122372706509</v>
      </c>
      <c r="L77" s="16">
        <f>STDEV(L64:N64)</f>
        <v>5.3898395495942539</v>
      </c>
    </row>
    <row r="79" spans="2:12" x14ac:dyDescent="0.2">
      <c r="B79" t="s">
        <v>25</v>
      </c>
      <c r="C79">
        <v>0</v>
      </c>
      <c r="D79">
        <v>12.5</v>
      </c>
    </row>
    <row r="80" spans="2:12" x14ac:dyDescent="0.2">
      <c r="C80">
        <v>300</v>
      </c>
      <c r="D80" s="2">
        <v>12.5</v>
      </c>
    </row>
    <row r="106" spans="6:13" x14ac:dyDescent="0.2">
      <c r="F106" s="2"/>
      <c r="G106" s="2"/>
      <c r="I106" s="2"/>
      <c r="J106" s="2"/>
      <c r="L106" s="2"/>
      <c r="M106" s="2"/>
    </row>
    <row r="107" spans="6:13" x14ac:dyDescent="0.2">
      <c r="F107" s="2"/>
      <c r="G107" s="2"/>
      <c r="I107" s="2"/>
      <c r="J107" s="2"/>
      <c r="L107" s="2"/>
      <c r="M107" s="2"/>
    </row>
    <row r="108" spans="6:13" x14ac:dyDescent="0.2">
      <c r="F108" s="2"/>
      <c r="G108" s="2"/>
      <c r="I108" s="2"/>
      <c r="J108" s="2"/>
      <c r="L108" s="2"/>
      <c r="M108" s="2"/>
    </row>
  </sheetData>
  <mergeCells count="25">
    <mergeCell ref="B8:B10"/>
    <mergeCell ref="C2:E2"/>
    <mergeCell ref="F2:H2"/>
    <mergeCell ref="I2:K2"/>
    <mergeCell ref="L2:N2"/>
    <mergeCell ref="B5:B7"/>
    <mergeCell ref="L34:N34"/>
    <mergeCell ref="B11:B13"/>
    <mergeCell ref="C18:E18"/>
    <mergeCell ref="F18:H18"/>
    <mergeCell ref="I18:K18"/>
    <mergeCell ref="L18:N18"/>
    <mergeCell ref="B21:B23"/>
    <mergeCell ref="B24:B26"/>
    <mergeCell ref="B27:B29"/>
    <mergeCell ref="C34:E34"/>
    <mergeCell ref="F34:H34"/>
    <mergeCell ref="I34:K34"/>
    <mergeCell ref="B59:B61"/>
    <mergeCell ref="C50:E50"/>
    <mergeCell ref="F50:H50"/>
    <mergeCell ref="I50:K50"/>
    <mergeCell ref="L50:N50"/>
    <mergeCell ref="B53:B55"/>
    <mergeCell ref="B56:B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 5a</vt:lpstr>
      <vt:lpstr>fig 5b</vt:lpstr>
      <vt:lpstr>fig 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Armstrong</dc:creator>
  <cp:lastModifiedBy>Owen Armstrong</cp:lastModifiedBy>
  <dcterms:created xsi:type="dcterms:W3CDTF">2024-10-09T20:29:59Z</dcterms:created>
  <dcterms:modified xsi:type="dcterms:W3CDTF">2026-04-13T15:56:51Z</dcterms:modified>
</cp:coreProperties>
</file>