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Data Feb 2026/"/>
    </mc:Choice>
  </mc:AlternateContent>
  <xr:revisionPtr revIDLastSave="5" documentId="8_{21ACB38A-E544-4447-BD3A-A4F46A5E719C}" xr6:coauthVersionLast="47" xr6:coauthVersionMax="47" xr10:uidLastSave="{9FD701BC-0390-5E41-9837-C7F8A2A90B7D}"/>
  <bookViews>
    <workbookView xWindow="6560" yWindow="2400" windowWidth="28040" windowHeight="16240" activeTab="2" xr2:uid="{36C91ACA-3DC8-1546-A93B-CE523D3EBB54}"/>
  </bookViews>
  <sheets>
    <sheet name="Fig S3a" sheetId="3" r:id="rId1"/>
    <sheet name="Fig S3b" sheetId="2" r:id="rId2"/>
    <sheet name="Fig S8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  <c r="F8" i="3"/>
  <c r="E8" i="3"/>
  <c r="D8" i="3"/>
</calcChain>
</file>

<file path=xl/sharedStrings.xml><?xml version="1.0" encoding="utf-8"?>
<sst xmlns="http://schemas.openxmlformats.org/spreadsheetml/2006/main" count="16" uniqueCount="13">
  <si>
    <t>additional NaCl (mM)</t>
  </si>
  <si>
    <t>conductivity (mS/cm)</t>
  </si>
  <si>
    <t>TSS (mg/L)</t>
  </si>
  <si>
    <t>turbidity (NTU)</t>
  </si>
  <si>
    <t>R1</t>
  </si>
  <si>
    <t>R2</t>
  </si>
  <si>
    <t>R3</t>
  </si>
  <si>
    <t>pH</t>
  </si>
  <si>
    <t>zeta potential (mV)</t>
  </si>
  <si>
    <t>R4</t>
  </si>
  <si>
    <t>R5</t>
  </si>
  <si>
    <t>av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</si>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</sst>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7667859522982"/>
          <c:y val="5.0925925925925923E-2"/>
          <c:w val="0.77578184860861144"/>
          <c:h val="0.7828960104129089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'[1]April 14 2025 round 2'!$B$44</c:f>
              <c:strCache>
                <c:ptCount val="1"/>
                <c:pt idx="0">
                  <c:v>zero line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5875" cap="flat">
                <a:solidFill>
                  <a:schemeClr val="bg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C-274A-8706-3C224936EB5F}"/>
              </c:ext>
            </c:extLst>
          </c:dPt>
          <c:xVal>
            <c:numRef>
              <c:f>'[1]April 14 2025 round 2'!$C$44:$C$45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'[1]April 14 2025 round 2'!$D$44:$D$45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C-274A-8706-3C224936EB5F}"/>
            </c:ext>
          </c:extLst>
        </c:ser>
        <c:ser>
          <c:idx val="0"/>
          <c:order val="1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S3a'!$D$9:$F$9</c:f>
                <c:numCache>
                  <c:formatCode>General</c:formatCode>
                  <c:ptCount val="3"/>
                  <c:pt idx="0">
                    <c:v>2.967536014945733</c:v>
                  </c:pt>
                  <c:pt idx="1">
                    <c:v>1.8220784834907628</c:v>
                  </c:pt>
                  <c:pt idx="2">
                    <c:v>3.2097196139226871</c:v>
                  </c:pt>
                </c:numCache>
              </c:numRef>
            </c:plus>
            <c:minus>
              <c:numRef>
                <c:f>'Fig S3a'!$D$9:$F$9</c:f>
                <c:numCache>
                  <c:formatCode>General</c:formatCode>
                  <c:ptCount val="3"/>
                  <c:pt idx="0">
                    <c:v>2.967536014945733</c:v>
                  </c:pt>
                  <c:pt idx="1">
                    <c:v>1.8220784834907628</c:v>
                  </c:pt>
                  <c:pt idx="2">
                    <c:v>3.2097196139226871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S3a'!$D$2:$F$2</c:f>
              <c:numCache>
                <c:formatCode>General</c:formatCode>
                <c:ptCount val="3"/>
                <c:pt idx="0">
                  <c:v>7</c:v>
                </c:pt>
                <c:pt idx="1">
                  <c:v>7.7</c:v>
                </c:pt>
                <c:pt idx="2">
                  <c:v>8.9</c:v>
                </c:pt>
              </c:numCache>
            </c:numRef>
          </c:xVal>
          <c:yVal>
            <c:numRef>
              <c:f>'Fig S3a'!$D$8:$F$8</c:f>
              <c:numCache>
                <c:formatCode>General</c:formatCode>
                <c:ptCount val="3"/>
                <c:pt idx="0">
                  <c:v>-39.787999999999997</c:v>
                </c:pt>
                <c:pt idx="1">
                  <c:v>-44.251999999999995</c:v>
                </c:pt>
                <c:pt idx="2">
                  <c:v>-48.38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DC-274A-8706-3C224936E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9"/>
          <c:min val="6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0.3"/>
      </c:valAx>
      <c:valAx>
        <c:axId val="1229934895"/>
        <c:scaling>
          <c:orientation val="minMax"/>
          <c:max val="10"/>
          <c:min val="-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zeta potential (mV)</a:t>
                </a:r>
              </a:p>
            </c:rich>
          </c:tx>
          <c:layout>
            <c:manualLayout>
              <c:xMode val="edge"/>
              <c:yMode val="edge"/>
              <c:x val="3.2646241262314524E-2"/>
              <c:y val="0.1455910769757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63562211119495"/>
          <c:y val="8.5542308846311643E-2"/>
          <c:w val="0.78560891377084996"/>
          <c:h val="0.7510326922252634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53700446662334"/>
                  <c:y val="8.0436100446387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'Fig S3b'!$B$10:$B$24</c:f>
              <c:numCache>
                <c:formatCode>General</c:formatCode>
                <c:ptCount val="15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'Fig S3b'!$C$10:$C$24</c:f>
              <c:numCache>
                <c:formatCode>General</c:formatCode>
                <c:ptCount val="15"/>
                <c:pt idx="0">
                  <c:v>60.7</c:v>
                </c:pt>
                <c:pt idx="1">
                  <c:v>61.2</c:v>
                </c:pt>
                <c:pt idx="2">
                  <c:v>61.1</c:v>
                </c:pt>
                <c:pt idx="3">
                  <c:v>42.9</c:v>
                </c:pt>
                <c:pt idx="4">
                  <c:v>41.9</c:v>
                </c:pt>
                <c:pt idx="5">
                  <c:v>40.700000000000003</c:v>
                </c:pt>
                <c:pt idx="6">
                  <c:v>24.1</c:v>
                </c:pt>
                <c:pt idx="7">
                  <c:v>24</c:v>
                </c:pt>
                <c:pt idx="8">
                  <c:v>24.1</c:v>
                </c:pt>
                <c:pt idx="9">
                  <c:v>8.26</c:v>
                </c:pt>
                <c:pt idx="10">
                  <c:v>8.56</c:v>
                </c:pt>
                <c:pt idx="11">
                  <c:v>8.11</c:v>
                </c:pt>
                <c:pt idx="12">
                  <c:v>0.84</c:v>
                </c:pt>
                <c:pt idx="13">
                  <c:v>0.79</c:v>
                </c:pt>
                <c:pt idx="1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6-5349-AB85-438E6FDA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25855"/>
        <c:axId val="957520191"/>
      </c:scatterChart>
      <c:valAx>
        <c:axId val="95752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/>
                  <a:t>TSS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7520191"/>
        <c:crosses val="autoZero"/>
        <c:crossBetween val="midCat"/>
        <c:majorUnit val="10"/>
      </c:valAx>
      <c:valAx>
        <c:axId val="95752019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/>
                  <a:t>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752585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63562211119495"/>
          <c:y val="8.5542308846311643E-2"/>
          <c:w val="0.78560891377084996"/>
          <c:h val="0.7510326922252634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53700446662334"/>
                  <c:y val="8.0436100446387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'Fig S8'!$B$3:$B$7</c:f>
              <c:numCache>
                <c:formatCode>General</c:formatCode>
                <c:ptCount val="5"/>
                <c:pt idx="0">
                  <c:v>0</c:v>
                </c:pt>
                <c:pt idx="1">
                  <c:v>0.78</c:v>
                </c:pt>
                <c:pt idx="2">
                  <c:v>9.2799999999999994</c:v>
                </c:pt>
                <c:pt idx="3">
                  <c:v>19.28</c:v>
                </c:pt>
                <c:pt idx="4">
                  <c:v>37.28</c:v>
                </c:pt>
              </c:numCache>
            </c:numRef>
          </c:xVal>
          <c:yVal>
            <c:numRef>
              <c:f>'Fig S8'!$C$3:$C$7</c:f>
              <c:numCache>
                <c:formatCode>General</c:formatCode>
                <c:ptCount val="5"/>
                <c:pt idx="0">
                  <c:v>0.39</c:v>
                </c:pt>
                <c:pt idx="1">
                  <c:v>0.51</c:v>
                </c:pt>
                <c:pt idx="2">
                  <c:v>1.56</c:v>
                </c:pt>
                <c:pt idx="3">
                  <c:v>2.77</c:v>
                </c:pt>
                <c:pt idx="4">
                  <c:v>4.8499999999999996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3-D54F-A479-548E2B68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25855"/>
        <c:axId val="957520191"/>
      </c:scatterChart>
      <c:valAx>
        <c:axId val="95752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/>
                  <a:t>additional NaCl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7520191"/>
        <c:crosses val="autoZero"/>
        <c:crossBetween val="midCat"/>
      </c:valAx>
      <c:valAx>
        <c:axId val="95752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/>
                  <a:t>conductivity (mS/cm)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752585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234757</xdr:colOff>
      <xdr:row>0</xdr:row>
      <xdr:rowOff>143164</xdr:rowOff>
    </xdr:from>
    <xdr:to>
      <xdr:col>9</xdr:col>
      <xdr:colOff>108107</xdr:colOff>
      <xdr:row>8</xdr:row>
      <xdr:rowOff>147865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88DE5-8C6A-994B-995C-49AFEFAEB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10</xdr:row>
      <xdr:rowOff>190500</xdr:rowOff>
    </xdr:from>
    <xdr:to>
      <xdr:col>7</xdr:col>
      <xdr:colOff>80766</xdr:colOff>
      <xdr:row>18</xdr:row>
      <xdr:rowOff>198010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105F1-6CEB-524D-AAC4-DB566387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50321</xdr:colOff>
      <xdr:row>0</xdr:row>
      <xdr:rowOff>25058</xdr:rowOff>
    </xdr:from>
    <xdr:to>
      <xdr:col>6</xdr:col>
      <xdr:colOff>739321</xdr:colOff>
      <xdr:row>8</xdr:row>
      <xdr:rowOff>19458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1B416-4B39-C267-1301-A5727357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1_Characterizations/12.19.24_ZetaPotential.xlsx" TargetMode="External"/><Relationship Id="rId1" Type="http://schemas.openxmlformats.org/officeDocument/2006/relationships/externalLinkPath" Target="/personal/owen_armstrong_mail_mcgill_ca/Documents/GRAD%20SCHOOL/Projects/Armstrong%20et%20al_/1_Characterizations/12.19.24_ZetaPotent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pril 14 2025 round 2"/>
      <sheetName val="zeta of SiO2 particles"/>
    </sheetNames>
    <sheetDataSet>
      <sheetData sheetId="0"/>
      <sheetData sheetId="1">
        <row r="44">
          <cell r="B44" t="str">
            <v>zero line</v>
          </cell>
          <cell r="C44">
            <v>0</v>
          </cell>
          <cell r="D44">
            <v>0</v>
          </cell>
        </row>
        <row r="45">
          <cell r="C45">
            <v>10</v>
          </cell>
          <cell r="D45">
            <v>0</v>
          </cell>
        </row>
      </sheetData>
      <sheetData sheetId="2">
        <row r="4">
          <cell r="D4">
            <v>7</v>
          </cell>
          <cell r="E4">
            <v>7.7</v>
          </cell>
          <cell r="F4">
            <v>8.9</v>
          </cell>
        </row>
        <row r="10">
          <cell r="D10">
            <v>-39.787999999999997</v>
          </cell>
          <cell r="E10">
            <v>-44.251999999999995</v>
          </cell>
          <cell r="F10">
            <v>-48.38</v>
          </cell>
        </row>
        <row r="11">
          <cell r="D11">
            <v>2.967536014945733</v>
          </cell>
          <cell r="E11">
            <v>1.8220784834907628</v>
          </cell>
          <cell r="F11">
            <v>3.2097196139226871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994E-B70B-E34E-9D93-09CD4A4517D0}">
  <dimension ref="B2:F9"/>
  <sheetViews>
    <sheetView zoomScale="165" zoomScaleNormal="165" workbookViewId="0">
      <selection activeCell="G13" sqref="G13"/>
    </sheetView>
  </sheetViews>
  <sheetFormatPr baseColWidth="10" defaultRowHeight="16" x14ac:dyDescent="0.2"/>
  <sheetData>
    <row r="2" spans="2:6" x14ac:dyDescent="0.2">
      <c r="C2" t="s">
        <v>7</v>
      </c>
      <c r="D2">
        <v>7</v>
      </c>
      <c r="E2">
        <v>7.7</v>
      </c>
      <c r="F2">
        <v>8.9</v>
      </c>
    </row>
    <row r="3" spans="2:6" x14ac:dyDescent="0.2">
      <c r="B3" t="s">
        <v>8</v>
      </c>
      <c r="C3" t="s">
        <v>4</v>
      </c>
      <c r="D3">
        <v>-38.01</v>
      </c>
      <c r="E3">
        <v>-43.06</v>
      </c>
      <c r="F3">
        <v>-48.05</v>
      </c>
    </row>
    <row r="4" spans="2:6" x14ac:dyDescent="0.2">
      <c r="C4" t="s">
        <v>5</v>
      </c>
      <c r="D4">
        <v>-40.93</v>
      </c>
      <c r="E4">
        <v>-42.72</v>
      </c>
      <c r="F4">
        <v>-52.39</v>
      </c>
    </row>
    <row r="5" spans="2:6" x14ac:dyDescent="0.2">
      <c r="C5" t="s">
        <v>6</v>
      </c>
      <c r="D5">
        <v>-44</v>
      </c>
      <c r="E5">
        <v>-43.25</v>
      </c>
      <c r="F5">
        <v>-44.5</v>
      </c>
    </row>
    <row r="6" spans="2:6" x14ac:dyDescent="0.2">
      <c r="C6" t="s">
        <v>9</v>
      </c>
      <c r="D6">
        <v>-39.82</v>
      </c>
      <c r="E6">
        <v>-47</v>
      </c>
      <c r="F6">
        <v>-50.71</v>
      </c>
    </row>
    <row r="7" spans="2:6" x14ac:dyDescent="0.2">
      <c r="C7" t="s">
        <v>10</v>
      </c>
      <c r="D7">
        <v>-36.18</v>
      </c>
      <c r="E7">
        <v>-45.23</v>
      </c>
      <c r="F7">
        <v>-46.25</v>
      </c>
    </row>
    <row r="8" spans="2:6" x14ac:dyDescent="0.2">
      <c r="B8" t="s">
        <v>11</v>
      </c>
      <c r="D8">
        <f>AVERAGE(D3:D7)</f>
        <v>-39.787999999999997</v>
      </c>
      <c r="E8">
        <f>AVERAGE(E3:E7)</f>
        <v>-44.251999999999995</v>
      </c>
      <c r="F8">
        <f>AVERAGE(F3:F7)</f>
        <v>-48.38</v>
      </c>
    </row>
    <row r="9" spans="2:6" x14ac:dyDescent="0.2">
      <c r="B9" t="s">
        <v>12</v>
      </c>
      <c r="D9">
        <f>STDEV(D3:D7)</f>
        <v>2.967536014945733</v>
      </c>
      <c r="E9">
        <f>STDEV(E3:E7)</f>
        <v>1.8220784834907628</v>
      </c>
      <c r="F9">
        <f>STDEV(F3:F7)</f>
        <v>3.2097196139226871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DA8E-BA41-3A49-B152-5C159A928499}">
  <dimension ref="B2:E24"/>
  <sheetViews>
    <sheetView zoomScale="200" workbookViewId="0">
      <selection activeCell="A18" sqref="A18"/>
    </sheetView>
  </sheetViews>
  <sheetFormatPr baseColWidth="10" defaultRowHeight="16" x14ac:dyDescent="0.2"/>
  <sheetData>
    <row r="2" spans="2:5" x14ac:dyDescent="0.2">
      <c r="C2" t="s">
        <v>3</v>
      </c>
    </row>
    <row r="3" spans="2:5" x14ac:dyDescent="0.2">
      <c r="B3" t="s">
        <v>2</v>
      </c>
      <c r="C3" t="s">
        <v>4</v>
      </c>
      <c r="D3" t="s">
        <v>5</v>
      </c>
      <c r="E3" t="s">
        <v>6</v>
      </c>
    </row>
    <row r="4" spans="2:5" x14ac:dyDescent="0.2">
      <c r="B4">
        <v>56</v>
      </c>
      <c r="C4">
        <v>60.7</v>
      </c>
      <c r="D4">
        <v>61.2</v>
      </c>
      <c r="E4">
        <v>61.1</v>
      </c>
    </row>
    <row r="5" spans="2:5" x14ac:dyDescent="0.2">
      <c r="B5">
        <v>40</v>
      </c>
      <c r="C5">
        <v>42.9</v>
      </c>
      <c r="D5">
        <v>41.9</v>
      </c>
      <c r="E5">
        <v>40.700000000000003</v>
      </c>
    </row>
    <row r="6" spans="2:5" x14ac:dyDescent="0.2">
      <c r="B6">
        <v>24</v>
      </c>
      <c r="C6">
        <v>24.1</v>
      </c>
      <c r="D6">
        <v>24</v>
      </c>
      <c r="E6">
        <v>24.1</v>
      </c>
    </row>
    <row r="7" spans="2:5" x14ac:dyDescent="0.2">
      <c r="B7">
        <v>8</v>
      </c>
      <c r="C7">
        <v>8.26</v>
      </c>
      <c r="D7">
        <v>8.56</v>
      </c>
      <c r="E7">
        <v>8.11</v>
      </c>
    </row>
    <row r="8" spans="2:5" x14ac:dyDescent="0.2">
      <c r="B8">
        <v>0</v>
      </c>
      <c r="C8">
        <v>0.84</v>
      </c>
      <c r="D8">
        <v>0.79</v>
      </c>
      <c r="E8">
        <v>0.8</v>
      </c>
    </row>
    <row r="10" spans="2:5" x14ac:dyDescent="0.2">
      <c r="B10">
        <v>56</v>
      </c>
      <c r="C10">
        <v>60.7</v>
      </c>
    </row>
    <row r="11" spans="2:5" x14ac:dyDescent="0.2">
      <c r="B11">
        <v>56</v>
      </c>
      <c r="C11">
        <v>61.2</v>
      </c>
    </row>
    <row r="12" spans="2:5" x14ac:dyDescent="0.2">
      <c r="B12">
        <v>56</v>
      </c>
      <c r="C12">
        <v>61.1</v>
      </c>
    </row>
    <row r="13" spans="2:5" x14ac:dyDescent="0.2">
      <c r="B13">
        <v>40</v>
      </c>
      <c r="C13">
        <v>42.9</v>
      </c>
    </row>
    <row r="14" spans="2:5" x14ac:dyDescent="0.2">
      <c r="B14">
        <v>40</v>
      </c>
      <c r="C14">
        <v>41.9</v>
      </c>
    </row>
    <row r="15" spans="2:5" x14ac:dyDescent="0.2">
      <c r="B15">
        <v>40</v>
      </c>
      <c r="C15">
        <v>40.700000000000003</v>
      </c>
    </row>
    <row r="16" spans="2:5" x14ac:dyDescent="0.2">
      <c r="B16">
        <v>24</v>
      </c>
      <c r="C16">
        <v>24.1</v>
      </c>
    </row>
    <row r="17" spans="2:3" x14ac:dyDescent="0.2">
      <c r="B17">
        <v>24</v>
      </c>
      <c r="C17">
        <v>24</v>
      </c>
    </row>
    <row r="18" spans="2:3" x14ac:dyDescent="0.2">
      <c r="B18">
        <v>24</v>
      </c>
      <c r="C18">
        <v>24.1</v>
      </c>
    </row>
    <row r="19" spans="2:3" x14ac:dyDescent="0.2">
      <c r="B19">
        <v>8</v>
      </c>
      <c r="C19">
        <v>8.26</v>
      </c>
    </row>
    <row r="20" spans="2:3" x14ac:dyDescent="0.2">
      <c r="B20">
        <v>8</v>
      </c>
      <c r="C20">
        <v>8.56</v>
      </c>
    </row>
    <row r="21" spans="2:3" x14ac:dyDescent="0.2">
      <c r="B21">
        <v>8</v>
      </c>
      <c r="C21">
        <v>8.11</v>
      </c>
    </row>
    <row r="22" spans="2:3" x14ac:dyDescent="0.2">
      <c r="B22">
        <v>0</v>
      </c>
      <c r="C22">
        <v>0.84</v>
      </c>
    </row>
    <row r="23" spans="2:3" x14ac:dyDescent="0.2">
      <c r="B23">
        <v>0</v>
      </c>
      <c r="C23">
        <v>0.79</v>
      </c>
    </row>
    <row r="24" spans="2:3" x14ac:dyDescent="0.2">
      <c r="B24">
        <v>0</v>
      </c>
      <c r="C24">
        <v>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F85A-9F6B-E64A-A2F9-DAEA05BCB5AA}">
  <dimension ref="B2:C7"/>
  <sheetViews>
    <sheetView tabSelected="1" topLeftCell="B1" zoomScale="186" zoomScaleNormal="186" workbookViewId="0">
      <selection activeCell="E13" sqref="E13"/>
    </sheetView>
  </sheetViews>
  <sheetFormatPr baseColWidth="10" defaultRowHeight="16" x14ac:dyDescent="0.2"/>
  <cols>
    <col min="2" max="2" width="20.6640625" customWidth="1"/>
  </cols>
  <sheetData>
    <row r="2" spans="2:3" x14ac:dyDescent="0.2">
      <c r="B2" t="s">
        <v>0</v>
      </c>
      <c r="C2" t="s">
        <v>1</v>
      </c>
    </row>
    <row r="3" spans="2:3" x14ac:dyDescent="0.2">
      <c r="B3">
        <v>0</v>
      </c>
      <c r="C3">
        <v>0.39</v>
      </c>
    </row>
    <row r="4" spans="2:3" x14ac:dyDescent="0.2">
      <c r="B4">
        <v>0.78</v>
      </c>
      <c r="C4">
        <v>0.51</v>
      </c>
    </row>
    <row r="5" spans="2:3" x14ac:dyDescent="0.2">
      <c r="B5">
        <v>9.2799999999999994</v>
      </c>
      <c r="C5">
        <v>1.56</v>
      </c>
    </row>
    <row r="6" spans="2:3" x14ac:dyDescent="0.2">
      <c r="B6">
        <v>19.28</v>
      </c>
      <c r="C6">
        <v>2.77</v>
      </c>
    </row>
    <row r="7" spans="2:3" x14ac:dyDescent="0.2">
      <c r="B7">
        <v>37.28</v>
      </c>
      <c r="C7">
        <v>4.8499999999999996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S3a</vt:lpstr>
      <vt:lpstr>Fig S3b</vt:lpstr>
      <vt:lpstr>Fig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2025-06-13T21:32:40Z</dcterms:created>
  <dcterms:modified xsi:type="dcterms:W3CDTF">2026-02-04T22:02:46Z</dcterms:modified>
</cp:coreProperties>
</file>