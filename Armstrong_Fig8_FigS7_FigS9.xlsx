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48A530B9-8B2B-424C-AAEB-178D4A311E2D}" xr6:coauthVersionLast="47" xr6:coauthVersionMax="47" xr10:uidLastSave="{00000000-0000-0000-0000-000000000000}"/>
  <bookViews>
    <workbookView xWindow="2060" yWindow="1220" windowWidth="38400" windowHeight="19820" activeTab="1" xr2:uid="{980CDB93-2DAD-1F4F-B6DF-9E59BE5E07BA}"/>
  </bookViews>
  <sheets>
    <sheet name="Fig 8, Fig S7" sheetId="1" r:id="rId1"/>
    <sheet name="Fig S9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F33" i="2"/>
  <c r="F32" i="2"/>
  <c r="F31" i="2"/>
  <c r="F30" i="2"/>
  <c r="D33" i="2"/>
  <c r="D32" i="2"/>
  <c r="D31" i="2"/>
  <c r="D30" i="2"/>
  <c r="C30" i="2"/>
  <c r="D21" i="2"/>
  <c r="F25" i="2"/>
  <c r="F26" i="2"/>
  <c r="F27" i="2"/>
  <c r="F28" i="2"/>
  <c r="F20" i="2"/>
  <c r="F21" i="2"/>
  <c r="F22" i="2"/>
  <c r="F23" i="2"/>
  <c r="D25" i="2"/>
  <c r="C25" i="2"/>
  <c r="D28" i="2"/>
  <c r="D27" i="2"/>
  <c r="D26" i="2"/>
  <c r="D23" i="2"/>
  <c r="D20" i="2"/>
  <c r="C20" i="2"/>
  <c r="D22" i="2"/>
  <c r="C13" i="2"/>
  <c r="D13" i="2"/>
  <c r="E13" i="2"/>
  <c r="C12" i="2"/>
  <c r="D12" i="2"/>
  <c r="E12" i="2"/>
  <c r="N13" i="2" l="1"/>
  <c r="M13" i="2"/>
  <c r="L13" i="2"/>
  <c r="K13" i="2"/>
  <c r="J13" i="2"/>
  <c r="I13" i="2"/>
  <c r="H13" i="2"/>
  <c r="G13" i="2"/>
  <c r="F13" i="2"/>
  <c r="N12" i="2"/>
  <c r="M12" i="2"/>
  <c r="L12" i="2"/>
  <c r="K12" i="2"/>
  <c r="J12" i="2"/>
  <c r="I12" i="2"/>
  <c r="H12" i="2"/>
  <c r="G12" i="2"/>
  <c r="F12" i="2"/>
  <c r="C41" i="1"/>
  <c r="K11" i="1" l="1"/>
  <c r="K24" i="1" l="1"/>
  <c r="J24" i="1"/>
  <c r="I24" i="1"/>
  <c r="K23" i="1"/>
  <c r="J23" i="1"/>
  <c r="E43" i="1" l="1"/>
  <c r="I43" i="1"/>
  <c r="E47" i="1"/>
  <c r="I47" i="1"/>
  <c r="C43" i="1"/>
  <c r="C47" i="1" s="1"/>
  <c r="C42" i="1"/>
  <c r="C46" i="1" s="1"/>
  <c r="K36" i="1"/>
  <c r="J36" i="1"/>
  <c r="I36" i="1"/>
  <c r="K35" i="1"/>
  <c r="J35" i="1"/>
  <c r="I35" i="1"/>
  <c r="I12" i="1"/>
  <c r="J12" i="1"/>
  <c r="K12" i="1"/>
  <c r="I11" i="1"/>
  <c r="J11" i="1"/>
  <c r="F12" i="1"/>
  <c r="G12" i="1"/>
  <c r="H12" i="1"/>
  <c r="F11" i="1"/>
  <c r="G11" i="1"/>
  <c r="H11" i="1"/>
  <c r="J43" i="1" l="1"/>
  <c r="D47" i="1"/>
  <c r="H47" i="1"/>
  <c r="F47" i="1"/>
  <c r="J47" i="1"/>
  <c r="F43" i="1"/>
  <c r="D46" i="1"/>
  <c r="H46" i="1"/>
  <c r="D43" i="1"/>
  <c r="H43" i="1"/>
  <c r="H42" i="1"/>
  <c r="D42" i="1"/>
  <c r="E12" i="1"/>
  <c r="D12" i="1"/>
  <c r="C12" i="1"/>
  <c r="E11" i="1"/>
  <c r="D11" i="1"/>
  <c r="C11" i="1"/>
  <c r="C45" i="1"/>
  <c r="D41" i="1" l="1"/>
  <c r="H41" i="1"/>
  <c r="H45" i="1"/>
  <c r="D45" i="1"/>
</calcChain>
</file>

<file path=xl/sharedStrings.xml><?xml version="1.0" encoding="utf-8"?>
<sst xmlns="http://schemas.openxmlformats.org/spreadsheetml/2006/main" count="81" uniqueCount="24">
  <si>
    <t>Jar 1</t>
  </si>
  <si>
    <t>Jar 2</t>
  </si>
  <si>
    <t>Jar 3</t>
  </si>
  <si>
    <t>condition 1</t>
  </si>
  <si>
    <t>condition 2</t>
  </si>
  <si>
    <t>condition 3</t>
  </si>
  <si>
    <t>30s settling</t>
  </si>
  <si>
    <t>180s settling</t>
  </si>
  <si>
    <t>avg 30s</t>
  </si>
  <si>
    <t>avg 180s</t>
  </si>
  <si>
    <t>30 s settling</t>
  </si>
  <si>
    <t>180 s settling</t>
  </si>
  <si>
    <t>average data</t>
  </si>
  <si>
    <t>STDEV</t>
  </si>
  <si>
    <t>conventional</t>
  </si>
  <si>
    <t>AVG</t>
  </si>
  <si>
    <t>target</t>
  </si>
  <si>
    <t>pristine (150 mg/L)</t>
  </si>
  <si>
    <t>modified (150 mg/L)</t>
  </si>
  <si>
    <t>alum dose</t>
  </si>
  <si>
    <t>pristine             (150 mg/L)</t>
  </si>
  <si>
    <t>modified              (150 mg/L)</t>
  </si>
  <si>
    <t>initial</t>
  </si>
  <si>
    <t>additional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</si>
</sst>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2" xfId="0" applyNumberFormat="1" applyFill="1" applyBorder="1"/>
    <xf numFmtId="164" fontId="0" fillId="2" borderId="0" xfId="0" applyNumberFormat="1" applyFill="1"/>
    <xf numFmtId="164" fontId="0" fillId="2" borderId="1" xfId="0" applyNumberFormat="1" applyFill="1" applyBorder="1"/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B9B9"/>
      <color rgb="FF0C5A6D"/>
      <color rgb="FF85C6D4"/>
      <color rgb="FFDF9706"/>
      <color rgb="FFCC282F"/>
      <color rgb="FF0D5B6D"/>
      <color rgb="FF00BCCD"/>
      <color rgb="FF7ED1D4"/>
      <color rgb="FFCC2930"/>
      <color rgb="FFE395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97653486853047"/>
          <c:y val="5.0925925925925923E-2"/>
          <c:w val="0.79757230953332037"/>
          <c:h val="0.775021604938271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'[1]Sheet 1'!$B$52</c:f>
              <c:strCache>
                <c:ptCount val="1"/>
                <c:pt idx="0">
                  <c:v>30 s</c:v>
                </c:pt>
              </c:strCache>
            </c:strRef>
          </c:tx>
          <c:spPr>
            <a:solidFill>
              <a:srgbClr val="85C6D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8, Fig S7'!$H$43:$J$43</c:f>
                <c:numCache>
                  <c:formatCode>General</c:formatCode>
                  <c:ptCount val="3"/>
                  <c:pt idx="0">
                    <c:v>1.4260798377733646</c:v>
                  </c:pt>
                  <c:pt idx="1">
                    <c:v>5.7181970740590566</c:v>
                  </c:pt>
                  <c:pt idx="2">
                    <c:v>6.1483812985689692</c:v>
                  </c:pt>
                </c:numCache>
              </c:numRef>
            </c:plus>
            <c:minus>
              <c:numRef>
                <c:f>'Fig 8, Fig S7'!$H$43:$J$43</c:f>
                <c:numCache>
                  <c:formatCode>General</c:formatCode>
                  <c:ptCount val="3"/>
                  <c:pt idx="0">
                    <c:v>1.4260798377733646</c:v>
                  </c:pt>
                  <c:pt idx="1">
                    <c:v>5.7181970740590566</c:v>
                  </c:pt>
                  <c:pt idx="2">
                    <c:v>6.1483812985689692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f>'Fig 8, Fig S7'!$D$40:$F$40</c:f>
              <c:strCache>
                <c:ptCount val="3"/>
                <c:pt idx="0">
                  <c:v>conventional</c:v>
                </c:pt>
                <c:pt idx="1">
                  <c:v>pristine             (150 mg/L)</c:v>
                </c:pt>
                <c:pt idx="2">
                  <c:v>modified              (150 mg/L)</c:v>
                </c:pt>
              </c:strCache>
            </c:strRef>
          </c:cat>
          <c:val>
            <c:numRef>
              <c:f>'Fig 8, Fig S7'!$D$43:$F$43</c:f>
              <c:numCache>
                <c:formatCode>0.0</c:formatCode>
                <c:ptCount val="3"/>
                <c:pt idx="0">
                  <c:v>38.511111111111113</c:v>
                </c:pt>
                <c:pt idx="1">
                  <c:v>23.3</c:v>
                </c:pt>
                <c:pt idx="2">
                  <c:v>18.688888888888886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694C-8CF2-8F30249BF728}"/>
            </c:ext>
          </c:extLst>
        </c:ser>
        <c:ser>
          <c:idx val="1"/>
          <c:order val="1"/>
          <c:tx>
            <c:strRef>
              <c:f>'[1]Sheet 1'!$B$59</c:f>
              <c:strCache>
                <c:ptCount val="1"/>
                <c:pt idx="0">
                  <c:v>180 s</c:v>
                </c:pt>
              </c:strCache>
            </c:strRef>
          </c:tx>
          <c:spPr>
            <a:solidFill>
              <a:srgbClr val="0C5A6D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8, Fig S7'!$H$47:$J$47</c:f>
                <c:numCache>
                  <c:formatCode>General</c:formatCode>
                  <c:ptCount val="3"/>
                  <c:pt idx="0">
                    <c:v>6.8332791325763562</c:v>
                  </c:pt>
                  <c:pt idx="1">
                    <c:v>3.275011450361661</c:v>
                  </c:pt>
                  <c:pt idx="2">
                    <c:v>1.5314299780851213</c:v>
                  </c:pt>
                </c:numCache>
              </c:numRef>
            </c:plus>
            <c:minus>
              <c:numRef>
                <c:f>'Fig 8, Fig S7'!$H$47:$J$47</c:f>
                <c:numCache>
                  <c:formatCode>General</c:formatCode>
                  <c:ptCount val="3"/>
                  <c:pt idx="0">
                    <c:v>6.8332791325763562</c:v>
                  </c:pt>
                  <c:pt idx="1">
                    <c:v>3.275011450361661</c:v>
                  </c:pt>
                  <c:pt idx="2">
                    <c:v>1.5314299780851213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8, Fig S7'!$D$40:$F$40</c:f>
              <c:strCache>
                <c:ptCount val="3"/>
                <c:pt idx="0">
                  <c:v>conventional</c:v>
                </c:pt>
                <c:pt idx="1">
                  <c:v>pristine             (150 mg/L)</c:v>
                </c:pt>
                <c:pt idx="2">
                  <c:v>modified              (150 mg/L)</c:v>
                </c:pt>
              </c:strCache>
            </c:strRef>
          </c:cat>
          <c:val>
            <c:numRef>
              <c:f>'Fig 8, Fig S7'!$D$47:$F$47</c:f>
              <c:numCache>
                <c:formatCode>0.0</c:formatCode>
                <c:ptCount val="3"/>
                <c:pt idx="0">
                  <c:v>23.811111111111114</c:v>
                </c:pt>
                <c:pt idx="1">
                  <c:v>12.37</c:v>
                </c:pt>
                <c:pt idx="2">
                  <c:v>10.250000000000002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1-694C-8CF2-8F30249B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046463"/>
        <c:axId val="1229934895"/>
      </c:barChart>
      <c:catAx>
        <c:axId val="122904646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auto val="1"/>
        <c:lblAlgn val="ctr"/>
        <c:lblOffset val="100"/>
        <c:noMultiLvlLbl val="1"/>
      </c:catAx>
      <c:valAx>
        <c:axId val="1229934895"/>
        <c:scaling>
          <c:orientation val="minMax"/>
          <c:max val="4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settled turbidity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between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269254293430823"/>
          <c:y val="0.25632317558947409"/>
          <c:w val="0.25710999823067399"/>
          <c:h val="6.4259065592416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64529914529915"/>
          <c:y val="5.0925925925925923E-2"/>
          <c:w val="0.78763888888888889"/>
          <c:h val="0.74387357830271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 8, Fig S7'!$B$41</c:f>
              <c:strCache>
                <c:ptCount val="1"/>
                <c:pt idx="0">
                  <c:v>30 s settling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8, Fig S7'!$H$41:$H$43</c:f>
                <c:numCache>
                  <c:formatCode>General</c:formatCode>
                  <c:ptCount val="3"/>
                  <c:pt idx="0">
                    <c:v>1.1644423240014614</c:v>
                  </c:pt>
                  <c:pt idx="1">
                    <c:v>0.78102496759066831</c:v>
                  </c:pt>
                  <c:pt idx="2">
                    <c:v>1.4260798377733646</c:v>
                  </c:pt>
                </c:numCache>
              </c:numRef>
            </c:plus>
            <c:minus>
              <c:numRef>
                <c:f>'Fig 8, Fig S7'!$H$41:$H$43</c:f>
                <c:numCache>
                  <c:formatCode>General</c:formatCode>
                  <c:ptCount val="3"/>
                  <c:pt idx="0">
                    <c:v>1.1644423240014614</c:v>
                  </c:pt>
                  <c:pt idx="1">
                    <c:v>0.78102496759066831</c:v>
                  </c:pt>
                  <c:pt idx="2">
                    <c:v>1.4260798377733646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8, Fig S7'!$C$41:$C$43</c:f>
              <c:numCache>
                <c:formatCode>General</c:formatCode>
                <c:ptCount val="3"/>
                <c:pt idx="0">
                  <c:v>1.28</c:v>
                </c:pt>
                <c:pt idx="1">
                  <c:v>1.92</c:v>
                </c:pt>
                <c:pt idx="2">
                  <c:v>2.5</c:v>
                </c:pt>
              </c:numCache>
            </c:numRef>
          </c:xVal>
          <c:yVal>
            <c:numRef>
              <c:f>'Fig 8, Fig S7'!$D$41:$D$43</c:f>
              <c:numCache>
                <c:formatCode>0.0</c:formatCode>
                <c:ptCount val="3"/>
                <c:pt idx="0">
                  <c:v>41.711111111111109</c:v>
                </c:pt>
                <c:pt idx="1">
                  <c:v>41.900000000000006</c:v>
                </c:pt>
                <c:pt idx="2">
                  <c:v>38.511111111111113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C-3B41-82D6-B6AB0FA7C592}"/>
            </c:ext>
          </c:extLst>
        </c:ser>
        <c:ser>
          <c:idx val="1"/>
          <c:order val="1"/>
          <c:tx>
            <c:strRef>
              <c:f>'Fig 8, Fig S7'!$B$45</c:f>
              <c:strCache>
                <c:ptCount val="1"/>
                <c:pt idx="0">
                  <c:v>180 s settling</c:v>
                </c:pt>
              </c:strCache>
            </c:strRef>
          </c:tx>
          <c:spPr>
            <a:ln w="9525" cap="rnd">
              <a:solidFill>
                <a:srgbClr val="0C5A6D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F5B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8, Fig S7'!$H$45:$H$47</c:f>
                <c:numCache>
                  <c:formatCode>General</c:formatCode>
                  <c:ptCount val="3"/>
                  <c:pt idx="0">
                    <c:v>4.5657338868933115</c:v>
                  </c:pt>
                  <c:pt idx="1">
                    <c:v>1.6169243780846543</c:v>
                  </c:pt>
                  <c:pt idx="2">
                    <c:v>6.8332791325763562</c:v>
                  </c:pt>
                </c:numCache>
              </c:numRef>
            </c:plus>
            <c:minus>
              <c:numRef>
                <c:f>'Fig 8, Fig S7'!$H$45:$H$47</c:f>
                <c:numCache>
                  <c:formatCode>General</c:formatCode>
                  <c:ptCount val="3"/>
                  <c:pt idx="0">
                    <c:v>4.5657338868933115</c:v>
                  </c:pt>
                  <c:pt idx="1">
                    <c:v>1.6169243780846543</c:v>
                  </c:pt>
                  <c:pt idx="2">
                    <c:v>6.8332791325763562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8, Fig S7'!$C$45:$C$47</c:f>
              <c:numCache>
                <c:formatCode>General</c:formatCode>
                <c:ptCount val="3"/>
                <c:pt idx="0">
                  <c:v>1.28</c:v>
                </c:pt>
                <c:pt idx="1">
                  <c:v>1.92</c:v>
                </c:pt>
                <c:pt idx="2">
                  <c:v>2.5</c:v>
                </c:pt>
              </c:numCache>
            </c:numRef>
          </c:xVal>
          <c:yVal>
            <c:numRef>
              <c:f>'Fig 8, Fig S7'!$D$45:$D$47</c:f>
              <c:numCache>
                <c:formatCode>0.0</c:formatCode>
                <c:ptCount val="3"/>
                <c:pt idx="0">
                  <c:v>37.155555555555559</c:v>
                </c:pt>
                <c:pt idx="1">
                  <c:v>33.166666666666664</c:v>
                </c:pt>
                <c:pt idx="2">
                  <c:v>23.811111111111114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CC-3B41-82D6-B6AB0FA7C592}"/>
            </c:ext>
          </c:extLst>
        </c:ser>
        <c:ser>
          <c:idx val="4"/>
          <c:order val="2"/>
          <c:tx>
            <c:v>Target</c:v>
          </c:tx>
          <c:spPr>
            <a:ln w="514350" cap="sq">
              <a:solidFill>
                <a:srgbClr val="0070C0">
                  <a:alpha val="1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'[2]Sheet 1'!$C$35:$C$36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'[2]Sheet 1'!$D$35:$D$36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CC-3B41-82D6-B6AB0FA7C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3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alum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0.5"/>
      </c:valAx>
      <c:valAx>
        <c:axId val="1229934895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settled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5989401709401713"/>
          <c:y val="6.1768518518518521E-2"/>
          <c:w val="0.35831390407604918"/>
          <c:h val="0.16467952091365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64529914529915"/>
          <c:y val="5.0925925925925923E-2"/>
          <c:w val="0.78763888888888889"/>
          <c:h val="0.74387357830271217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'Fig S9'!$B$19</c:f>
              <c:strCache>
                <c:ptCount val="1"/>
                <c:pt idx="0">
                  <c:v>30 s settling</c:v>
                </c:pt>
              </c:strCache>
            </c:strRef>
          </c:tx>
          <c:spPr>
            <a:solidFill>
              <a:srgbClr val="85C6D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S9'!$F$20:$F$23</c:f>
                <c:numCache>
                  <c:formatCode>General</c:formatCode>
                  <c:ptCount val="4"/>
                  <c:pt idx="0">
                    <c:v>2.1943133575474367</c:v>
                  </c:pt>
                  <c:pt idx="1">
                    <c:v>0.59473928306007884</c:v>
                  </c:pt>
                  <c:pt idx="2">
                    <c:v>2.256019930303343</c:v>
                  </c:pt>
                  <c:pt idx="3">
                    <c:v>3.6447831820897751</c:v>
                  </c:pt>
                </c:numCache>
              </c:numRef>
            </c:plus>
            <c:minus>
              <c:numRef>
                <c:f>'Fig S9'!$F$20:$F$23</c:f>
                <c:numCache>
                  <c:formatCode>General</c:formatCode>
                  <c:ptCount val="4"/>
                  <c:pt idx="0">
                    <c:v>2.1943133575474367</c:v>
                  </c:pt>
                  <c:pt idx="1">
                    <c:v>0.59473928306007884</c:v>
                  </c:pt>
                  <c:pt idx="2">
                    <c:v>2.256019930303343</c:v>
                  </c:pt>
                  <c:pt idx="3">
                    <c:v>3.6447831820897751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numRef>
              <c:f>'Fig S9'!$C$30:$C$33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'Fig S9'!$D$20:$D$23</c:f>
              <c:numCache>
                <c:formatCode>0.0</c:formatCode>
                <c:ptCount val="4"/>
                <c:pt idx="0">
                  <c:v>4.873333333333334</c:v>
                </c:pt>
                <c:pt idx="1">
                  <c:v>2.6644444444444444</c:v>
                </c:pt>
                <c:pt idx="2">
                  <c:v>9.5811111111111131</c:v>
                </c:pt>
                <c:pt idx="3">
                  <c:v>49.43333333333333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E-894D-96DF-1DBB7B48FF98}"/>
            </c:ext>
          </c:extLst>
        </c:ser>
        <c:ser>
          <c:idx val="1"/>
          <c:order val="2"/>
          <c:tx>
            <c:strRef>
              <c:f>'Fig S9'!$B$25</c:f>
              <c:strCache>
                <c:ptCount val="1"/>
                <c:pt idx="0">
                  <c:v>180 s settling</c:v>
                </c:pt>
              </c:strCache>
            </c:strRef>
          </c:tx>
          <c:spPr>
            <a:solidFill>
              <a:srgbClr val="0C5A6D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S9'!$F$25:$F$28</c:f>
                <c:numCache>
                  <c:formatCode>General</c:formatCode>
                  <c:ptCount val="4"/>
                  <c:pt idx="0">
                    <c:v>0.28570251298496824</c:v>
                  </c:pt>
                  <c:pt idx="1">
                    <c:v>0.65882330571113845</c:v>
                  </c:pt>
                  <c:pt idx="2">
                    <c:v>1.2010288799068674</c:v>
                  </c:pt>
                  <c:pt idx="3">
                    <c:v>3.2634905194240056</c:v>
                  </c:pt>
                </c:numCache>
              </c:numRef>
            </c:plus>
            <c:minus>
              <c:numRef>
                <c:f>'Fig S9'!$F$25:$F$28</c:f>
                <c:numCache>
                  <c:formatCode>General</c:formatCode>
                  <c:ptCount val="4"/>
                  <c:pt idx="0">
                    <c:v>0.28570251298496824</c:v>
                  </c:pt>
                  <c:pt idx="1">
                    <c:v>0.65882330571113845</c:v>
                  </c:pt>
                  <c:pt idx="2">
                    <c:v>1.2010288799068674</c:v>
                  </c:pt>
                  <c:pt idx="3">
                    <c:v>3.2634905194240056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numRef>
              <c:f>'Fig S9'!$C$30:$C$33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'Fig S9'!$D$25:$D$28</c:f>
              <c:numCache>
                <c:formatCode>0.0</c:formatCode>
                <c:ptCount val="4"/>
                <c:pt idx="0">
                  <c:v>2.8144444444444452</c:v>
                </c:pt>
                <c:pt idx="1">
                  <c:v>2.6944444444444442</c:v>
                </c:pt>
                <c:pt idx="2">
                  <c:v>7.7888888888888888</c:v>
                </c:pt>
                <c:pt idx="3">
                  <c:v>30.511111111111109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E-894D-96DF-1DBB7B48F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046463"/>
        <c:axId val="1229934895"/>
      </c:barChart>
      <c:lineChart>
        <c:grouping val="standard"/>
        <c:varyColors val="0"/>
        <c:ser>
          <c:idx val="2"/>
          <c:order val="0"/>
          <c:tx>
            <c:strRef>
              <c:f>'Fig S9'!$B$30</c:f>
              <c:strCache>
                <c:ptCount val="1"/>
                <c:pt idx="0">
                  <c:v>initial</c:v>
                </c:pt>
              </c:strCache>
            </c:strRef>
          </c:tx>
          <c:spPr>
            <a:ln w="12700" cap="rnd">
              <a:solidFill>
                <a:srgbClr val="B9B9B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9B9B9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S9'!$F$30:$F$33</c:f>
                <c:numCache>
                  <c:formatCode>General</c:formatCode>
                  <c:ptCount val="4"/>
                  <c:pt idx="0">
                    <c:v>0.56960024968783496</c:v>
                  </c:pt>
                  <c:pt idx="1">
                    <c:v>0.63508529610859321</c:v>
                  </c:pt>
                  <c:pt idx="2">
                    <c:v>1.8193405398660283</c:v>
                  </c:pt>
                  <c:pt idx="3">
                    <c:v>0.57735026918962573</c:v>
                  </c:pt>
                </c:numCache>
              </c:numRef>
            </c:plus>
            <c:minus>
              <c:numRef>
                <c:f>'Fig S9'!$F$30:$F$33</c:f>
                <c:numCache>
                  <c:formatCode>General</c:formatCode>
                  <c:ptCount val="4"/>
                  <c:pt idx="0">
                    <c:v>0.56960024968783496</c:v>
                  </c:pt>
                  <c:pt idx="1">
                    <c:v>0.63508529610859321</c:v>
                  </c:pt>
                  <c:pt idx="2">
                    <c:v>1.8193405398660283</c:v>
                  </c:pt>
                  <c:pt idx="3">
                    <c:v>0.57735026918962573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'Fig S9'!$C$30:$C$33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'Fig S9'!$D$30:$D$33</c:f>
              <c:numCache>
                <c:formatCode>General</c:formatCode>
                <c:ptCount val="4"/>
                <c:pt idx="0">
                  <c:v>62.866666666666674</c:v>
                </c:pt>
                <c:pt idx="1">
                  <c:v>66.166666666666671</c:v>
                </c:pt>
                <c:pt idx="2">
                  <c:v>67.899999999999991</c:v>
                </c:pt>
                <c:pt idx="3">
                  <c:v>72.933333333333323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DE-894D-96DF-1DBB7B48F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046463"/>
        <c:axId val="1229934895"/>
      </c:lineChart>
      <c:catAx>
        <c:axId val="122904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additional humic acid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auto val="1"/>
        <c:lblAlgn val="ctr"/>
        <c:lblOffset val="100"/>
        <c:noMultiLvlLbl val="0"/>
      </c:catAx>
      <c:valAx>
        <c:axId val="1229934895"/>
        <c:scaling>
          <c:orientation val="minMax"/>
          <c:max val="8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settled 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between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656749004091119"/>
          <c:y val="0.30772500947746179"/>
          <c:w val="0.34841024056321751"/>
          <c:h val="0.253025217921062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552812</xdr:colOff>
      <xdr:row>39</xdr:row>
      <xdr:rowOff>10487</xdr:rowOff>
    </xdr:from>
    <xdr:to>
      <xdr:col>16</xdr:col>
      <xdr:colOff>402971</xdr:colOff>
      <xdr:row>47</xdr:row>
      <xdr:rowOff>27775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355A7A-CC7D-6D40-86EE-4CDFDF239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306288</xdr:colOff>
      <xdr:row>38</xdr:row>
      <xdr:rowOff>173074</xdr:rowOff>
    </xdr:from>
    <xdr:to>
      <xdr:col>13</xdr:col>
      <xdr:colOff>457437</xdr:colOff>
      <xdr:row>46</xdr:row>
      <xdr:rowOff>182340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A3FB69B-FD49-F4AE-8A22-67FB7A0FBFDD}"/>
            </a:ext>
          </a:extLst>
        </xdr:cNvPr>
        <xdr:cNvGrpSpPr/>
      </xdr:nvGrpSpPr>
      <xdr:grpSpPr>
        <a:xfrm>
          <a:off x="6636129" y="7833391"/>
          <a:ext cx="2358530" cy="1621965"/>
          <a:chOff x="10099689" y="11747093"/>
          <a:chExt cx="2363830" cy="1685143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316E318E-1C05-B346-AE87-8AD38D6D4796}"/>
              </a:ext>
            </a:extLst>
          </xdr:cNvPr>
          <xdr:cNvGraphicFramePr>
            <a:graphicFrameLocks/>
          </xdr:cNvGraphicFramePr>
        </xdr:nvGraphicFramePr>
        <xdr:xfrm>
          <a:off x="10099689" y="11747093"/>
          <a:ext cx="2363830" cy="16851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D0D64280-2FCB-A146-9FBE-7A8330904551}"/>
              </a:ext>
            </a:extLst>
          </xdr:cNvPr>
          <xdr:cNvSpPr txBox="1"/>
        </xdr:nvSpPr>
        <xdr:spPr>
          <a:xfrm>
            <a:off x="11515370" y="11953712"/>
            <a:ext cx="779818" cy="2448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700" b="1">
                <a:latin typeface="Arial" panose="020B0604020202020204" pitchFamily="34" charset="0"/>
                <a:cs typeface="Arial" panose="020B0604020202020204" pitchFamily="34" charset="0"/>
              </a:rPr>
              <a:t>0.5 mg/L PAM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0.35255</cdr:x>
      <cdr:y>0.0535</cdr:y>
    </cdr:from>
    <cdr:to>
      <cdr:x>0.95839</cdr:x>
      <cdr:y>0.24293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820814" y="87095"/>
          <a:ext cx="1410508" cy="3084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 baseline="0">
              <a:latin typeface="Arial" panose="020B0604020202020204" pitchFamily="34" charset="0"/>
              <a:cs typeface="Arial" panose="020B0604020202020204" pitchFamily="34" charset="0"/>
            </a:rPr>
            <a:t>real wastewater</a:t>
          </a:r>
        </a:p>
        <a:p xmlns:a="http://schemas.openxmlformats.org/drawingml/2006/main">
          <a:pPr algn="r"/>
          <a:r>
            <a:rPr lang="en-US" sz="600" b="1" baseline="0">
              <a:latin typeface="Arial" panose="020B0604020202020204" pitchFamily="34" charset="0"/>
              <a:cs typeface="Arial" panose="020B0604020202020204" pitchFamily="34" charset="0"/>
            </a:rPr>
            <a:t>2.5 mg/L alum, 0.5 mg/L PAM</a:t>
          </a:r>
          <a:endParaRPr lang="en-US" sz="600" b="1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0.32147</cdr:x>
      <cdr:y>0.06004</cdr:y>
    </cdr:from>
    <cdr:to>
      <cdr:x>0.9237</cdr:x>
      <cdr:y>0.25041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D2EF6B86-27A9-6A4A-7C56-A58B40E3FD11}"/>
            </a:ext>
          </a:extLst>
        </cdr:cNvPr>
        <cdr:cNvSpPr txBox="1"/>
      </cdr:nvSpPr>
      <cdr:spPr>
        <a:xfrm xmlns:a="http://schemas.openxmlformats.org/drawingml/2006/main">
          <a:off x="752913" y="97263"/>
          <a:ext cx="1410508" cy="3084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700" b="1" baseline="0">
              <a:latin typeface="Arial" panose="020B0604020202020204" pitchFamily="34" charset="0"/>
              <a:cs typeface="Arial" panose="020B0604020202020204" pitchFamily="34" charset="0"/>
            </a:rPr>
            <a:t>no fibers</a:t>
          </a:r>
          <a:endParaRPr lang="en-US" sz="600" b="1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276050</xdr:colOff>
      <xdr:row>15</xdr:row>
      <xdr:rowOff>173074</xdr:rowOff>
    </xdr:from>
    <xdr:to>
      <xdr:col>11</xdr:col>
      <xdr:colOff>417120</xdr:colOff>
      <xdr:row>23</xdr:row>
      <xdr:rowOff>182340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768962-AD06-A218-3697-7AE024329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Users/owen/Library/CloudStorage/OneDrive-McGillUniversity/GRAD%20SCHOOL/Results/Armstrong%20et%20al_/3_Floc%20Settling%20and%20Size/06.02.25_mechanismJars.xlsx" TargetMode="External"/><Relationship Id="rId1" Type="http://schemas.openxmlformats.org/officeDocument/2006/relationships/externalLinkPath" Target="https://mcgill-my.sharepoint.com/Users/owen/Library/CloudStorage/OneDrive-McGillUniversity/GRAD%20SCHOOL/Results/Armstrong%20et%20al_/3_Floc%20Settling%20and%20Size/06.02.25_mechanismJar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Users/owen/Library/CloudStorage/OneDrive-McGillUniversity/GRAD%20SCHOOL/Results/Armstrong%20et%20al_/2_Optimizations/11.11.24_AlumOpt.xlsx" TargetMode="External"/><Relationship Id="rId1" Type="http://schemas.openxmlformats.org/officeDocument/2006/relationships/externalLinkPath" Target="https://mcgill-my.sharepoint.com/Users/owen/Library/CloudStorage/OneDrive-McGillUniversity/GRAD%20SCHOOL/Results/Armstrong%20et%20al_/2_Optimizations/11.11.24_AlumO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52">
          <cell r="B52" t="str">
            <v>30 s</v>
          </cell>
        </row>
        <row r="59">
          <cell r="B59" t="str">
            <v>180 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35">
          <cell r="C35">
            <v>0</v>
          </cell>
          <cell r="D35">
            <v>12.5</v>
          </cell>
        </row>
        <row r="36">
          <cell r="C36">
            <v>63</v>
          </cell>
          <cell r="D36">
            <v>12.5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00F-B998-1947-A092-2D15C21482BF}">
  <dimension ref="B2:K84"/>
  <sheetViews>
    <sheetView topLeftCell="A18" zoomScale="126" zoomScaleNormal="126" workbookViewId="0">
      <selection activeCell="C54" sqref="C54"/>
    </sheetView>
  </sheetViews>
  <sheetFormatPr baseColWidth="10" defaultRowHeight="16" x14ac:dyDescent="0.2"/>
  <cols>
    <col min="2" max="2" width="14" customWidth="1"/>
    <col min="3" max="11" width="7.33203125" bestFit="1" customWidth="1"/>
  </cols>
  <sheetData>
    <row r="2" spans="2:11" x14ac:dyDescent="0.2">
      <c r="B2" s="5" t="s">
        <v>14</v>
      </c>
      <c r="C2" s="19" t="s">
        <v>3</v>
      </c>
      <c r="D2" s="19"/>
      <c r="E2" s="19"/>
      <c r="F2" s="19" t="s">
        <v>4</v>
      </c>
      <c r="G2" s="19"/>
      <c r="H2" s="19"/>
      <c r="I2" s="19" t="s">
        <v>5</v>
      </c>
      <c r="J2" s="19"/>
      <c r="K2" s="19"/>
    </row>
    <row r="3" spans="2:11" x14ac:dyDescent="0.2">
      <c r="B3" t="s">
        <v>19</v>
      </c>
      <c r="C3" s="8">
        <v>1.28</v>
      </c>
      <c r="D3" s="8">
        <v>1.28</v>
      </c>
      <c r="E3" s="8">
        <v>1.28</v>
      </c>
      <c r="F3" s="8">
        <v>1.92</v>
      </c>
      <c r="G3" s="8">
        <v>1.92</v>
      </c>
      <c r="H3" s="8">
        <v>1.92</v>
      </c>
      <c r="I3" s="8">
        <v>2.5</v>
      </c>
      <c r="J3" s="8">
        <v>2.5</v>
      </c>
      <c r="K3" s="8">
        <v>2.5</v>
      </c>
    </row>
    <row r="4" spans="2:11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</row>
    <row r="5" spans="2:11" x14ac:dyDescent="0.2">
      <c r="B5" s="16" t="s">
        <v>6</v>
      </c>
      <c r="C5" s="12">
        <v>40.1</v>
      </c>
      <c r="D5" s="12">
        <v>42.9</v>
      </c>
      <c r="E5" s="13">
        <v>43.2</v>
      </c>
      <c r="F5" s="13">
        <v>41.4</v>
      </c>
      <c r="G5" s="13">
        <v>42.8</v>
      </c>
      <c r="H5" s="13">
        <v>41.3</v>
      </c>
      <c r="I5" s="13">
        <v>39.799999999999997</v>
      </c>
      <c r="J5" s="13">
        <v>38.700000000000003</v>
      </c>
      <c r="K5" s="13">
        <v>38</v>
      </c>
    </row>
    <row r="6" spans="2:11" x14ac:dyDescent="0.2">
      <c r="B6" s="17"/>
      <c r="C6" s="13">
        <v>40.4</v>
      </c>
      <c r="D6" s="13">
        <v>42.4</v>
      </c>
      <c r="E6" s="13">
        <v>41.8</v>
      </c>
      <c r="F6" s="13">
        <v>41.4</v>
      </c>
      <c r="G6" s="13">
        <v>42.5</v>
      </c>
      <c r="H6" s="13">
        <v>41.5</v>
      </c>
      <c r="I6" s="13">
        <v>39.5</v>
      </c>
      <c r="J6" s="13">
        <v>38.9</v>
      </c>
      <c r="K6" s="13">
        <v>37.299999999999997</v>
      </c>
    </row>
    <row r="7" spans="2:11" x14ac:dyDescent="0.2">
      <c r="B7" s="18"/>
      <c r="C7" s="14">
        <v>40.6</v>
      </c>
      <c r="D7" s="14">
        <v>41.8</v>
      </c>
      <c r="E7" s="14">
        <v>42.2</v>
      </c>
      <c r="F7" s="14">
        <v>41.7</v>
      </c>
      <c r="G7" s="14">
        <v>43.1</v>
      </c>
      <c r="H7" s="14">
        <v>41.4</v>
      </c>
      <c r="I7" s="14">
        <v>40.200000000000003</v>
      </c>
      <c r="J7" s="14">
        <v>38.5</v>
      </c>
      <c r="K7" s="14">
        <v>35.700000000000003</v>
      </c>
    </row>
    <row r="8" spans="2:11" x14ac:dyDescent="0.2">
      <c r="B8" s="16" t="s">
        <v>7</v>
      </c>
      <c r="C8" s="12">
        <v>35.200000000000003</v>
      </c>
      <c r="D8" s="12">
        <v>43.2</v>
      </c>
      <c r="E8" s="13">
        <v>34.1</v>
      </c>
      <c r="F8" s="13">
        <v>32</v>
      </c>
      <c r="G8" s="13">
        <v>34.9</v>
      </c>
      <c r="H8" s="13">
        <v>33.5</v>
      </c>
      <c r="I8" s="13">
        <v>31.8</v>
      </c>
      <c r="J8" s="13">
        <v>20.7</v>
      </c>
      <c r="K8" s="13">
        <v>20.5</v>
      </c>
    </row>
    <row r="9" spans="2:11" x14ac:dyDescent="0.2">
      <c r="B9" s="17"/>
      <c r="C9" s="13">
        <v>34.799999999999997</v>
      </c>
      <c r="D9" s="13">
        <v>41.8</v>
      </c>
      <c r="E9" s="13">
        <v>34.200000000000003</v>
      </c>
      <c r="F9" s="13">
        <v>31.6</v>
      </c>
      <c r="G9" s="13">
        <v>34.9</v>
      </c>
      <c r="H9" s="13">
        <v>33.1</v>
      </c>
      <c r="I9" s="13">
        <v>31.5</v>
      </c>
      <c r="J9" s="13">
        <v>19.399999999999999</v>
      </c>
      <c r="K9" s="13">
        <v>19.8</v>
      </c>
    </row>
    <row r="10" spans="2:11" x14ac:dyDescent="0.2">
      <c r="B10" s="18"/>
      <c r="C10" s="13">
        <v>35</v>
      </c>
      <c r="D10" s="13">
        <v>42.2</v>
      </c>
      <c r="E10" s="13">
        <v>33.9</v>
      </c>
      <c r="F10" s="13">
        <v>31</v>
      </c>
      <c r="G10" s="13">
        <v>34.5</v>
      </c>
      <c r="H10" s="13">
        <v>33</v>
      </c>
      <c r="I10" s="13">
        <v>31.8</v>
      </c>
      <c r="J10" s="13">
        <v>19.100000000000001</v>
      </c>
      <c r="K10" s="13">
        <v>19.7</v>
      </c>
    </row>
    <row r="11" spans="2:11" x14ac:dyDescent="0.2">
      <c r="B11" s="3" t="s">
        <v>8</v>
      </c>
      <c r="C11" s="2">
        <f t="shared" ref="C11:K11" si="0">AVERAGE(C5:C7)</f>
        <v>40.366666666666667</v>
      </c>
      <c r="D11" s="2">
        <f t="shared" si="0"/>
        <v>42.366666666666667</v>
      </c>
      <c r="E11" s="2">
        <f t="shared" si="0"/>
        <v>42.4</v>
      </c>
      <c r="F11" s="2">
        <f t="shared" si="0"/>
        <v>41.5</v>
      </c>
      <c r="G11" s="2">
        <f t="shared" si="0"/>
        <v>42.800000000000004</v>
      </c>
      <c r="H11" s="2">
        <f t="shared" si="0"/>
        <v>41.4</v>
      </c>
      <c r="I11" s="2">
        <f t="shared" si="0"/>
        <v>39.833333333333336</v>
      </c>
      <c r="J11" s="2">
        <f t="shared" si="0"/>
        <v>38.699999999999996</v>
      </c>
      <c r="K11" s="2">
        <f t="shared" si="0"/>
        <v>37</v>
      </c>
    </row>
    <row r="12" spans="2:11" x14ac:dyDescent="0.2">
      <c r="B12" s="4" t="s">
        <v>9</v>
      </c>
      <c r="C12" s="6">
        <f t="shared" ref="C12:K12" si="1">AVERAGE(C8:C10)</f>
        <v>35</v>
      </c>
      <c r="D12" s="6">
        <f t="shared" si="1"/>
        <v>42.4</v>
      </c>
      <c r="E12" s="6">
        <f t="shared" si="1"/>
        <v>34.06666666666667</v>
      </c>
      <c r="F12" s="6">
        <f t="shared" si="1"/>
        <v>31.533333333333331</v>
      </c>
      <c r="G12" s="6">
        <f t="shared" si="1"/>
        <v>34.766666666666666</v>
      </c>
      <c r="H12" s="6">
        <f t="shared" si="1"/>
        <v>33.199999999999996</v>
      </c>
      <c r="I12" s="6">
        <f t="shared" si="1"/>
        <v>31.7</v>
      </c>
      <c r="J12" s="6">
        <f t="shared" si="1"/>
        <v>19.733333333333331</v>
      </c>
      <c r="K12" s="6">
        <f t="shared" si="1"/>
        <v>20</v>
      </c>
    </row>
    <row r="14" spans="2:11" x14ac:dyDescent="0.2">
      <c r="B14" s="5" t="s">
        <v>17</v>
      </c>
      <c r="C14" s="19"/>
      <c r="D14" s="19"/>
      <c r="E14" s="19"/>
      <c r="F14" s="19"/>
      <c r="G14" s="19"/>
      <c r="H14" s="19"/>
      <c r="I14" s="19" t="s">
        <v>5</v>
      </c>
      <c r="J14" s="19"/>
      <c r="K14" s="19"/>
    </row>
    <row r="15" spans="2:11" x14ac:dyDescent="0.2">
      <c r="B15" t="s">
        <v>19</v>
      </c>
      <c r="C15" s="8"/>
      <c r="D15" s="8"/>
      <c r="E15" s="8"/>
      <c r="F15" s="8"/>
      <c r="G15" s="8"/>
      <c r="H15" s="8"/>
      <c r="I15" s="8">
        <v>2.5</v>
      </c>
      <c r="J15" s="8">
        <v>2.5</v>
      </c>
      <c r="K15" s="8">
        <v>2.5</v>
      </c>
    </row>
    <row r="16" spans="2:11" x14ac:dyDescent="0.2">
      <c r="B16" s="1"/>
      <c r="C16" s="1"/>
      <c r="D16" s="1"/>
      <c r="E16" s="1"/>
      <c r="F16" s="1"/>
      <c r="G16" s="1"/>
      <c r="H16" s="1"/>
      <c r="I16" s="1" t="s">
        <v>0</v>
      </c>
      <c r="J16" s="1" t="s">
        <v>1</v>
      </c>
      <c r="K16" s="1" t="s">
        <v>2</v>
      </c>
    </row>
    <row r="17" spans="2:11" x14ac:dyDescent="0.2">
      <c r="B17" s="16" t="s">
        <v>6</v>
      </c>
      <c r="C17" s="7"/>
      <c r="D17" s="7"/>
      <c r="E17" s="2"/>
      <c r="F17" s="2"/>
      <c r="G17" s="2"/>
      <c r="H17" s="2"/>
      <c r="I17" s="13">
        <v>27.4</v>
      </c>
      <c r="J17" s="12">
        <v>25.8</v>
      </c>
      <c r="K17" s="12">
        <v>16.399999999999999</v>
      </c>
    </row>
    <row r="18" spans="2:11" x14ac:dyDescent="0.2">
      <c r="B18" s="17"/>
      <c r="C18" s="2"/>
      <c r="D18" s="2"/>
      <c r="E18" s="2"/>
      <c r="F18" s="2"/>
      <c r="G18" s="2"/>
      <c r="H18" s="2"/>
      <c r="I18" s="13">
        <v>29.4</v>
      </c>
      <c r="J18" s="13">
        <v>25.8</v>
      </c>
      <c r="K18" s="13">
        <v>16.8</v>
      </c>
    </row>
    <row r="19" spans="2:11" x14ac:dyDescent="0.2">
      <c r="B19" s="18"/>
      <c r="C19" s="6"/>
      <c r="D19" s="6"/>
      <c r="E19" s="6"/>
      <c r="F19" s="6"/>
      <c r="G19" s="6"/>
      <c r="H19" s="6"/>
      <c r="I19" s="14">
        <v>23.5</v>
      </c>
      <c r="J19" s="14">
        <v>27.7</v>
      </c>
      <c r="K19" s="14">
        <v>16.899999999999999</v>
      </c>
    </row>
    <row r="20" spans="2:11" x14ac:dyDescent="0.2">
      <c r="B20" s="16" t="s">
        <v>7</v>
      </c>
      <c r="C20" s="7"/>
      <c r="D20" s="7"/>
      <c r="E20" s="2"/>
      <c r="F20" s="2"/>
      <c r="G20" s="2"/>
      <c r="H20" s="2"/>
      <c r="I20" s="13">
        <v>13.8</v>
      </c>
      <c r="J20" s="12">
        <v>15.1</v>
      </c>
      <c r="K20" s="12">
        <v>9.15</v>
      </c>
    </row>
    <row r="21" spans="2:11" x14ac:dyDescent="0.2">
      <c r="B21" s="17"/>
      <c r="C21" s="2"/>
      <c r="D21" s="2"/>
      <c r="E21" s="2"/>
      <c r="F21" s="2"/>
      <c r="G21" s="2"/>
      <c r="H21" s="2"/>
      <c r="I21" s="13">
        <v>14.5</v>
      </c>
      <c r="J21" s="13">
        <v>14.6</v>
      </c>
      <c r="K21" s="13">
        <v>8.25</v>
      </c>
    </row>
    <row r="22" spans="2:11" x14ac:dyDescent="0.2">
      <c r="B22" s="18"/>
      <c r="C22" s="6"/>
      <c r="D22" s="6"/>
      <c r="E22" s="6"/>
      <c r="F22" s="6"/>
      <c r="G22" s="6"/>
      <c r="H22" s="6"/>
      <c r="I22" s="14">
        <v>13.4</v>
      </c>
      <c r="J22" s="14">
        <v>14.1</v>
      </c>
      <c r="K22" s="14">
        <v>8.43</v>
      </c>
    </row>
    <row r="23" spans="2:11" x14ac:dyDescent="0.2">
      <c r="B23" s="3" t="s">
        <v>8</v>
      </c>
      <c r="C23" s="2"/>
      <c r="D23" s="2"/>
      <c r="E23" s="2"/>
      <c r="F23" s="2"/>
      <c r="G23" s="2"/>
      <c r="H23" s="2"/>
      <c r="I23" s="2">
        <f>AVERAGE(I17:I19)</f>
        <v>26.766666666666666</v>
      </c>
      <c r="J23" s="2">
        <f>AVERAGE(J17:J19)</f>
        <v>26.433333333333334</v>
      </c>
      <c r="K23" s="2">
        <f>AVERAGE(K17:K19)</f>
        <v>16.7</v>
      </c>
    </row>
    <row r="24" spans="2:11" x14ac:dyDescent="0.2">
      <c r="B24" s="4" t="s">
        <v>9</v>
      </c>
      <c r="C24" s="6"/>
      <c r="D24" s="6"/>
      <c r="E24" s="6"/>
      <c r="F24" s="6"/>
      <c r="G24" s="6"/>
      <c r="H24" s="6"/>
      <c r="I24" s="6">
        <f>AVERAGE(I20:I22)</f>
        <v>13.9</v>
      </c>
      <c r="J24" s="6">
        <f>AVERAGE(J20:J22)</f>
        <v>14.6</v>
      </c>
      <c r="K24" s="6">
        <f>AVERAGE(K20:K22)</f>
        <v>8.61</v>
      </c>
    </row>
    <row r="26" spans="2:11" x14ac:dyDescent="0.2">
      <c r="B26" s="5" t="s">
        <v>18</v>
      </c>
      <c r="C26" s="19"/>
      <c r="D26" s="19"/>
      <c r="E26" s="19"/>
      <c r="F26" s="19"/>
      <c r="G26" s="19"/>
      <c r="H26" s="19"/>
      <c r="I26" s="19" t="s">
        <v>5</v>
      </c>
      <c r="J26" s="19"/>
      <c r="K26" s="19"/>
    </row>
    <row r="27" spans="2:11" x14ac:dyDescent="0.2">
      <c r="B27" t="s">
        <v>19</v>
      </c>
      <c r="C27" s="8"/>
      <c r="D27" s="8"/>
      <c r="E27" s="8"/>
      <c r="F27" s="8"/>
      <c r="G27" s="8"/>
      <c r="H27" s="8"/>
      <c r="I27" s="8">
        <v>2.5</v>
      </c>
      <c r="J27" s="8">
        <v>2.5</v>
      </c>
      <c r="K27" s="8">
        <v>2.5</v>
      </c>
    </row>
    <row r="28" spans="2:11" x14ac:dyDescent="0.2">
      <c r="B28" s="1"/>
      <c r="C28" s="1"/>
      <c r="D28" s="1"/>
      <c r="E28" s="1"/>
      <c r="F28" s="1"/>
      <c r="G28" s="1"/>
      <c r="H28" s="1"/>
      <c r="I28" s="1" t="s">
        <v>0</v>
      </c>
      <c r="J28" s="1" t="s">
        <v>1</v>
      </c>
      <c r="K28" s="1" t="s">
        <v>2</v>
      </c>
    </row>
    <row r="29" spans="2:11" x14ac:dyDescent="0.2">
      <c r="B29" s="9" t="s">
        <v>6</v>
      </c>
      <c r="C29" s="7"/>
      <c r="D29" s="7"/>
      <c r="E29" s="2"/>
      <c r="F29" s="2"/>
      <c r="G29" s="2"/>
      <c r="H29" s="2"/>
      <c r="I29" s="13">
        <v>24.7</v>
      </c>
      <c r="J29" s="12">
        <v>22.7</v>
      </c>
      <c r="K29" s="12">
        <v>11.7</v>
      </c>
    </row>
    <row r="30" spans="2:11" x14ac:dyDescent="0.2">
      <c r="B30" s="10"/>
      <c r="C30" s="2"/>
      <c r="D30" s="2"/>
      <c r="E30" s="2"/>
      <c r="F30" s="2"/>
      <c r="G30" s="2"/>
      <c r="H30" s="2"/>
      <c r="I30" s="13">
        <v>21.9</v>
      </c>
      <c r="J30" s="13">
        <v>21.7</v>
      </c>
      <c r="K30" s="13">
        <v>11.8</v>
      </c>
    </row>
    <row r="31" spans="2:11" x14ac:dyDescent="0.2">
      <c r="B31" s="11"/>
      <c r="C31" s="6"/>
      <c r="D31" s="6"/>
      <c r="E31" s="6"/>
      <c r="F31" s="6"/>
      <c r="G31" s="6"/>
      <c r="H31" s="6"/>
      <c r="I31" s="14">
        <v>22.1</v>
      </c>
      <c r="J31" s="14">
        <v>20.2</v>
      </c>
      <c r="K31" s="14">
        <v>11.4</v>
      </c>
    </row>
    <row r="32" spans="2:11" x14ac:dyDescent="0.2">
      <c r="B32" s="9" t="s">
        <v>7</v>
      </c>
      <c r="C32" s="7"/>
      <c r="D32" s="7"/>
      <c r="E32" s="2"/>
      <c r="F32" s="2"/>
      <c r="G32" s="2"/>
      <c r="H32" s="2"/>
      <c r="I32" s="13">
        <v>11.6</v>
      </c>
      <c r="J32" s="12">
        <v>11.4</v>
      </c>
      <c r="K32" s="12">
        <v>9.19</v>
      </c>
    </row>
    <row r="33" spans="2:11" x14ac:dyDescent="0.2">
      <c r="B33" s="10"/>
      <c r="C33" s="2"/>
      <c r="D33" s="2"/>
      <c r="E33" s="2"/>
      <c r="F33" s="2"/>
      <c r="G33" s="2"/>
      <c r="H33" s="2"/>
      <c r="I33" s="13">
        <v>11.3</v>
      </c>
      <c r="J33" s="13">
        <v>10.8</v>
      </c>
      <c r="K33" s="13">
        <v>8.02</v>
      </c>
    </row>
    <row r="34" spans="2:11" x14ac:dyDescent="0.2">
      <c r="B34" s="11"/>
      <c r="C34" s="6"/>
      <c r="D34" s="6"/>
      <c r="E34" s="6"/>
      <c r="F34" s="6"/>
      <c r="G34" s="6"/>
      <c r="H34" s="6"/>
      <c r="I34" s="14">
        <v>10.3</v>
      </c>
      <c r="J34" s="14">
        <v>11.4</v>
      </c>
      <c r="K34" s="14">
        <v>8.24</v>
      </c>
    </row>
    <row r="35" spans="2:11" x14ac:dyDescent="0.2">
      <c r="B35" s="3" t="s">
        <v>8</v>
      </c>
      <c r="C35" s="2"/>
      <c r="D35" s="2"/>
      <c r="E35" s="2"/>
      <c r="F35" s="2"/>
      <c r="G35" s="2"/>
      <c r="H35" s="2"/>
      <c r="I35" s="2">
        <f>AVERAGE(I29:I31)</f>
        <v>22.899999999999995</v>
      </c>
      <c r="J35" s="2">
        <f>AVERAGE(J29:J31)</f>
        <v>21.533333333333331</v>
      </c>
      <c r="K35" s="2">
        <f>AVERAGE(K29:K31)</f>
        <v>11.633333333333333</v>
      </c>
    </row>
    <row r="36" spans="2:11" x14ac:dyDescent="0.2">
      <c r="B36" s="4" t="s">
        <v>9</v>
      </c>
      <c r="C36" s="6"/>
      <c r="D36" s="6"/>
      <c r="E36" s="6"/>
      <c r="F36" s="6"/>
      <c r="G36" s="6"/>
      <c r="H36" s="6"/>
      <c r="I36" s="6">
        <f>AVERAGE(I32:I34)</f>
        <v>11.066666666666668</v>
      </c>
      <c r="J36" s="6">
        <f>AVERAGE(J32:J34)</f>
        <v>11.200000000000001</v>
      </c>
      <c r="K36" s="6">
        <f>AVERAGE(K32:K34)</f>
        <v>8.4833333333333343</v>
      </c>
    </row>
    <row r="39" spans="2:11" x14ac:dyDescent="0.2">
      <c r="D39" t="s">
        <v>15</v>
      </c>
      <c r="H39" t="s">
        <v>13</v>
      </c>
    </row>
    <row r="40" spans="2:11" x14ac:dyDescent="0.2">
      <c r="B40" t="s">
        <v>12</v>
      </c>
      <c r="C40" t="s">
        <v>19</v>
      </c>
      <c r="D40" t="s">
        <v>14</v>
      </c>
      <c r="E40" t="s">
        <v>20</v>
      </c>
      <c r="F40" t="s">
        <v>21</v>
      </c>
      <c r="H40" t="s">
        <v>14</v>
      </c>
      <c r="I40" t="s">
        <v>20</v>
      </c>
      <c r="J40" t="s">
        <v>21</v>
      </c>
    </row>
    <row r="41" spans="2:11" x14ac:dyDescent="0.2">
      <c r="B41" t="s">
        <v>10</v>
      </c>
      <c r="C41">
        <f>C3</f>
        <v>1.28</v>
      </c>
      <c r="D41" s="2">
        <f>AVERAGE(C11:E11)</f>
        <v>41.711111111111109</v>
      </c>
      <c r="E41" s="2"/>
      <c r="F41" s="2"/>
      <c r="G41" s="2"/>
      <c r="H41" s="2">
        <f>STDEV(C11:E11)</f>
        <v>1.1644423240014614</v>
      </c>
      <c r="I41" s="2"/>
      <c r="J41" s="2"/>
    </row>
    <row r="42" spans="2:11" x14ac:dyDescent="0.2">
      <c r="C42">
        <f>F3</f>
        <v>1.92</v>
      </c>
      <c r="D42" s="2">
        <f>AVERAGE(F11:H11)</f>
        <v>41.900000000000006</v>
      </c>
      <c r="E42" s="2"/>
      <c r="F42" s="2"/>
      <c r="G42" s="2"/>
      <c r="H42" s="2">
        <f>STDEV(F11:H11)</f>
        <v>0.78102496759066831</v>
      </c>
      <c r="I42" s="2"/>
      <c r="J42" s="2"/>
    </row>
    <row r="43" spans="2:11" x14ac:dyDescent="0.2">
      <c r="C43">
        <f>I3</f>
        <v>2.5</v>
      </c>
      <c r="D43" s="2">
        <f>AVERAGE(I11:K11)</f>
        <v>38.511111111111113</v>
      </c>
      <c r="E43" s="2">
        <f>AVERAGE(I23:K23)</f>
        <v>23.3</v>
      </c>
      <c r="F43" s="2">
        <f>AVERAGE(I35:K35)</f>
        <v>18.688888888888886</v>
      </c>
      <c r="G43" s="2"/>
      <c r="H43" s="2">
        <f>STDEV(I11:K11)</f>
        <v>1.4260798377733646</v>
      </c>
      <c r="I43" s="2">
        <f>STDEV(I23:K23)</f>
        <v>5.7181970740590566</v>
      </c>
      <c r="J43" s="2">
        <f>STDEV(I35:K35)</f>
        <v>6.1483812985689692</v>
      </c>
    </row>
    <row r="44" spans="2:11" x14ac:dyDescent="0.2">
      <c r="D44" s="2"/>
      <c r="E44" s="2"/>
      <c r="F44" s="2"/>
      <c r="G44" s="2"/>
      <c r="H44" s="2"/>
      <c r="I44" s="2"/>
      <c r="J44" s="2"/>
    </row>
    <row r="45" spans="2:11" x14ac:dyDescent="0.2">
      <c r="B45" t="s">
        <v>11</v>
      </c>
      <c r="C45">
        <f>C3</f>
        <v>1.28</v>
      </c>
      <c r="D45" s="2">
        <f>AVERAGE(C12:E12)</f>
        <v>37.155555555555559</v>
      </c>
      <c r="E45" s="2"/>
      <c r="F45" s="2"/>
      <c r="G45" s="2"/>
      <c r="H45" s="2">
        <f>STDEV(C12:E12)</f>
        <v>4.5657338868933115</v>
      </c>
      <c r="I45" s="2"/>
      <c r="J45" s="2"/>
    </row>
    <row r="46" spans="2:11" x14ac:dyDescent="0.2">
      <c r="C46">
        <f>C42</f>
        <v>1.92</v>
      </c>
      <c r="D46" s="2">
        <f>AVERAGE(F12:H12)</f>
        <v>33.166666666666664</v>
      </c>
      <c r="E46" s="2"/>
      <c r="F46" s="2"/>
      <c r="G46" s="2"/>
      <c r="H46" s="2">
        <f>STDEV(F12:H12)</f>
        <v>1.6169243780846543</v>
      </c>
      <c r="I46" s="2"/>
      <c r="J46" s="2"/>
    </row>
    <row r="47" spans="2:11" x14ac:dyDescent="0.2">
      <c r="C47">
        <f>C43</f>
        <v>2.5</v>
      </c>
      <c r="D47" s="2">
        <f>AVERAGE(I12:K12)</f>
        <v>23.811111111111114</v>
      </c>
      <c r="E47" s="2">
        <f>AVERAGE(I24:K24)</f>
        <v>12.37</v>
      </c>
      <c r="F47" s="2">
        <f>AVERAGE(I36:K36)</f>
        <v>10.250000000000002</v>
      </c>
      <c r="G47" s="2"/>
      <c r="H47" s="2">
        <f>STDEV(I12:K12)</f>
        <v>6.8332791325763562</v>
      </c>
      <c r="I47" s="2">
        <f>STDEV(I24:K24)</f>
        <v>3.275011450361661</v>
      </c>
      <c r="J47" s="2">
        <f>STDEV(I36:K36)</f>
        <v>1.5314299780851213</v>
      </c>
    </row>
    <row r="49" spans="2:11" x14ac:dyDescent="0.2">
      <c r="B49" t="s">
        <v>16</v>
      </c>
      <c r="C49">
        <v>0</v>
      </c>
      <c r="D49">
        <v>12.5</v>
      </c>
    </row>
    <row r="50" spans="2:11" x14ac:dyDescent="0.2">
      <c r="C50">
        <v>10</v>
      </c>
      <c r="D50">
        <v>12.5</v>
      </c>
    </row>
    <row r="51" spans="2:11" x14ac:dyDescent="0.2">
      <c r="D51" s="2"/>
      <c r="E51" s="2"/>
      <c r="F51" s="2"/>
      <c r="G51" s="2"/>
      <c r="I51" s="2"/>
      <c r="J51" s="2"/>
      <c r="K51" s="2"/>
    </row>
    <row r="52" spans="2:11" x14ac:dyDescent="0.2">
      <c r="E52" s="2"/>
      <c r="F52" s="2"/>
      <c r="G52" s="2"/>
      <c r="I52" s="2"/>
      <c r="J52" s="2"/>
      <c r="K52" s="2"/>
    </row>
    <row r="53" spans="2:11" x14ac:dyDescent="0.2">
      <c r="E53" s="2"/>
      <c r="F53" s="2"/>
      <c r="G53" s="2"/>
      <c r="I53" s="2"/>
      <c r="J53" s="2"/>
      <c r="K53" s="2"/>
    </row>
    <row r="82" spans="6:10" x14ac:dyDescent="0.2">
      <c r="F82" s="2"/>
      <c r="G82" s="2"/>
      <c r="I82" s="2"/>
      <c r="J82" s="2"/>
    </row>
    <row r="83" spans="6:10" x14ac:dyDescent="0.2">
      <c r="F83" s="2"/>
      <c r="G83" s="2"/>
      <c r="I83" s="2"/>
      <c r="J83" s="2"/>
    </row>
    <row r="84" spans="6:10" x14ac:dyDescent="0.2">
      <c r="F84" s="2"/>
      <c r="G84" s="2"/>
      <c r="I84" s="2"/>
      <c r="J84" s="2"/>
    </row>
  </sheetData>
  <mergeCells count="13">
    <mergeCell ref="B17:B19"/>
    <mergeCell ref="B20:B22"/>
    <mergeCell ref="I26:K26"/>
    <mergeCell ref="C26:E26"/>
    <mergeCell ref="F26:H26"/>
    <mergeCell ref="C14:E14"/>
    <mergeCell ref="F14:H14"/>
    <mergeCell ref="I14:K14"/>
    <mergeCell ref="F2:H2"/>
    <mergeCell ref="B8:B10"/>
    <mergeCell ref="C2:E2"/>
    <mergeCell ref="B5:B7"/>
    <mergeCell ref="I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F1FC-4BCD-CD4C-85DB-D73EF5CF0838}">
  <dimension ref="B2:N62"/>
  <sheetViews>
    <sheetView tabSelected="1" zoomScale="129" zoomScaleNormal="129" workbookViewId="0">
      <selection activeCell="F20" sqref="F20"/>
    </sheetView>
  </sheetViews>
  <sheetFormatPr baseColWidth="10" defaultRowHeight="16" x14ac:dyDescent="0.2"/>
  <cols>
    <col min="2" max="2" width="14" customWidth="1"/>
    <col min="3" max="11" width="7.33203125" bestFit="1" customWidth="1"/>
    <col min="12" max="12" width="8.6640625" customWidth="1"/>
    <col min="13" max="13" width="8.5" customWidth="1"/>
    <col min="14" max="14" width="7.6640625" customWidth="1"/>
  </cols>
  <sheetData>
    <row r="2" spans="2:14" x14ac:dyDescent="0.2">
      <c r="B2" s="5" t="s">
        <v>14</v>
      </c>
      <c r="C2" s="19" t="s">
        <v>3</v>
      </c>
      <c r="D2" s="19"/>
      <c r="E2" s="19"/>
      <c r="F2" s="19" t="s">
        <v>4</v>
      </c>
      <c r="G2" s="19"/>
      <c r="H2" s="19"/>
      <c r="I2" s="19" t="s">
        <v>5</v>
      </c>
      <c r="J2" s="19"/>
      <c r="K2" s="19"/>
      <c r="L2" s="19" t="s">
        <v>5</v>
      </c>
      <c r="M2" s="19"/>
      <c r="N2" s="19"/>
    </row>
    <row r="3" spans="2:14" x14ac:dyDescent="0.2">
      <c r="B3" t="s">
        <v>23</v>
      </c>
      <c r="C3" s="8">
        <v>0</v>
      </c>
      <c r="D3" s="8">
        <v>0</v>
      </c>
      <c r="E3" s="8">
        <v>0</v>
      </c>
      <c r="F3" s="8">
        <v>10</v>
      </c>
      <c r="G3" s="8">
        <v>10</v>
      </c>
      <c r="H3" s="8">
        <v>10</v>
      </c>
      <c r="I3" s="8">
        <v>20</v>
      </c>
      <c r="J3" s="8">
        <v>20</v>
      </c>
      <c r="K3" s="8">
        <v>20</v>
      </c>
      <c r="L3" s="8">
        <v>30</v>
      </c>
      <c r="M3" s="8">
        <v>30</v>
      </c>
      <c r="N3" s="8">
        <v>30</v>
      </c>
    </row>
    <row r="4" spans="2:14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</row>
    <row r="5" spans="2:14" x14ac:dyDescent="0.2">
      <c r="B5" t="s">
        <v>22</v>
      </c>
      <c r="C5" s="15">
        <v>62.800000000000004</v>
      </c>
      <c r="D5" s="15">
        <v>62.333333333333336</v>
      </c>
      <c r="E5" s="15">
        <v>63.466666666666669</v>
      </c>
      <c r="F5" s="15">
        <v>65.8</v>
      </c>
      <c r="G5" s="15">
        <v>65.8</v>
      </c>
      <c r="H5" s="15">
        <v>66.900000000000006</v>
      </c>
      <c r="I5" s="15">
        <v>68.900000000000006</v>
      </c>
      <c r="J5" s="15">
        <v>69</v>
      </c>
      <c r="K5" s="15">
        <v>65.8</v>
      </c>
      <c r="L5" s="15">
        <v>72.599999999999994</v>
      </c>
      <c r="M5" s="15">
        <v>73.599999999999994</v>
      </c>
      <c r="N5" s="15">
        <v>72.599999999999994</v>
      </c>
    </row>
    <row r="6" spans="2:14" x14ac:dyDescent="0.2">
      <c r="B6" s="16" t="s">
        <v>6</v>
      </c>
      <c r="C6" s="13">
        <v>6.95</v>
      </c>
      <c r="D6" s="13">
        <v>3.07</v>
      </c>
      <c r="E6" s="13">
        <v>4.33</v>
      </c>
      <c r="F6" s="13">
        <v>3.3</v>
      </c>
      <c r="G6" s="13">
        <v>2.17</v>
      </c>
      <c r="H6" s="13">
        <v>2.4500000000000002</v>
      </c>
      <c r="I6" s="13">
        <v>7</v>
      </c>
      <c r="J6" s="13">
        <v>9.0299999999999994</v>
      </c>
      <c r="K6" s="13">
        <v>8.99</v>
      </c>
      <c r="L6" s="13">
        <v>44.3</v>
      </c>
      <c r="M6" s="13">
        <v>36.9</v>
      </c>
      <c r="N6" s="13">
        <v>43.1</v>
      </c>
    </row>
    <row r="7" spans="2:14" x14ac:dyDescent="0.2">
      <c r="B7" s="17"/>
      <c r="C7" s="13">
        <v>4.9800000000000004</v>
      </c>
      <c r="D7" s="13">
        <v>3.19</v>
      </c>
      <c r="E7" s="13">
        <v>5.3</v>
      </c>
      <c r="F7" s="13">
        <v>3.4</v>
      </c>
      <c r="G7" s="13">
        <v>2.15</v>
      </c>
      <c r="H7" s="13">
        <v>2.4500000000000002</v>
      </c>
      <c r="I7" s="13">
        <v>6.89</v>
      </c>
      <c r="J7" s="13">
        <v>13.2</v>
      </c>
      <c r="K7" s="13">
        <v>13.4</v>
      </c>
      <c r="L7" s="13">
        <v>55.9</v>
      </c>
      <c r="M7" s="13">
        <v>50.7</v>
      </c>
      <c r="N7" s="13">
        <v>58.6</v>
      </c>
    </row>
    <row r="8" spans="2:14" x14ac:dyDescent="0.2">
      <c r="B8" s="18"/>
      <c r="C8" s="14">
        <v>10</v>
      </c>
      <c r="D8" s="14">
        <v>2.9</v>
      </c>
      <c r="E8" s="14">
        <v>3.14</v>
      </c>
      <c r="F8" s="14">
        <v>3.31</v>
      </c>
      <c r="G8" s="14">
        <v>2.2999999999999998</v>
      </c>
      <c r="H8" s="14">
        <v>2.4500000000000002</v>
      </c>
      <c r="I8" s="14">
        <v>7.11</v>
      </c>
      <c r="J8" s="14">
        <v>11.3</v>
      </c>
      <c r="K8" s="14">
        <v>9.31</v>
      </c>
      <c r="L8" s="14">
        <v>49.1</v>
      </c>
      <c r="M8" s="14">
        <v>49.3</v>
      </c>
      <c r="N8" s="14">
        <v>57</v>
      </c>
    </row>
    <row r="9" spans="2:14" x14ac:dyDescent="0.2">
      <c r="B9" s="16" t="s">
        <v>7</v>
      </c>
      <c r="C9" s="13">
        <v>2.2400000000000002</v>
      </c>
      <c r="D9" s="12">
        <v>2.58</v>
      </c>
      <c r="E9" s="12">
        <v>3.46</v>
      </c>
      <c r="F9" s="12">
        <v>3.25</v>
      </c>
      <c r="G9" s="12">
        <v>2.17</v>
      </c>
      <c r="H9" s="13">
        <v>2.4300000000000002</v>
      </c>
      <c r="I9" s="13">
        <v>6.51</v>
      </c>
      <c r="J9" s="13">
        <v>8.09</v>
      </c>
      <c r="K9" s="13">
        <v>8.59</v>
      </c>
      <c r="L9" s="13">
        <v>36.4</v>
      </c>
      <c r="M9" s="13">
        <v>27.8</v>
      </c>
      <c r="N9" s="13">
        <v>29.4</v>
      </c>
    </row>
    <row r="10" spans="2:14" x14ac:dyDescent="0.2">
      <c r="B10" s="17"/>
      <c r="C10" s="13">
        <v>2.91</v>
      </c>
      <c r="D10" s="13">
        <v>2.62</v>
      </c>
      <c r="E10" s="13">
        <v>2.29</v>
      </c>
      <c r="F10" s="13">
        <v>3.75</v>
      </c>
      <c r="G10" s="13">
        <v>2.19</v>
      </c>
      <c r="H10" s="13">
        <v>2.5</v>
      </c>
      <c r="I10" s="13">
        <v>6.5</v>
      </c>
      <c r="J10" s="13">
        <v>7.89</v>
      </c>
      <c r="K10" s="13">
        <v>8.84</v>
      </c>
      <c r="L10" s="13">
        <v>35.5</v>
      </c>
      <c r="M10" s="13">
        <v>27.1</v>
      </c>
      <c r="N10" s="13">
        <v>31.2</v>
      </c>
    </row>
    <row r="11" spans="2:14" x14ac:dyDescent="0.2">
      <c r="B11" s="18"/>
      <c r="C11" s="14">
        <v>3.07</v>
      </c>
      <c r="D11" s="14">
        <v>2.52</v>
      </c>
      <c r="E11" s="14">
        <v>3.64</v>
      </c>
      <c r="F11" s="14">
        <v>3.34</v>
      </c>
      <c r="G11" s="14">
        <v>2.2999999999999998</v>
      </c>
      <c r="H11" s="14">
        <v>2.3199999999999998</v>
      </c>
      <c r="I11" s="14">
        <v>6.49</v>
      </c>
      <c r="J11" s="14">
        <v>7.99</v>
      </c>
      <c r="K11" s="14">
        <v>9.1999999999999993</v>
      </c>
      <c r="L11" s="14">
        <v>30.1</v>
      </c>
      <c r="M11" s="14">
        <v>27.7</v>
      </c>
      <c r="N11" s="14">
        <v>29.4</v>
      </c>
    </row>
    <row r="12" spans="2:14" x14ac:dyDescent="0.2">
      <c r="B12" s="3" t="s">
        <v>8</v>
      </c>
      <c r="C12" s="2">
        <f t="shared" ref="C12:E12" si="0">AVERAGE(C6:C8)</f>
        <v>7.31</v>
      </c>
      <c r="D12" s="2">
        <f t="shared" si="0"/>
        <v>3.0533333333333332</v>
      </c>
      <c r="E12" s="2">
        <f t="shared" si="0"/>
        <v>4.2566666666666668</v>
      </c>
      <c r="F12" s="2">
        <f t="shared" ref="F12:N12" si="1">AVERAGE(F6:F8)</f>
        <v>3.3366666666666664</v>
      </c>
      <c r="G12" s="2">
        <f t="shared" si="1"/>
        <v>2.2066666666666666</v>
      </c>
      <c r="H12" s="2">
        <f t="shared" si="1"/>
        <v>2.4500000000000002</v>
      </c>
      <c r="I12" s="2">
        <f t="shared" si="1"/>
        <v>7</v>
      </c>
      <c r="J12" s="2">
        <f t="shared" si="1"/>
        <v>11.176666666666668</v>
      </c>
      <c r="K12" s="2">
        <f t="shared" si="1"/>
        <v>10.566666666666668</v>
      </c>
      <c r="L12" s="2">
        <f t="shared" si="1"/>
        <v>49.766666666666659</v>
      </c>
      <c r="M12" s="2">
        <f t="shared" si="1"/>
        <v>45.633333333333326</v>
      </c>
      <c r="N12" s="2">
        <f t="shared" si="1"/>
        <v>52.9</v>
      </c>
    </row>
    <row r="13" spans="2:14" x14ac:dyDescent="0.2">
      <c r="B13" s="4" t="s">
        <v>9</v>
      </c>
      <c r="C13" s="6">
        <f t="shared" ref="C13:E13" si="2">AVERAGE(C9:C11)</f>
        <v>2.74</v>
      </c>
      <c r="D13" s="6">
        <f t="shared" si="2"/>
        <v>2.5733333333333337</v>
      </c>
      <c r="E13" s="6">
        <f t="shared" si="2"/>
        <v>3.1300000000000003</v>
      </c>
      <c r="F13" s="6">
        <f t="shared" ref="F13:N13" si="3">AVERAGE(F9:F11)</f>
        <v>3.4466666666666668</v>
      </c>
      <c r="G13" s="6">
        <f t="shared" si="3"/>
        <v>2.2199999999999998</v>
      </c>
      <c r="H13" s="6">
        <f t="shared" si="3"/>
        <v>2.4166666666666665</v>
      </c>
      <c r="I13" s="6">
        <f t="shared" si="3"/>
        <v>6.5</v>
      </c>
      <c r="J13" s="6">
        <f t="shared" si="3"/>
        <v>7.9899999999999993</v>
      </c>
      <c r="K13" s="6">
        <f t="shared" si="3"/>
        <v>8.8766666666666669</v>
      </c>
      <c r="L13" s="6">
        <f t="shared" si="3"/>
        <v>34</v>
      </c>
      <c r="M13" s="6">
        <f t="shared" si="3"/>
        <v>27.533333333333335</v>
      </c>
      <c r="N13" s="6">
        <f t="shared" si="3"/>
        <v>30</v>
      </c>
    </row>
    <row r="18" spans="2:11" x14ac:dyDescent="0.2">
      <c r="B18" t="s">
        <v>12</v>
      </c>
      <c r="C18" t="s">
        <v>23</v>
      </c>
      <c r="D18" t="s">
        <v>15</v>
      </c>
      <c r="F18" t="s">
        <v>13</v>
      </c>
    </row>
    <row r="19" spans="2:11" x14ac:dyDescent="0.2">
      <c r="B19" t="s">
        <v>10</v>
      </c>
      <c r="G19" s="2"/>
      <c r="I19" s="2"/>
      <c r="J19" s="2"/>
    </row>
    <row r="20" spans="2:11" x14ac:dyDescent="0.2">
      <c r="C20">
        <f>C3</f>
        <v>0</v>
      </c>
      <c r="D20" s="2">
        <f>AVERAGE(C12:E12)</f>
        <v>4.873333333333334</v>
      </c>
      <c r="F20" s="2">
        <f>STDEV(C12:E12)</f>
        <v>2.1943133575474367</v>
      </c>
      <c r="G20" s="2"/>
      <c r="I20" s="2"/>
      <c r="J20" s="2"/>
    </row>
    <row r="21" spans="2:11" x14ac:dyDescent="0.2">
      <c r="C21">
        <v>10</v>
      </c>
      <c r="D21" s="2">
        <f>AVERAGE(F12:H12)</f>
        <v>2.6644444444444444</v>
      </c>
      <c r="E21" s="2"/>
      <c r="F21" s="2">
        <f>STDEV(F12:H12)</f>
        <v>0.59473928306007884</v>
      </c>
      <c r="G21" s="2"/>
      <c r="I21" s="2"/>
      <c r="J21" s="2"/>
    </row>
    <row r="22" spans="2:11" x14ac:dyDescent="0.2">
      <c r="C22">
        <v>20</v>
      </c>
      <c r="D22" s="2">
        <f>AVERAGE(I12:K12)</f>
        <v>9.5811111111111131</v>
      </c>
      <c r="E22" s="2"/>
      <c r="F22" s="2">
        <f>STDEV(I12:K12)</f>
        <v>2.256019930303343</v>
      </c>
      <c r="G22" s="2"/>
      <c r="I22" s="2"/>
      <c r="J22" s="2"/>
    </row>
    <row r="23" spans="2:11" x14ac:dyDescent="0.2">
      <c r="C23">
        <v>30</v>
      </c>
      <c r="D23" s="2">
        <f>AVERAGE(L12:N12)</f>
        <v>49.43333333333333</v>
      </c>
      <c r="E23" s="2"/>
      <c r="F23" s="2">
        <f>STDEV(L12:N12)</f>
        <v>3.6447831820897751</v>
      </c>
      <c r="G23" s="2"/>
      <c r="I23" s="2"/>
      <c r="J23" s="2"/>
    </row>
    <row r="24" spans="2:11" x14ac:dyDescent="0.2">
      <c r="D24" s="2"/>
      <c r="E24" s="2"/>
      <c r="F24" s="2"/>
      <c r="G24" s="2"/>
      <c r="I24" s="2"/>
      <c r="J24" s="2"/>
    </row>
    <row r="25" spans="2:11" x14ac:dyDescent="0.2">
      <c r="B25" t="s">
        <v>11</v>
      </c>
      <c r="C25">
        <f>C20</f>
        <v>0</v>
      </c>
      <c r="D25" s="2">
        <f>AVERAGE(C13:E13)</f>
        <v>2.8144444444444452</v>
      </c>
      <c r="E25" s="2"/>
      <c r="F25" s="2">
        <f>STDEV(C13:E13)</f>
        <v>0.28570251298496824</v>
      </c>
      <c r="G25" s="2"/>
      <c r="I25" s="2"/>
      <c r="J25" s="2"/>
    </row>
    <row r="26" spans="2:11" x14ac:dyDescent="0.2">
      <c r="C26">
        <v>10</v>
      </c>
      <c r="D26" s="2">
        <f>AVERAGE(F13:H13)</f>
        <v>2.6944444444444442</v>
      </c>
      <c r="E26" s="2"/>
      <c r="F26" s="2">
        <f>STDEV(F13:H13)</f>
        <v>0.65882330571113845</v>
      </c>
    </row>
    <row r="27" spans="2:11" x14ac:dyDescent="0.2">
      <c r="C27">
        <v>20</v>
      </c>
      <c r="D27" s="2">
        <f>AVERAGE(I13:K13)</f>
        <v>7.7888888888888888</v>
      </c>
      <c r="E27" s="2"/>
      <c r="F27" s="2">
        <f>STDEV(I13:K13)</f>
        <v>1.2010288799068674</v>
      </c>
    </row>
    <row r="28" spans="2:11" x14ac:dyDescent="0.2">
      <c r="C28">
        <v>30</v>
      </c>
      <c r="D28" s="2">
        <f>AVERAGE(L13:N13)</f>
        <v>30.511111111111109</v>
      </c>
      <c r="F28" s="2">
        <f>STDEV(L13:N13)</f>
        <v>3.2634905194240056</v>
      </c>
    </row>
    <row r="29" spans="2:11" x14ac:dyDescent="0.2">
      <c r="G29" s="2"/>
      <c r="I29" s="2"/>
      <c r="J29" s="2"/>
      <c r="K29" s="2"/>
    </row>
    <row r="30" spans="2:11" x14ac:dyDescent="0.2">
      <c r="B30" t="s">
        <v>22</v>
      </c>
      <c r="C30">
        <f>C25</f>
        <v>0</v>
      </c>
      <c r="D30">
        <f>AVERAGE(C5:E5)</f>
        <v>62.866666666666674</v>
      </c>
      <c r="F30">
        <f>STDEV(C5:E5)</f>
        <v>0.56960024968783496</v>
      </c>
      <c r="G30" s="2"/>
      <c r="I30" s="2"/>
      <c r="J30" s="2"/>
      <c r="K30" s="2"/>
    </row>
    <row r="31" spans="2:11" x14ac:dyDescent="0.2">
      <c r="C31">
        <v>10</v>
      </c>
      <c r="D31">
        <f>AVERAGE(F5:H5)</f>
        <v>66.166666666666671</v>
      </c>
      <c r="E31" s="2"/>
      <c r="F31" s="2">
        <f>STDEV(F5:H5)</f>
        <v>0.63508529610859321</v>
      </c>
      <c r="G31" s="2"/>
      <c r="I31" s="2"/>
      <c r="J31" s="2"/>
      <c r="K31" s="2"/>
    </row>
    <row r="32" spans="2:11" x14ac:dyDescent="0.2">
      <c r="C32">
        <v>20</v>
      </c>
      <c r="D32">
        <f>AVERAGE(I5:K5)</f>
        <v>67.899999999999991</v>
      </c>
      <c r="F32">
        <f>STDEV(I5:K5)</f>
        <v>1.8193405398660283</v>
      </c>
    </row>
    <row r="33" spans="3:6" x14ac:dyDescent="0.2">
      <c r="C33">
        <v>30</v>
      </c>
      <c r="D33">
        <f>AVERAGE(L5:N5)</f>
        <v>72.933333333333323</v>
      </c>
      <c r="F33">
        <f>STDEV(L5:N5)</f>
        <v>0.57735026918962573</v>
      </c>
    </row>
    <row r="60" spans="6:10" x14ac:dyDescent="0.2">
      <c r="F60" s="2"/>
      <c r="G60" s="2"/>
      <c r="I60" s="2"/>
      <c r="J60" s="2"/>
    </row>
    <row r="61" spans="6:10" x14ac:dyDescent="0.2">
      <c r="F61" s="2"/>
      <c r="G61" s="2"/>
      <c r="I61" s="2"/>
      <c r="J61" s="2"/>
    </row>
    <row r="62" spans="6:10" x14ac:dyDescent="0.2">
      <c r="F62" s="2"/>
      <c r="G62" s="2"/>
      <c r="I62" s="2"/>
      <c r="J62" s="2"/>
    </row>
  </sheetData>
  <mergeCells count="6">
    <mergeCell ref="B9:B11"/>
    <mergeCell ref="L2:N2"/>
    <mergeCell ref="C2:E2"/>
    <mergeCell ref="F2:H2"/>
    <mergeCell ref="I2:K2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8, Fig S7</vt:lpstr>
      <vt:lpstr>Fig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2024-10-09T20:29:59Z</dcterms:created>
  <dcterms:modified xsi:type="dcterms:W3CDTF">2026-04-13T17:04:31Z</dcterms:modified>
</cp:coreProperties>
</file>