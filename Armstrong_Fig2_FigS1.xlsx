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ml.chartshapes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ml.chartshapes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ml.chartshapes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ml.chartshapes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ml.chartshapes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ml.chartshapes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ml.chartshapes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wen/Library/CloudStorage/OneDrive-McGillUniversity/GRAD SCHOOL/Projects/Armstrong et al_/Armstrong Data Feb 2026/"/>
    </mc:Choice>
  </mc:AlternateContent>
  <xr:revisionPtr revIDLastSave="0" documentId="13_ncr:1_{291B9272-4299-A04A-A957-DC5283C8D141}" xr6:coauthVersionLast="47" xr6:coauthVersionMax="47" xr10:uidLastSave="{00000000-0000-0000-0000-000000000000}"/>
  <bookViews>
    <workbookView xWindow="0" yWindow="0" windowWidth="38400" windowHeight="21600" activeTab="3" xr2:uid="{3B976935-2215-B846-88C9-D5E0EB0C3E83}"/>
  </bookViews>
  <sheets>
    <sheet name="Fig 2a" sheetId="3" r:id="rId1"/>
    <sheet name="Fig 2b" sheetId="8" r:id="rId2"/>
    <sheet name="Fig 2c, Fig S1" sheetId="10" r:id="rId3"/>
    <sheet name="Fig 2d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5" i="12" l="1"/>
  <c r="N5" i="12"/>
  <c r="T5" i="12"/>
  <c r="D40" i="8"/>
  <c r="D41" i="8"/>
  <c r="D38" i="8"/>
  <c r="N24" i="3"/>
  <c r="I4" i="3"/>
  <c r="H4" i="3"/>
  <c r="N41" i="8"/>
  <c r="M41" i="8"/>
  <c r="N40" i="8"/>
  <c r="M40" i="8"/>
  <c r="N39" i="8"/>
  <c r="M39" i="8"/>
  <c r="N38" i="8"/>
  <c r="M38" i="8"/>
  <c r="J41" i="8"/>
  <c r="J40" i="8"/>
  <c r="J38" i="8"/>
  <c r="G39" i="8"/>
  <c r="G38" i="8"/>
  <c r="D39" i="8"/>
  <c r="K41" i="8"/>
  <c r="C39" i="8"/>
  <c r="C38" i="8"/>
  <c r="Q6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3" i="12"/>
  <c r="S74" i="12"/>
  <c r="S75" i="12"/>
  <c r="S76" i="12"/>
  <c r="S77" i="12"/>
  <c r="S78" i="12"/>
  <c r="S79" i="12"/>
  <c r="S80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19" i="12"/>
  <c r="S120" i="12"/>
  <c r="S121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8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1" i="12"/>
  <c r="S172" i="12"/>
  <c r="S173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2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3" i="12"/>
  <c r="S354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19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1" i="12"/>
  <c r="S482" i="12"/>
  <c r="S483" i="12"/>
  <c r="S484" i="12"/>
  <c r="S485" i="12"/>
  <c r="S486" i="12"/>
  <c r="S487" i="12"/>
  <c r="S488" i="12"/>
  <c r="S489" i="12"/>
  <c r="S490" i="12"/>
  <c r="S491" i="12"/>
  <c r="S492" i="12"/>
  <c r="S493" i="12"/>
  <c r="S494" i="12"/>
  <c r="S495" i="12"/>
  <c r="S496" i="12"/>
  <c r="S497" i="12"/>
  <c r="S498" i="12"/>
  <c r="S499" i="12"/>
  <c r="S500" i="12"/>
  <c r="S501" i="12"/>
  <c r="S502" i="12"/>
  <c r="S503" i="12"/>
  <c r="S504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520" i="12"/>
  <c r="S521" i="12"/>
  <c r="S522" i="12"/>
  <c r="S523" i="12"/>
  <c r="S524" i="12"/>
  <c r="S525" i="12"/>
  <c r="S526" i="12"/>
  <c r="S527" i="12"/>
  <c r="S528" i="12"/>
  <c r="S529" i="12"/>
  <c r="S530" i="12"/>
  <c r="S531" i="12"/>
  <c r="S532" i="12"/>
  <c r="S533" i="12"/>
  <c r="S534" i="12"/>
  <c r="S535" i="12"/>
  <c r="S536" i="12"/>
  <c r="S537" i="12"/>
  <c r="S538" i="12"/>
  <c r="S539" i="12"/>
  <c r="S540" i="12"/>
  <c r="S541" i="12"/>
  <c r="S542" i="12"/>
  <c r="S543" i="12"/>
  <c r="S544" i="12"/>
  <c r="S545" i="12"/>
  <c r="S546" i="12"/>
  <c r="S547" i="12"/>
  <c r="S548" i="12"/>
  <c r="S549" i="12"/>
  <c r="S550" i="12"/>
  <c r="S551" i="12"/>
  <c r="S552" i="12"/>
  <c r="S553" i="12"/>
  <c r="S554" i="12"/>
  <c r="S555" i="12"/>
  <c r="S556" i="12"/>
  <c r="S557" i="12"/>
  <c r="S558" i="12"/>
  <c r="S559" i="12"/>
  <c r="S560" i="12"/>
  <c r="S561" i="12"/>
  <c r="S562" i="12"/>
  <c r="S563" i="12"/>
  <c r="S564" i="12"/>
  <c r="S565" i="12"/>
  <c r="S566" i="12"/>
  <c r="S567" i="12"/>
  <c r="S568" i="12"/>
  <c r="S569" i="12"/>
  <c r="S570" i="12"/>
  <c r="S571" i="12"/>
  <c r="S572" i="12"/>
  <c r="S573" i="12"/>
  <c r="S574" i="12"/>
  <c r="S575" i="12"/>
  <c r="S576" i="12"/>
  <c r="S577" i="12"/>
  <c r="S578" i="12"/>
  <c r="S579" i="12"/>
  <c r="S580" i="12"/>
  <c r="S581" i="12"/>
  <c r="S582" i="12"/>
  <c r="S583" i="12"/>
  <c r="S584" i="12"/>
  <c r="S585" i="12"/>
  <c r="S586" i="12"/>
  <c r="S587" i="12"/>
  <c r="S588" i="12"/>
  <c r="S589" i="12"/>
  <c r="S590" i="12"/>
  <c r="S591" i="12"/>
  <c r="S5" i="12"/>
  <c r="Q7" i="12"/>
  <c r="Q8" i="12"/>
  <c r="Q9" i="12"/>
  <c r="Q10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2" i="12"/>
  <c r="Q43" i="12"/>
  <c r="Q44" i="12"/>
  <c r="Q45" i="12"/>
  <c r="Q46" i="12"/>
  <c r="Q47" i="12"/>
  <c r="Q48" i="12"/>
  <c r="Q49" i="12"/>
  <c r="Q50" i="12"/>
  <c r="Q51" i="12"/>
  <c r="Q52" i="12"/>
  <c r="Q53" i="12"/>
  <c r="Q54" i="12"/>
  <c r="Q55" i="12"/>
  <c r="Q56" i="12"/>
  <c r="Q57" i="12"/>
  <c r="Q58" i="12"/>
  <c r="Q59" i="12"/>
  <c r="Q60" i="12"/>
  <c r="Q61" i="12"/>
  <c r="Q62" i="12"/>
  <c r="Q63" i="12"/>
  <c r="Q64" i="12"/>
  <c r="Q65" i="12"/>
  <c r="Q66" i="12"/>
  <c r="Q67" i="12"/>
  <c r="Q68" i="12"/>
  <c r="Q69" i="12"/>
  <c r="Q70" i="12"/>
  <c r="Q71" i="12"/>
  <c r="Q72" i="12"/>
  <c r="Q73" i="12"/>
  <c r="Q74" i="12"/>
  <c r="Q75" i="12"/>
  <c r="Q76" i="12"/>
  <c r="Q77" i="12"/>
  <c r="Q78" i="12"/>
  <c r="Q79" i="12"/>
  <c r="Q80" i="12"/>
  <c r="Q81" i="12"/>
  <c r="Q82" i="12"/>
  <c r="Q83" i="12"/>
  <c r="Q84" i="12"/>
  <c r="Q85" i="12"/>
  <c r="Q86" i="12"/>
  <c r="Q87" i="12"/>
  <c r="Q88" i="12"/>
  <c r="Q89" i="12"/>
  <c r="Q90" i="12"/>
  <c r="Q91" i="12"/>
  <c r="Q92" i="12"/>
  <c r="Q93" i="12"/>
  <c r="Q94" i="12"/>
  <c r="Q95" i="12"/>
  <c r="Q96" i="12"/>
  <c r="Q97" i="12"/>
  <c r="Q98" i="12"/>
  <c r="Q99" i="12"/>
  <c r="Q100" i="12"/>
  <c r="Q101" i="12"/>
  <c r="Q102" i="12"/>
  <c r="Q103" i="12"/>
  <c r="Q104" i="12"/>
  <c r="Q105" i="12"/>
  <c r="Q106" i="12"/>
  <c r="Q107" i="12"/>
  <c r="Q108" i="12"/>
  <c r="Q109" i="12"/>
  <c r="Q110" i="12"/>
  <c r="Q111" i="12"/>
  <c r="Q112" i="12"/>
  <c r="Q113" i="12"/>
  <c r="Q114" i="12"/>
  <c r="Q115" i="12"/>
  <c r="Q116" i="12"/>
  <c r="Q117" i="12"/>
  <c r="Q118" i="12"/>
  <c r="Q119" i="12"/>
  <c r="Q120" i="12"/>
  <c r="Q121" i="12"/>
  <c r="Q122" i="12"/>
  <c r="Q123" i="12"/>
  <c r="Q124" i="12"/>
  <c r="Q125" i="12"/>
  <c r="Q126" i="12"/>
  <c r="Q127" i="12"/>
  <c r="Q128" i="12"/>
  <c r="Q129" i="12"/>
  <c r="Q130" i="12"/>
  <c r="Q131" i="12"/>
  <c r="Q132" i="12"/>
  <c r="Q133" i="12"/>
  <c r="Q134" i="12"/>
  <c r="Q135" i="12"/>
  <c r="Q136" i="12"/>
  <c r="Q137" i="12"/>
  <c r="Q138" i="12"/>
  <c r="Q139" i="12"/>
  <c r="Q140" i="12"/>
  <c r="Q141" i="12"/>
  <c r="Q142" i="12"/>
  <c r="Q143" i="12"/>
  <c r="Q144" i="12"/>
  <c r="Q145" i="12"/>
  <c r="Q146" i="12"/>
  <c r="Q147" i="12"/>
  <c r="Q148" i="12"/>
  <c r="Q149" i="12"/>
  <c r="Q150" i="12"/>
  <c r="Q151" i="12"/>
  <c r="Q152" i="12"/>
  <c r="Q153" i="12"/>
  <c r="Q154" i="12"/>
  <c r="Q155" i="12"/>
  <c r="Q156" i="12"/>
  <c r="Q157" i="12"/>
  <c r="Q158" i="12"/>
  <c r="Q159" i="12"/>
  <c r="Q160" i="12"/>
  <c r="Q161" i="12"/>
  <c r="Q162" i="12"/>
  <c r="Q163" i="12"/>
  <c r="Q164" i="12"/>
  <c r="Q165" i="12"/>
  <c r="Q166" i="12"/>
  <c r="Q167" i="12"/>
  <c r="Q168" i="12"/>
  <c r="Q169" i="12"/>
  <c r="Q170" i="12"/>
  <c r="Q171" i="12"/>
  <c r="Q172" i="12"/>
  <c r="Q173" i="12"/>
  <c r="Q174" i="12"/>
  <c r="Q175" i="12"/>
  <c r="Q176" i="12"/>
  <c r="Q177" i="12"/>
  <c r="Q178" i="12"/>
  <c r="Q179" i="12"/>
  <c r="Q180" i="12"/>
  <c r="Q181" i="12"/>
  <c r="Q182" i="12"/>
  <c r="Q183" i="12"/>
  <c r="Q184" i="12"/>
  <c r="Q185" i="12"/>
  <c r="Q186" i="12"/>
  <c r="Q187" i="12"/>
  <c r="Q188" i="12"/>
  <c r="Q189" i="12"/>
  <c r="Q190" i="12"/>
  <c r="Q191" i="12"/>
  <c r="Q192" i="12"/>
  <c r="Q193" i="12"/>
  <c r="Q194" i="12"/>
  <c r="Q195" i="12"/>
  <c r="Q196" i="12"/>
  <c r="Q197" i="12"/>
  <c r="Q198" i="12"/>
  <c r="Q199" i="12"/>
  <c r="Q200" i="12"/>
  <c r="Q201" i="12"/>
  <c r="Q202" i="12"/>
  <c r="Q203" i="12"/>
  <c r="Q204" i="12"/>
  <c r="Q205" i="12"/>
  <c r="Q206" i="12"/>
  <c r="Q207" i="12"/>
  <c r="Q208" i="12"/>
  <c r="Q209" i="12"/>
  <c r="Q210" i="12"/>
  <c r="Q211" i="12"/>
  <c r="Q212" i="12"/>
  <c r="Q213" i="12"/>
  <c r="Q214" i="12"/>
  <c r="Q215" i="12"/>
  <c r="Q216" i="12"/>
  <c r="Q217" i="12"/>
  <c r="Q218" i="12"/>
  <c r="Q219" i="12"/>
  <c r="Q220" i="12"/>
  <c r="Q221" i="12"/>
  <c r="Q222" i="12"/>
  <c r="Q223" i="12"/>
  <c r="Q224" i="12"/>
  <c r="Q225" i="12"/>
  <c r="Q226" i="12"/>
  <c r="Q227" i="12"/>
  <c r="Q228" i="12"/>
  <c r="Q229" i="12"/>
  <c r="Q230" i="12"/>
  <c r="Q231" i="12"/>
  <c r="Q232" i="12"/>
  <c r="Q233" i="12"/>
  <c r="Q234" i="12"/>
  <c r="Q235" i="12"/>
  <c r="Q236" i="12"/>
  <c r="Q237" i="12"/>
  <c r="Q238" i="12"/>
  <c r="Q239" i="12"/>
  <c r="Q240" i="12"/>
  <c r="Q241" i="12"/>
  <c r="Q242" i="12"/>
  <c r="Q243" i="12"/>
  <c r="Q244" i="12"/>
  <c r="Q245" i="12"/>
  <c r="Q246" i="12"/>
  <c r="Q247" i="12"/>
  <c r="Q248" i="12"/>
  <c r="Q249" i="12"/>
  <c r="Q250" i="12"/>
  <c r="Q251" i="12"/>
  <c r="Q252" i="12"/>
  <c r="Q253" i="12"/>
  <c r="Q254" i="12"/>
  <c r="Q255" i="12"/>
  <c r="Q256" i="12"/>
  <c r="Q257" i="12"/>
  <c r="Q258" i="12"/>
  <c r="Q259" i="12"/>
  <c r="Q260" i="12"/>
  <c r="Q261" i="12"/>
  <c r="Q262" i="12"/>
  <c r="Q263" i="12"/>
  <c r="Q264" i="12"/>
  <c r="Q265" i="12"/>
  <c r="Q266" i="12"/>
  <c r="Q267" i="12"/>
  <c r="Q268" i="12"/>
  <c r="Q269" i="12"/>
  <c r="Q270" i="12"/>
  <c r="Q271" i="12"/>
  <c r="Q272" i="12"/>
  <c r="Q273" i="12"/>
  <c r="Q274" i="12"/>
  <c r="Q275" i="12"/>
  <c r="Q276" i="12"/>
  <c r="Q277" i="12"/>
  <c r="Q278" i="12"/>
  <c r="Q279" i="12"/>
  <c r="Q280" i="12"/>
  <c r="Q281" i="12"/>
  <c r="Q282" i="12"/>
  <c r="Q283" i="12"/>
  <c r="Q284" i="12"/>
  <c r="Q285" i="12"/>
  <c r="Q286" i="12"/>
  <c r="Q287" i="12"/>
  <c r="Q288" i="12"/>
  <c r="Q289" i="12"/>
  <c r="Q290" i="12"/>
  <c r="Q291" i="12"/>
  <c r="Q292" i="12"/>
  <c r="Q293" i="12"/>
  <c r="Q294" i="12"/>
  <c r="Q295" i="12"/>
  <c r="Q296" i="12"/>
  <c r="Q297" i="12"/>
  <c r="Q298" i="12"/>
  <c r="Q299" i="12"/>
  <c r="Q300" i="12"/>
  <c r="Q301" i="12"/>
  <c r="Q302" i="12"/>
  <c r="Q303" i="12"/>
  <c r="Q304" i="12"/>
  <c r="Q305" i="12"/>
  <c r="Q306" i="12"/>
  <c r="Q307" i="12"/>
  <c r="Q308" i="12"/>
  <c r="Q309" i="12"/>
  <c r="Q310" i="12"/>
  <c r="Q311" i="12"/>
  <c r="Q312" i="12"/>
  <c r="Q313" i="12"/>
  <c r="Q314" i="12"/>
  <c r="Q315" i="12"/>
  <c r="Q316" i="12"/>
  <c r="Q317" i="12"/>
  <c r="Q318" i="12"/>
  <c r="Q319" i="12"/>
  <c r="Q320" i="12"/>
  <c r="Q321" i="12"/>
  <c r="Q322" i="12"/>
  <c r="Q323" i="12"/>
  <c r="Q324" i="12"/>
  <c r="Q325" i="12"/>
  <c r="Q326" i="12"/>
  <c r="Q327" i="12"/>
  <c r="Q328" i="12"/>
  <c r="Q329" i="12"/>
  <c r="Q330" i="12"/>
  <c r="Q331" i="12"/>
  <c r="Q332" i="12"/>
  <c r="Q333" i="12"/>
  <c r="Q334" i="12"/>
  <c r="Q335" i="12"/>
  <c r="Q336" i="12"/>
  <c r="Q337" i="12"/>
  <c r="Q338" i="12"/>
  <c r="Q339" i="12"/>
  <c r="Q340" i="12"/>
  <c r="Q341" i="12"/>
  <c r="Q342" i="12"/>
  <c r="Q343" i="12"/>
  <c r="Q344" i="12"/>
  <c r="Q345" i="12"/>
  <c r="Q346" i="12"/>
  <c r="Q347" i="12"/>
  <c r="Q348" i="12"/>
  <c r="Q349" i="12"/>
  <c r="Q350" i="12"/>
  <c r="Q351" i="12"/>
  <c r="Q352" i="12"/>
  <c r="Q353" i="12"/>
  <c r="Q354" i="12"/>
  <c r="Q355" i="12"/>
  <c r="Q356" i="12"/>
  <c r="Q357" i="12"/>
  <c r="Q358" i="12"/>
  <c r="Q359" i="12"/>
  <c r="Q360" i="12"/>
  <c r="Q361" i="12"/>
  <c r="Q362" i="12"/>
  <c r="Q363" i="12"/>
  <c r="Q364" i="12"/>
  <c r="Q365" i="12"/>
  <c r="Q366" i="12"/>
  <c r="Q367" i="12"/>
  <c r="Q368" i="12"/>
  <c r="Q369" i="12"/>
  <c r="Q370" i="12"/>
  <c r="Q371" i="12"/>
  <c r="Q372" i="12"/>
  <c r="Q373" i="12"/>
  <c r="Q374" i="12"/>
  <c r="Q375" i="12"/>
  <c r="Q376" i="12"/>
  <c r="Q377" i="12"/>
  <c r="Q378" i="12"/>
  <c r="Q379" i="12"/>
  <c r="Q380" i="12"/>
  <c r="Q381" i="12"/>
  <c r="Q382" i="12"/>
  <c r="Q383" i="12"/>
  <c r="Q384" i="12"/>
  <c r="Q385" i="12"/>
  <c r="Q386" i="12"/>
  <c r="Q387" i="12"/>
  <c r="Q388" i="12"/>
  <c r="Q389" i="12"/>
  <c r="Q390" i="12"/>
  <c r="Q391" i="12"/>
  <c r="Q392" i="12"/>
  <c r="Q393" i="12"/>
  <c r="Q394" i="12"/>
  <c r="Q395" i="12"/>
  <c r="Q396" i="12"/>
  <c r="Q397" i="12"/>
  <c r="Q398" i="12"/>
  <c r="Q399" i="12"/>
  <c r="Q400" i="12"/>
  <c r="Q401" i="12"/>
  <c r="Q402" i="12"/>
  <c r="Q403" i="12"/>
  <c r="Q404" i="12"/>
  <c r="Q405" i="12"/>
  <c r="Q406" i="12"/>
  <c r="Q407" i="12"/>
  <c r="Q408" i="12"/>
  <c r="Q409" i="12"/>
  <c r="Q410" i="12"/>
  <c r="Q411" i="12"/>
  <c r="Q412" i="12"/>
  <c r="Q413" i="12"/>
  <c r="Q414" i="12"/>
  <c r="Q415" i="12"/>
  <c r="Q416" i="12"/>
  <c r="Q417" i="12"/>
  <c r="Q418" i="12"/>
  <c r="Q419" i="12"/>
  <c r="Q420" i="12"/>
  <c r="Q421" i="12"/>
  <c r="Q422" i="12"/>
  <c r="Q423" i="12"/>
  <c r="Q424" i="12"/>
  <c r="Q425" i="12"/>
  <c r="Q426" i="12"/>
  <c r="Q427" i="12"/>
  <c r="Q428" i="12"/>
  <c r="Q429" i="12"/>
  <c r="Q430" i="12"/>
  <c r="Q431" i="12"/>
  <c r="Q432" i="12"/>
  <c r="Q433" i="12"/>
  <c r="Q434" i="12"/>
  <c r="Q435" i="12"/>
  <c r="Q436" i="12"/>
  <c r="Q437" i="12"/>
  <c r="Q438" i="12"/>
  <c r="Q439" i="12"/>
  <c r="Q440" i="12"/>
  <c r="Q441" i="12"/>
  <c r="Q442" i="12"/>
  <c r="Q443" i="12"/>
  <c r="Q444" i="12"/>
  <c r="Q445" i="12"/>
  <c r="Q446" i="12"/>
  <c r="Q447" i="12"/>
  <c r="Q448" i="12"/>
  <c r="Q449" i="12"/>
  <c r="Q450" i="12"/>
  <c r="Q451" i="12"/>
  <c r="Q452" i="12"/>
  <c r="Q453" i="12"/>
  <c r="Q454" i="12"/>
  <c r="Q455" i="12"/>
  <c r="Q456" i="12"/>
  <c r="Q457" i="12"/>
  <c r="Q458" i="12"/>
  <c r="Q459" i="12"/>
  <c r="Q460" i="12"/>
  <c r="Q461" i="12"/>
  <c r="Q462" i="12"/>
  <c r="Q463" i="12"/>
  <c r="Q464" i="12"/>
  <c r="Q465" i="12"/>
  <c r="Q466" i="12"/>
  <c r="Q467" i="12"/>
  <c r="Q468" i="12"/>
  <c r="Q469" i="12"/>
  <c r="Q470" i="12"/>
  <c r="Q471" i="12"/>
  <c r="Q472" i="12"/>
  <c r="Q473" i="12"/>
  <c r="Q474" i="12"/>
  <c r="Q475" i="12"/>
  <c r="Q476" i="12"/>
  <c r="Q477" i="12"/>
  <c r="Q478" i="12"/>
  <c r="Q479" i="12"/>
  <c r="Q480" i="12"/>
  <c r="Q481" i="12"/>
  <c r="Q482" i="12"/>
  <c r="Q483" i="12"/>
  <c r="Q484" i="12"/>
  <c r="Q485" i="12"/>
  <c r="Q486" i="12"/>
  <c r="Q487" i="12"/>
  <c r="Q488" i="12"/>
  <c r="Q489" i="12"/>
  <c r="Q490" i="12"/>
  <c r="Q491" i="12"/>
  <c r="Q492" i="12"/>
  <c r="Q493" i="12"/>
  <c r="Q494" i="12"/>
  <c r="Q495" i="12"/>
  <c r="Q496" i="12"/>
  <c r="Q497" i="12"/>
  <c r="Q498" i="12"/>
  <c r="Q499" i="12"/>
  <c r="Q500" i="12"/>
  <c r="Q501" i="12"/>
  <c r="Q502" i="12"/>
  <c r="Q503" i="12"/>
  <c r="Q504" i="12"/>
  <c r="Q505" i="12"/>
  <c r="Q506" i="12"/>
  <c r="Q507" i="12"/>
  <c r="Q508" i="12"/>
  <c r="Q509" i="12"/>
  <c r="Q510" i="12"/>
  <c r="Q511" i="12"/>
  <c r="Q512" i="12"/>
  <c r="Q513" i="12"/>
  <c r="Q514" i="12"/>
  <c r="Q515" i="12"/>
  <c r="Q516" i="12"/>
  <c r="Q517" i="12"/>
  <c r="Q518" i="12"/>
  <c r="Q519" i="12"/>
  <c r="Q520" i="12"/>
  <c r="Q521" i="12"/>
  <c r="Q522" i="12"/>
  <c r="Q523" i="12"/>
  <c r="Q524" i="12"/>
  <c r="Q525" i="12"/>
  <c r="Q526" i="12"/>
  <c r="Q527" i="12"/>
  <c r="Q528" i="12"/>
  <c r="Q529" i="12"/>
  <c r="Q530" i="12"/>
  <c r="Q531" i="12"/>
  <c r="Q532" i="12"/>
  <c r="Q533" i="12"/>
  <c r="Q534" i="12"/>
  <c r="Q535" i="12"/>
  <c r="Q536" i="12"/>
  <c r="Q537" i="12"/>
  <c r="Q538" i="12"/>
  <c r="Q539" i="12"/>
  <c r="Q540" i="12"/>
  <c r="Q541" i="12"/>
  <c r="Q542" i="12"/>
  <c r="Q543" i="12"/>
  <c r="Q544" i="12"/>
  <c r="Q545" i="12"/>
  <c r="Q546" i="12"/>
  <c r="Q547" i="12"/>
  <c r="Q548" i="12"/>
  <c r="Q549" i="12"/>
  <c r="Q550" i="12"/>
  <c r="Q551" i="12"/>
  <c r="Q552" i="12"/>
  <c r="Q553" i="12"/>
  <c r="Q554" i="12"/>
  <c r="Q555" i="12"/>
  <c r="Q556" i="12"/>
  <c r="Q557" i="12"/>
  <c r="Q558" i="12"/>
  <c r="Q559" i="12"/>
  <c r="Q560" i="12"/>
  <c r="Q561" i="12"/>
  <c r="Q562" i="12"/>
  <c r="Q563" i="12"/>
  <c r="Q564" i="12"/>
  <c r="Q565" i="12"/>
  <c r="Q566" i="12"/>
  <c r="Q567" i="12"/>
  <c r="Q568" i="12"/>
  <c r="Q569" i="12"/>
  <c r="Q570" i="12"/>
  <c r="Q571" i="12"/>
  <c r="Q572" i="12"/>
  <c r="Q573" i="12"/>
  <c r="Q574" i="12"/>
  <c r="Q575" i="12"/>
  <c r="Q576" i="12"/>
  <c r="Q577" i="12"/>
  <c r="Q578" i="12"/>
  <c r="Q579" i="12"/>
  <c r="Q580" i="12"/>
  <c r="Q581" i="12"/>
  <c r="Q582" i="12"/>
  <c r="Q583" i="12"/>
  <c r="Q584" i="12"/>
  <c r="Q585" i="12"/>
  <c r="Q586" i="12"/>
  <c r="Q587" i="12"/>
  <c r="Q588" i="12"/>
  <c r="Q589" i="12"/>
  <c r="Q590" i="12"/>
  <c r="Q591" i="12"/>
  <c r="Q5" i="12"/>
  <c r="O6" i="12"/>
  <c r="O7" i="12"/>
  <c r="O8" i="12"/>
  <c r="O9" i="12"/>
  <c r="O10" i="12"/>
  <c r="O11" i="12"/>
  <c r="O12" i="12"/>
  <c r="O13" i="12"/>
  <c r="O14" i="12"/>
  <c r="O15" i="12"/>
  <c r="O16" i="12"/>
  <c r="O17" i="12"/>
  <c r="O18" i="12"/>
  <c r="O19" i="12"/>
  <c r="O20" i="12"/>
  <c r="O21" i="12"/>
  <c r="O22" i="12"/>
  <c r="O23" i="12"/>
  <c r="O24" i="12"/>
  <c r="O25" i="12"/>
  <c r="O26" i="12"/>
  <c r="O27" i="12"/>
  <c r="O28" i="12"/>
  <c r="O29" i="12"/>
  <c r="O30" i="12"/>
  <c r="O31" i="12"/>
  <c r="O32" i="12"/>
  <c r="O33" i="12"/>
  <c r="O34" i="12"/>
  <c r="O35" i="12"/>
  <c r="O36" i="12"/>
  <c r="O37" i="12"/>
  <c r="O38" i="12"/>
  <c r="O39" i="12"/>
  <c r="O40" i="12"/>
  <c r="O41" i="12"/>
  <c r="O42" i="12"/>
  <c r="O43" i="12"/>
  <c r="O44" i="12"/>
  <c r="O45" i="12"/>
  <c r="O46" i="12"/>
  <c r="O47" i="12"/>
  <c r="O48" i="12"/>
  <c r="O49" i="12"/>
  <c r="O50" i="12"/>
  <c r="O51" i="12"/>
  <c r="O52" i="12"/>
  <c r="O53" i="12"/>
  <c r="O54" i="12"/>
  <c r="O55" i="12"/>
  <c r="O56" i="12"/>
  <c r="O57" i="12"/>
  <c r="O58" i="12"/>
  <c r="O59" i="12"/>
  <c r="O60" i="12"/>
  <c r="O61" i="12"/>
  <c r="O62" i="12"/>
  <c r="O63" i="12"/>
  <c r="O64" i="12"/>
  <c r="O65" i="12"/>
  <c r="O66" i="12"/>
  <c r="O67" i="12"/>
  <c r="O68" i="12"/>
  <c r="O69" i="12"/>
  <c r="O70" i="12"/>
  <c r="O71" i="12"/>
  <c r="O72" i="12"/>
  <c r="O73" i="12"/>
  <c r="O74" i="12"/>
  <c r="O75" i="12"/>
  <c r="O76" i="12"/>
  <c r="O77" i="12"/>
  <c r="O78" i="12"/>
  <c r="O79" i="12"/>
  <c r="O80" i="12"/>
  <c r="O81" i="12"/>
  <c r="O82" i="12"/>
  <c r="O83" i="12"/>
  <c r="O84" i="12"/>
  <c r="O85" i="12"/>
  <c r="O86" i="12"/>
  <c r="O87" i="12"/>
  <c r="O88" i="12"/>
  <c r="O89" i="12"/>
  <c r="O90" i="12"/>
  <c r="O91" i="12"/>
  <c r="O92" i="12"/>
  <c r="O93" i="12"/>
  <c r="O94" i="12"/>
  <c r="O95" i="12"/>
  <c r="O96" i="12"/>
  <c r="O97" i="12"/>
  <c r="O98" i="12"/>
  <c r="O99" i="12"/>
  <c r="O100" i="12"/>
  <c r="O101" i="12"/>
  <c r="O102" i="12"/>
  <c r="O103" i="12"/>
  <c r="O104" i="12"/>
  <c r="O105" i="12"/>
  <c r="O106" i="12"/>
  <c r="O107" i="12"/>
  <c r="O108" i="12"/>
  <c r="O109" i="12"/>
  <c r="O110" i="12"/>
  <c r="O111" i="12"/>
  <c r="O112" i="12"/>
  <c r="O113" i="12"/>
  <c r="O114" i="12"/>
  <c r="O115" i="12"/>
  <c r="O116" i="12"/>
  <c r="O117" i="12"/>
  <c r="O118" i="12"/>
  <c r="O119" i="12"/>
  <c r="O120" i="12"/>
  <c r="O121" i="12"/>
  <c r="O122" i="12"/>
  <c r="O123" i="12"/>
  <c r="O124" i="12"/>
  <c r="O125" i="12"/>
  <c r="O126" i="12"/>
  <c r="O127" i="12"/>
  <c r="O128" i="12"/>
  <c r="O129" i="12"/>
  <c r="O130" i="12"/>
  <c r="O131" i="12"/>
  <c r="O132" i="12"/>
  <c r="O133" i="12"/>
  <c r="O134" i="12"/>
  <c r="O135" i="12"/>
  <c r="O136" i="12"/>
  <c r="O137" i="12"/>
  <c r="O138" i="12"/>
  <c r="O139" i="12"/>
  <c r="O140" i="12"/>
  <c r="O141" i="12"/>
  <c r="O142" i="12"/>
  <c r="O143" i="12"/>
  <c r="O144" i="12"/>
  <c r="O145" i="12"/>
  <c r="O146" i="12"/>
  <c r="O147" i="12"/>
  <c r="O148" i="12"/>
  <c r="O149" i="12"/>
  <c r="O150" i="12"/>
  <c r="O151" i="12"/>
  <c r="O152" i="12"/>
  <c r="O153" i="12"/>
  <c r="O154" i="12"/>
  <c r="O155" i="12"/>
  <c r="O156" i="12"/>
  <c r="O157" i="12"/>
  <c r="O158" i="12"/>
  <c r="O159" i="12"/>
  <c r="O160" i="12"/>
  <c r="O161" i="12"/>
  <c r="O162" i="12"/>
  <c r="O163" i="12"/>
  <c r="O164" i="12"/>
  <c r="O165" i="12"/>
  <c r="O166" i="12"/>
  <c r="O167" i="12"/>
  <c r="O168" i="12"/>
  <c r="O169" i="12"/>
  <c r="O170" i="12"/>
  <c r="O171" i="12"/>
  <c r="O172" i="12"/>
  <c r="O173" i="12"/>
  <c r="O174" i="12"/>
  <c r="O175" i="12"/>
  <c r="O176" i="12"/>
  <c r="O177" i="12"/>
  <c r="O178" i="12"/>
  <c r="O179" i="12"/>
  <c r="O180" i="12"/>
  <c r="O181" i="12"/>
  <c r="O182" i="12"/>
  <c r="O183" i="12"/>
  <c r="O184" i="12"/>
  <c r="O185" i="12"/>
  <c r="O186" i="12"/>
  <c r="O187" i="12"/>
  <c r="O188" i="12"/>
  <c r="O189" i="12"/>
  <c r="O190" i="12"/>
  <c r="O191" i="12"/>
  <c r="O192" i="12"/>
  <c r="O193" i="12"/>
  <c r="O194" i="12"/>
  <c r="O195" i="12"/>
  <c r="O196" i="12"/>
  <c r="O197" i="12"/>
  <c r="O198" i="12"/>
  <c r="O199" i="12"/>
  <c r="O200" i="12"/>
  <c r="O201" i="12"/>
  <c r="O202" i="12"/>
  <c r="O203" i="12"/>
  <c r="O204" i="12"/>
  <c r="O205" i="12"/>
  <c r="O206" i="12"/>
  <c r="O207" i="12"/>
  <c r="O208" i="12"/>
  <c r="O209" i="12"/>
  <c r="O210" i="12"/>
  <c r="O211" i="12"/>
  <c r="O212" i="12"/>
  <c r="O213" i="12"/>
  <c r="O214" i="12"/>
  <c r="O215" i="12"/>
  <c r="O216" i="12"/>
  <c r="O217" i="12"/>
  <c r="O218" i="12"/>
  <c r="O219" i="12"/>
  <c r="O220" i="12"/>
  <c r="O221" i="12"/>
  <c r="O222" i="12"/>
  <c r="O223" i="12"/>
  <c r="O224" i="12"/>
  <c r="O225" i="12"/>
  <c r="O226" i="12"/>
  <c r="O227" i="12"/>
  <c r="O228" i="12"/>
  <c r="O229" i="12"/>
  <c r="O230" i="12"/>
  <c r="O231" i="12"/>
  <c r="O232" i="12"/>
  <c r="O233" i="12"/>
  <c r="O234" i="12"/>
  <c r="O235" i="12"/>
  <c r="O236" i="12"/>
  <c r="O237" i="12"/>
  <c r="O238" i="12"/>
  <c r="O239" i="12"/>
  <c r="O240" i="12"/>
  <c r="O241" i="12"/>
  <c r="O242" i="12"/>
  <c r="O243" i="12"/>
  <c r="O244" i="12"/>
  <c r="O245" i="12"/>
  <c r="O246" i="12"/>
  <c r="O247" i="12"/>
  <c r="O248" i="12"/>
  <c r="O249" i="12"/>
  <c r="O250" i="12"/>
  <c r="O251" i="12"/>
  <c r="O252" i="12"/>
  <c r="O253" i="12"/>
  <c r="O254" i="12"/>
  <c r="O255" i="12"/>
  <c r="O256" i="12"/>
  <c r="O257" i="12"/>
  <c r="O258" i="12"/>
  <c r="O259" i="12"/>
  <c r="O260" i="12"/>
  <c r="O261" i="12"/>
  <c r="O262" i="12"/>
  <c r="O263" i="12"/>
  <c r="O264" i="12"/>
  <c r="O265" i="12"/>
  <c r="O266" i="12"/>
  <c r="O267" i="12"/>
  <c r="O268" i="12"/>
  <c r="O269" i="12"/>
  <c r="O270" i="12"/>
  <c r="O271" i="12"/>
  <c r="O272" i="12"/>
  <c r="O273" i="12"/>
  <c r="O274" i="12"/>
  <c r="O275" i="12"/>
  <c r="O276" i="12"/>
  <c r="O277" i="12"/>
  <c r="O278" i="12"/>
  <c r="O279" i="12"/>
  <c r="O280" i="12"/>
  <c r="O281" i="12"/>
  <c r="O282" i="12"/>
  <c r="O283" i="12"/>
  <c r="O284" i="12"/>
  <c r="O285" i="12"/>
  <c r="O286" i="12"/>
  <c r="O287" i="12"/>
  <c r="O288" i="12"/>
  <c r="O289" i="12"/>
  <c r="O290" i="12"/>
  <c r="O291" i="12"/>
  <c r="O292" i="12"/>
  <c r="O293" i="12"/>
  <c r="O294" i="12"/>
  <c r="O295" i="12"/>
  <c r="O296" i="12"/>
  <c r="O297" i="12"/>
  <c r="O298" i="12"/>
  <c r="O299" i="12"/>
  <c r="O300" i="12"/>
  <c r="O301" i="12"/>
  <c r="O302" i="12"/>
  <c r="O303" i="12"/>
  <c r="O304" i="12"/>
  <c r="O305" i="12"/>
  <c r="O306" i="12"/>
  <c r="O307" i="12"/>
  <c r="O308" i="12"/>
  <c r="O309" i="12"/>
  <c r="O310" i="12"/>
  <c r="O311" i="12"/>
  <c r="O312" i="12"/>
  <c r="O313" i="12"/>
  <c r="O314" i="12"/>
  <c r="O315" i="12"/>
  <c r="O316" i="12"/>
  <c r="O317" i="12"/>
  <c r="O318" i="12"/>
  <c r="O319" i="12"/>
  <c r="O320" i="12"/>
  <c r="O321" i="12"/>
  <c r="O322" i="12"/>
  <c r="O323" i="12"/>
  <c r="O324" i="12"/>
  <c r="O325" i="12"/>
  <c r="O326" i="12"/>
  <c r="O327" i="12"/>
  <c r="O328" i="12"/>
  <c r="O329" i="12"/>
  <c r="O330" i="12"/>
  <c r="O331" i="12"/>
  <c r="O332" i="12"/>
  <c r="O333" i="12"/>
  <c r="O334" i="12"/>
  <c r="O335" i="12"/>
  <c r="O336" i="12"/>
  <c r="O337" i="12"/>
  <c r="O338" i="12"/>
  <c r="O339" i="12"/>
  <c r="O340" i="12"/>
  <c r="O341" i="12"/>
  <c r="O342" i="12"/>
  <c r="O343" i="12"/>
  <c r="O344" i="12"/>
  <c r="O345" i="12"/>
  <c r="O346" i="12"/>
  <c r="O347" i="12"/>
  <c r="O348" i="12"/>
  <c r="O349" i="12"/>
  <c r="O350" i="12"/>
  <c r="O351" i="12"/>
  <c r="O352" i="12"/>
  <c r="O353" i="12"/>
  <c r="O354" i="12"/>
  <c r="O355" i="12"/>
  <c r="O356" i="12"/>
  <c r="O357" i="12"/>
  <c r="O358" i="12"/>
  <c r="O359" i="12"/>
  <c r="O360" i="12"/>
  <c r="O361" i="12"/>
  <c r="O362" i="12"/>
  <c r="O363" i="12"/>
  <c r="O364" i="12"/>
  <c r="O365" i="12"/>
  <c r="O366" i="12"/>
  <c r="O367" i="12"/>
  <c r="O368" i="12"/>
  <c r="O369" i="12"/>
  <c r="O370" i="12"/>
  <c r="O371" i="12"/>
  <c r="O372" i="12"/>
  <c r="O373" i="12"/>
  <c r="O374" i="12"/>
  <c r="O375" i="12"/>
  <c r="O376" i="12"/>
  <c r="O377" i="12"/>
  <c r="O378" i="12"/>
  <c r="O379" i="12"/>
  <c r="O380" i="12"/>
  <c r="O381" i="12"/>
  <c r="O382" i="12"/>
  <c r="O383" i="12"/>
  <c r="O384" i="12"/>
  <c r="O385" i="12"/>
  <c r="O386" i="12"/>
  <c r="O387" i="12"/>
  <c r="O388" i="12"/>
  <c r="O389" i="12"/>
  <c r="O390" i="12"/>
  <c r="O391" i="12"/>
  <c r="O392" i="12"/>
  <c r="O393" i="12"/>
  <c r="O394" i="12"/>
  <c r="O395" i="12"/>
  <c r="O396" i="12"/>
  <c r="O397" i="12"/>
  <c r="O398" i="12"/>
  <c r="O399" i="12"/>
  <c r="O400" i="12"/>
  <c r="O401" i="12"/>
  <c r="O402" i="12"/>
  <c r="O403" i="12"/>
  <c r="O404" i="12"/>
  <c r="O405" i="12"/>
  <c r="O406" i="12"/>
  <c r="O407" i="12"/>
  <c r="O408" i="12"/>
  <c r="O409" i="12"/>
  <c r="O410" i="12"/>
  <c r="O411" i="12"/>
  <c r="O412" i="12"/>
  <c r="O413" i="12"/>
  <c r="O414" i="12"/>
  <c r="O415" i="12"/>
  <c r="O416" i="12"/>
  <c r="O417" i="12"/>
  <c r="O418" i="12"/>
  <c r="O419" i="12"/>
  <c r="O420" i="12"/>
  <c r="O421" i="12"/>
  <c r="O422" i="12"/>
  <c r="O423" i="12"/>
  <c r="O424" i="12"/>
  <c r="O425" i="12"/>
  <c r="O426" i="12"/>
  <c r="O427" i="12"/>
  <c r="O428" i="12"/>
  <c r="O429" i="12"/>
  <c r="O430" i="12"/>
  <c r="O431" i="12"/>
  <c r="O432" i="12"/>
  <c r="O433" i="12"/>
  <c r="O434" i="12"/>
  <c r="O435" i="12"/>
  <c r="O436" i="12"/>
  <c r="O437" i="12"/>
  <c r="O438" i="12"/>
  <c r="O439" i="12"/>
  <c r="O440" i="12"/>
  <c r="O441" i="12"/>
  <c r="O442" i="12"/>
  <c r="O443" i="12"/>
  <c r="O444" i="12"/>
  <c r="O445" i="12"/>
  <c r="O446" i="12"/>
  <c r="O447" i="12"/>
  <c r="O448" i="12"/>
  <c r="O449" i="12"/>
  <c r="O450" i="12"/>
  <c r="O451" i="12"/>
  <c r="O452" i="12"/>
  <c r="O453" i="12"/>
  <c r="O454" i="12"/>
  <c r="O455" i="12"/>
  <c r="O456" i="12"/>
  <c r="O457" i="12"/>
  <c r="O458" i="12"/>
  <c r="O459" i="12"/>
  <c r="O460" i="12"/>
  <c r="O461" i="12"/>
  <c r="O462" i="12"/>
  <c r="O463" i="12"/>
  <c r="O464" i="12"/>
  <c r="O465" i="12"/>
  <c r="O466" i="12"/>
  <c r="O467" i="12"/>
  <c r="O468" i="12"/>
  <c r="O469" i="12"/>
  <c r="O470" i="12"/>
  <c r="O471" i="12"/>
  <c r="O472" i="12"/>
  <c r="O473" i="12"/>
  <c r="O474" i="12"/>
  <c r="O475" i="12"/>
  <c r="O476" i="12"/>
  <c r="O477" i="12"/>
  <c r="O478" i="12"/>
  <c r="O479" i="12"/>
  <c r="O480" i="12"/>
  <c r="O481" i="12"/>
  <c r="O482" i="12"/>
  <c r="O483" i="12"/>
  <c r="O484" i="12"/>
  <c r="O485" i="12"/>
  <c r="O486" i="12"/>
  <c r="O487" i="12"/>
  <c r="O488" i="12"/>
  <c r="O489" i="12"/>
  <c r="O490" i="12"/>
  <c r="O491" i="12"/>
  <c r="O492" i="12"/>
  <c r="O493" i="12"/>
  <c r="O494" i="12"/>
  <c r="O495" i="12"/>
  <c r="O496" i="12"/>
  <c r="O497" i="12"/>
  <c r="O498" i="12"/>
  <c r="O499" i="12"/>
  <c r="O500" i="12"/>
  <c r="O501" i="12"/>
  <c r="O502" i="12"/>
  <c r="O503" i="12"/>
  <c r="O504" i="12"/>
  <c r="O505" i="12"/>
  <c r="O506" i="12"/>
  <c r="O507" i="12"/>
  <c r="O508" i="12"/>
  <c r="O509" i="12"/>
  <c r="O510" i="12"/>
  <c r="O511" i="12"/>
  <c r="O512" i="12"/>
  <c r="O513" i="12"/>
  <c r="O514" i="12"/>
  <c r="O515" i="12"/>
  <c r="O516" i="12"/>
  <c r="O517" i="12"/>
  <c r="O518" i="12"/>
  <c r="O519" i="12"/>
  <c r="O520" i="12"/>
  <c r="O521" i="12"/>
  <c r="O522" i="12"/>
  <c r="O523" i="12"/>
  <c r="O524" i="12"/>
  <c r="O525" i="12"/>
  <c r="O526" i="12"/>
  <c r="O527" i="12"/>
  <c r="O528" i="12"/>
  <c r="O529" i="12"/>
  <c r="O530" i="12"/>
  <c r="O531" i="12"/>
  <c r="O532" i="12"/>
  <c r="O533" i="12"/>
  <c r="O534" i="12"/>
  <c r="O535" i="12"/>
  <c r="O536" i="12"/>
  <c r="O537" i="12"/>
  <c r="O538" i="12"/>
  <c r="O539" i="12"/>
  <c r="O540" i="12"/>
  <c r="O541" i="12"/>
  <c r="O542" i="12"/>
  <c r="O543" i="12"/>
  <c r="O544" i="12"/>
  <c r="O545" i="12"/>
  <c r="O546" i="12"/>
  <c r="O547" i="12"/>
  <c r="O548" i="12"/>
  <c r="O549" i="12"/>
  <c r="O550" i="12"/>
  <c r="O551" i="12"/>
  <c r="O552" i="12"/>
  <c r="O553" i="12"/>
  <c r="O554" i="12"/>
  <c r="O555" i="12"/>
  <c r="O556" i="12"/>
  <c r="O557" i="12"/>
  <c r="O558" i="12"/>
  <c r="O559" i="12"/>
  <c r="O560" i="12"/>
  <c r="O561" i="12"/>
  <c r="O562" i="12"/>
  <c r="O563" i="12"/>
  <c r="O564" i="12"/>
  <c r="O565" i="12"/>
  <c r="O566" i="12"/>
  <c r="O567" i="12"/>
  <c r="O568" i="12"/>
  <c r="O569" i="12"/>
  <c r="O570" i="12"/>
  <c r="O571" i="12"/>
  <c r="O572" i="12"/>
  <c r="O573" i="12"/>
  <c r="O574" i="12"/>
  <c r="O575" i="12"/>
  <c r="O576" i="12"/>
  <c r="O577" i="12"/>
  <c r="O578" i="12"/>
  <c r="O579" i="12"/>
  <c r="O580" i="12"/>
  <c r="O581" i="12"/>
  <c r="O582" i="12"/>
  <c r="O583" i="12"/>
  <c r="O584" i="12"/>
  <c r="O585" i="12"/>
  <c r="O586" i="12"/>
  <c r="O587" i="12"/>
  <c r="O588" i="12"/>
  <c r="O589" i="12"/>
  <c r="O590" i="12"/>
  <c r="O591" i="12"/>
  <c r="R6" i="12"/>
  <c r="R7" i="12"/>
  <c r="R8" i="12"/>
  <c r="R9" i="12"/>
  <c r="R10" i="12"/>
  <c r="R11" i="12"/>
  <c r="R12" i="12"/>
  <c r="R13" i="12"/>
  <c r="R14" i="12"/>
  <c r="R15" i="12"/>
  <c r="R16" i="12"/>
  <c r="R17" i="12"/>
  <c r="R18" i="12"/>
  <c r="R19" i="12"/>
  <c r="R20" i="12"/>
  <c r="R21" i="12"/>
  <c r="R22" i="12"/>
  <c r="R23" i="12"/>
  <c r="R24" i="12"/>
  <c r="R25" i="12"/>
  <c r="R26" i="12"/>
  <c r="R27" i="12"/>
  <c r="R28" i="12"/>
  <c r="R29" i="12"/>
  <c r="R30" i="12"/>
  <c r="R31" i="12"/>
  <c r="R32" i="12"/>
  <c r="R33" i="12"/>
  <c r="R34" i="12"/>
  <c r="R35" i="12"/>
  <c r="R36" i="12"/>
  <c r="R37" i="12"/>
  <c r="R38" i="12"/>
  <c r="R39" i="12"/>
  <c r="R40" i="12"/>
  <c r="R41" i="12"/>
  <c r="R42" i="12"/>
  <c r="R43" i="12"/>
  <c r="R44" i="12"/>
  <c r="R45" i="12"/>
  <c r="R46" i="12"/>
  <c r="R47" i="12"/>
  <c r="R48" i="12"/>
  <c r="R49" i="12"/>
  <c r="R50" i="12"/>
  <c r="R51" i="12"/>
  <c r="R52" i="12"/>
  <c r="R53" i="12"/>
  <c r="R54" i="12"/>
  <c r="R55" i="12"/>
  <c r="R56" i="12"/>
  <c r="R57" i="12"/>
  <c r="R58" i="12"/>
  <c r="R59" i="12"/>
  <c r="R60" i="12"/>
  <c r="R61" i="12"/>
  <c r="R62" i="12"/>
  <c r="R63" i="12"/>
  <c r="R64" i="12"/>
  <c r="R65" i="12"/>
  <c r="R66" i="12"/>
  <c r="R67" i="12"/>
  <c r="R68" i="12"/>
  <c r="R69" i="12"/>
  <c r="R70" i="12"/>
  <c r="R71" i="12"/>
  <c r="R72" i="12"/>
  <c r="R73" i="12"/>
  <c r="R74" i="12"/>
  <c r="R75" i="12"/>
  <c r="R76" i="12"/>
  <c r="R77" i="12"/>
  <c r="R78" i="12"/>
  <c r="R79" i="12"/>
  <c r="R80" i="12"/>
  <c r="R81" i="12"/>
  <c r="R82" i="12"/>
  <c r="R83" i="12"/>
  <c r="R84" i="12"/>
  <c r="R85" i="12"/>
  <c r="R86" i="12"/>
  <c r="R87" i="12"/>
  <c r="R88" i="12"/>
  <c r="R89" i="12"/>
  <c r="R90" i="12"/>
  <c r="R91" i="12"/>
  <c r="R92" i="12"/>
  <c r="R93" i="12"/>
  <c r="R94" i="12"/>
  <c r="R95" i="12"/>
  <c r="R96" i="12"/>
  <c r="R97" i="12"/>
  <c r="R98" i="12"/>
  <c r="R99" i="12"/>
  <c r="R100" i="12"/>
  <c r="R101" i="12"/>
  <c r="R102" i="12"/>
  <c r="R103" i="12"/>
  <c r="R104" i="12"/>
  <c r="R105" i="12"/>
  <c r="R106" i="12"/>
  <c r="R107" i="12"/>
  <c r="R108" i="12"/>
  <c r="R109" i="12"/>
  <c r="R110" i="12"/>
  <c r="R111" i="12"/>
  <c r="R112" i="12"/>
  <c r="R113" i="12"/>
  <c r="R114" i="12"/>
  <c r="R115" i="12"/>
  <c r="R116" i="12"/>
  <c r="R117" i="12"/>
  <c r="R118" i="12"/>
  <c r="R119" i="12"/>
  <c r="R120" i="12"/>
  <c r="R121" i="12"/>
  <c r="R122" i="12"/>
  <c r="R123" i="12"/>
  <c r="R124" i="12"/>
  <c r="R125" i="12"/>
  <c r="R126" i="12"/>
  <c r="R127" i="12"/>
  <c r="R128" i="12"/>
  <c r="R129" i="12"/>
  <c r="R130" i="12"/>
  <c r="R131" i="12"/>
  <c r="R132" i="12"/>
  <c r="R133" i="12"/>
  <c r="R134" i="12"/>
  <c r="R135" i="12"/>
  <c r="R136" i="12"/>
  <c r="R137" i="12"/>
  <c r="R138" i="12"/>
  <c r="R139" i="12"/>
  <c r="R140" i="12"/>
  <c r="R141" i="12"/>
  <c r="R142" i="12"/>
  <c r="R143" i="12"/>
  <c r="R144" i="12"/>
  <c r="R145" i="12"/>
  <c r="R146" i="12"/>
  <c r="R147" i="12"/>
  <c r="R148" i="12"/>
  <c r="R149" i="12"/>
  <c r="R150" i="12"/>
  <c r="R151" i="12"/>
  <c r="R152" i="12"/>
  <c r="R153" i="12"/>
  <c r="R154" i="12"/>
  <c r="R155" i="12"/>
  <c r="R156" i="12"/>
  <c r="R157" i="12"/>
  <c r="R158" i="12"/>
  <c r="R159" i="12"/>
  <c r="R160" i="12"/>
  <c r="R161" i="12"/>
  <c r="R162" i="12"/>
  <c r="R163" i="12"/>
  <c r="R164" i="12"/>
  <c r="R165" i="12"/>
  <c r="R166" i="12"/>
  <c r="R167" i="12"/>
  <c r="R168" i="12"/>
  <c r="R169" i="12"/>
  <c r="R170" i="12"/>
  <c r="R171" i="12"/>
  <c r="R172" i="12"/>
  <c r="R173" i="12"/>
  <c r="R174" i="12"/>
  <c r="R175" i="12"/>
  <c r="R176" i="12"/>
  <c r="R177" i="12"/>
  <c r="R178" i="12"/>
  <c r="R179" i="12"/>
  <c r="R180" i="12"/>
  <c r="R181" i="12"/>
  <c r="R182" i="12"/>
  <c r="R183" i="12"/>
  <c r="R184" i="12"/>
  <c r="R185" i="12"/>
  <c r="R186" i="12"/>
  <c r="R187" i="12"/>
  <c r="R188" i="12"/>
  <c r="R189" i="12"/>
  <c r="R190" i="12"/>
  <c r="R191" i="12"/>
  <c r="R192" i="12"/>
  <c r="R193" i="12"/>
  <c r="R194" i="12"/>
  <c r="R195" i="12"/>
  <c r="R196" i="12"/>
  <c r="R197" i="12"/>
  <c r="R198" i="12"/>
  <c r="R199" i="12"/>
  <c r="R200" i="12"/>
  <c r="R201" i="12"/>
  <c r="R202" i="12"/>
  <c r="R203" i="12"/>
  <c r="R204" i="12"/>
  <c r="R205" i="12"/>
  <c r="R206" i="12"/>
  <c r="R207" i="12"/>
  <c r="R208" i="12"/>
  <c r="R209" i="12"/>
  <c r="R210" i="12"/>
  <c r="R211" i="12"/>
  <c r="R212" i="12"/>
  <c r="R213" i="12"/>
  <c r="R214" i="12"/>
  <c r="R215" i="12"/>
  <c r="R216" i="12"/>
  <c r="R217" i="12"/>
  <c r="R218" i="12"/>
  <c r="R219" i="12"/>
  <c r="R220" i="12"/>
  <c r="R221" i="12"/>
  <c r="R222" i="12"/>
  <c r="R223" i="12"/>
  <c r="R224" i="12"/>
  <c r="R225" i="12"/>
  <c r="R226" i="12"/>
  <c r="R227" i="12"/>
  <c r="R228" i="12"/>
  <c r="R229" i="12"/>
  <c r="R230" i="12"/>
  <c r="R231" i="12"/>
  <c r="R232" i="12"/>
  <c r="R233" i="12"/>
  <c r="R234" i="12"/>
  <c r="R235" i="12"/>
  <c r="R236" i="12"/>
  <c r="R237" i="12"/>
  <c r="R238" i="12"/>
  <c r="R239" i="12"/>
  <c r="R240" i="12"/>
  <c r="R241" i="12"/>
  <c r="R242" i="12"/>
  <c r="R243" i="12"/>
  <c r="R244" i="12"/>
  <c r="R245" i="12"/>
  <c r="R246" i="12"/>
  <c r="R247" i="12"/>
  <c r="R248" i="12"/>
  <c r="R249" i="12"/>
  <c r="R250" i="12"/>
  <c r="R251" i="12"/>
  <c r="R252" i="12"/>
  <c r="R253" i="12"/>
  <c r="R254" i="12"/>
  <c r="R255" i="12"/>
  <c r="R256" i="12"/>
  <c r="R257" i="12"/>
  <c r="R258" i="12"/>
  <c r="R259" i="12"/>
  <c r="R260" i="12"/>
  <c r="R261" i="12"/>
  <c r="R262" i="12"/>
  <c r="R263" i="12"/>
  <c r="R264" i="12"/>
  <c r="R265" i="12"/>
  <c r="R266" i="12"/>
  <c r="R267" i="12"/>
  <c r="R268" i="12"/>
  <c r="R269" i="12"/>
  <c r="R270" i="12"/>
  <c r="R271" i="12"/>
  <c r="R272" i="12"/>
  <c r="R273" i="12"/>
  <c r="R274" i="12"/>
  <c r="R275" i="12"/>
  <c r="R276" i="12"/>
  <c r="R277" i="12"/>
  <c r="R278" i="12"/>
  <c r="R279" i="12"/>
  <c r="R280" i="12"/>
  <c r="R281" i="12"/>
  <c r="R282" i="12"/>
  <c r="R283" i="12"/>
  <c r="R284" i="12"/>
  <c r="R285" i="12"/>
  <c r="R286" i="12"/>
  <c r="R287" i="12"/>
  <c r="R288" i="12"/>
  <c r="R289" i="12"/>
  <c r="R290" i="12"/>
  <c r="R291" i="12"/>
  <c r="R292" i="12"/>
  <c r="R293" i="12"/>
  <c r="R294" i="12"/>
  <c r="R295" i="12"/>
  <c r="R296" i="12"/>
  <c r="R297" i="12"/>
  <c r="R298" i="12"/>
  <c r="R299" i="12"/>
  <c r="R300" i="12"/>
  <c r="R301" i="12"/>
  <c r="R302" i="12"/>
  <c r="R303" i="12"/>
  <c r="R304" i="12"/>
  <c r="R305" i="12"/>
  <c r="R306" i="12"/>
  <c r="R307" i="12"/>
  <c r="R308" i="12"/>
  <c r="R309" i="12"/>
  <c r="R310" i="12"/>
  <c r="R311" i="12"/>
  <c r="R312" i="12"/>
  <c r="R313" i="12"/>
  <c r="R314" i="12"/>
  <c r="R315" i="12"/>
  <c r="R316" i="12"/>
  <c r="R317" i="12"/>
  <c r="R318" i="12"/>
  <c r="R319" i="12"/>
  <c r="R320" i="12"/>
  <c r="R321" i="12"/>
  <c r="R322" i="12"/>
  <c r="R323" i="12"/>
  <c r="R324" i="12"/>
  <c r="R325" i="12"/>
  <c r="R326" i="12"/>
  <c r="R327" i="12"/>
  <c r="R328" i="12"/>
  <c r="R329" i="12"/>
  <c r="R330" i="12"/>
  <c r="R331" i="12"/>
  <c r="R332" i="12"/>
  <c r="R333" i="12"/>
  <c r="R334" i="12"/>
  <c r="R335" i="12"/>
  <c r="R336" i="12"/>
  <c r="R337" i="12"/>
  <c r="R338" i="12"/>
  <c r="R339" i="12"/>
  <c r="R340" i="12"/>
  <c r="R341" i="12"/>
  <c r="R342" i="12"/>
  <c r="R343" i="12"/>
  <c r="R344" i="12"/>
  <c r="R345" i="12"/>
  <c r="R346" i="12"/>
  <c r="R347" i="12"/>
  <c r="R348" i="12"/>
  <c r="R349" i="12"/>
  <c r="R350" i="12"/>
  <c r="R351" i="12"/>
  <c r="R352" i="12"/>
  <c r="R353" i="12"/>
  <c r="R354" i="12"/>
  <c r="R355" i="12"/>
  <c r="R356" i="12"/>
  <c r="R357" i="12"/>
  <c r="R358" i="12"/>
  <c r="R359" i="12"/>
  <c r="R360" i="12"/>
  <c r="R361" i="12"/>
  <c r="R362" i="12"/>
  <c r="R363" i="12"/>
  <c r="R364" i="12"/>
  <c r="R365" i="12"/>
  <c r="R366" i="12"/>
  <c r="R367" i="12"/>
  <c r="R368" i="12"/>
  <c r="R369" i="12"/>
  <c r="R370" i="12"/>
  <c r="R371" i="12"/>
  <c r="R372" i="12"/>
  <c r="R373" i="12"/>
  <c r="R374" i="12"/>
  <c r="R375" i="12"/>
  <c r="R376" i="12"/>
  <c r="R377" i="12"/>
  <c r="R378" i="12"/>
  <c r="R379" i="12"/>
  <c r="R380" i="12"/>
  <c r="R381" i="12"/>
  <c r="R382" i="12"/>
  <c r="R383" i="12"/>
  <c r="R384" i="12"/>
  <c r="R385" i="12"/>
  <c r="R386" i="12"/>
  <c r="R387" i="12"/>
  <c r="R388" i="12"/>
  <c r="R389" i="12"/>
  <c r="R390" i="12"/>
  <c r="R391" i="12"/>
  <c r="R392" i="12"/>
  <c r="R393" i="12"/>
  <c r="R394" i="12"/>
  <c r="R395" i="12"/>
  <c r="R396" i="12"/>
  <c r="R397" i="12"/>
  <c r="R398" i="12"/>
  <c r="R399" i="12"/>
  <c r="R400" i="12"/>
  <c r="R401" i="12"/>
  <c r="R402" i="12"/>
  <c r="R403" i="12"/>
  <c r="R404" i="12"/>
  <c r="R405" i="12"/>
  <c r="R406" i="12"/>
  <c r="R407" i="12"/>
  <c r="R408" i="12"/>
  <c r="R409" i="12"/>
  <c r="R410" i="12"/>
  <c r="R411" i="12"/>
  <c r="R412" i="12"/>
  <c r="R413" i="12"/>
  <c r="R414" i="12"/>
  <c r="R415" i="12"/>
  <c r="R416" i="12"/>
  <c r="R417" i="12"/>
  <c r="R418" i="12"/>
  <c r="R419" i="12"/>
  <c r="R420" i="12"/>
  <c r="R421" i="12"/>
  <c r="R422" i="12"/>
  <c r="R423" i="12"/>
  <c r="R424" i="12"/>
  <c r="R425" i="12"/>
  <c r="R426" i="12"/>
  <c r="R427" i="12"/>
  <c r="R428" i="12"/>
  <c r="R429" i="12"/>
  <c r="R430" i="12"/>
  <c r="R431" i="12"/>
  <c r="R432" i="12"/>
  <c r="R433" i="12"/>
  <c r="R434" i="12"/>
  <c r="R435" i="12"/>
  <c r="R436" i="12"/>
  <c r="R437" i="12"/>
  <c r="R438" i="12"/>
  <c r="R439" i="12"/>
  <c r="R440" i="12"/>
  <c r="R441" i="12"/>
  <c r="R442" i="12"/>
  <c r="R443" i="12"/>
  <c r="R444" i="12"/>
  <c r="R445" i="12"/>
  <c r="R446" i="12"/>
  <c r="R447" i="12"/>
  <c r="R448" i="12"/>
  <c r="R449" i="12"/>
  <c r="R450" i="12"/>
  <c r="R451" i="12"/>
  <c r="R452" i="12"/>
  <c r="R453" i="12"/>
  <c r="R454" i="12"/>
  <c r="R455" i="12"/>
  <c r="R456" i="12"/>
  <c r="R457" i="12"/>
  <c r="R458" i="12"/>
  <c r="R459" i="12"/>
  <c r="R460" i="12"/>
  <c r="R461" i="12"/>
  <c r="R462" i="12"/>
  <c r="R463" i="12"/>
  <c r="R464" i="12"/>
  <c r="R465" i="12"/>
  <c r="R466" i="12"/>
  <c r="R467" i="12"/>
  <c r="R468" i="12"/>
  <c r="R469" i="12"/>
  <c r="R470" i="12"/>
  <c r="R471" i="12"/>
  <c r="R472" i="12"/>
  <c r="R473" i="12"/>
  <c r="R474" i="12"/>
  <c r="R475" i="12"/>
  <c r="R476" i="12"/>
  <c r="R477" i="12"/>
  <c r="R478" i="12"/>
  <c r="R479" i="12"/>
  <c r="R480" i="12"/>
  <c r="R481" i="12"/>
  <c r="R482" i="12"/>
  <c r="R483" i="12"/>
  <c r="R484" i="12"/>
  <c r="R485" i="12"/>
  <c r="R486" i="12"/>
  <c r="R487" i="12"/>
  <c r="R488" i="12"/>
  <c r="R489" i="12"/>
  <c r="R490" i="12"/>
  <c r="R491" i="12"/>
  <c r="R492" i="12"/>
  <c r="R493" i="12"/>
  <c r="R494" i="12"/>
  <c r="R495" i="12"/>
  <c r="R496" i="12"/>
  <c r="R497" i="12"/>
  <c r="R498" i="12"/>
  <c r="R499" i="12"/>
  <c r="R500" i="12"/>
  <c r="R501" i="12"/>
  <c r="R502" i="12"/>
  <c r="R503" i="12"/>
  <c r="R504" i="12"/>
  <c r="R505" i="12"/>
  <c r="R506" i="12"/>
  <c r="R507" i="12"/>
  <c r="R508" i="12"/>
  <c r="R509" i="12"/>
  <c r="R510" i="12"/>
  <c r="R511" i="12"/>
  <c r="R512" i="12"/>
  <c r="R513" i="12"/>
  <c r="R514" i="12"/>
  <c r="R515" i="12"/>
  <c r="R516" i="12"/>
  <c r="R517" i="12"/>
  <c r="R518" i="12"/>
  <c r="R519" i="12"/>
  <c r="R520" i="12"/>
  <c r="R521" i="12"/>
  <c r="R522" i="12"/>
  <c r="R523" i="12"/>
  <c r="R524" i="12"/>
  <c r="R525" i="12"/>
  <c r="R526" i="12"/>
  <c r="R527" i="12"/>
  <c r="R528" i="12"/>
  <c r="R529" i="12"/>
  <c r="R530" i="12"/>
  <c r="R531" i="12"/>
  <c r="R532" i="12"/>
  <c r="R533" i="12"/>
  <c r="R534" i="12"/>
  <c r="R535" i="12"/>
  <c r="R536" i="12"/>
  <c r="R537" i="12"/>
  <c r="R538" i="12"/>
  <c r="R539" i="12"/>
  <c r="R540" i="12"/>
  <c r="R541" i="12"/>
  <c r="R542" i="12"/>
  <c r="R543" i="12"/>
  <c r="R544" i="12"/>
  <c r="R545" i="12"/>
  <c r="R546" i="12"/>
  <c r="R547" i="12"/>
  <c r="R548" i="12"/>
  <c r="R549" i="12"/>
  <c r="R550" i="12"/>
  <c r="R551" i="12"/>
  <c r="R552" i="12"/>
  <c r="R553" i="12"/>
  <c r="R554" i="12"/>
  <c r="R555" i="12"/>
  <c r="R556" i="12"/>
  <c r="R557" i="12"/>
  <c r="R558" i="12"/>
  <c r="R559" i="12"/>
  <c r="R560" i="12"/>
  <c r="R561" i="12"/>
  <c r="R562" i="12"/>
  <c r="R563" i="12"/>
  <c r="R564" i="12"/>
  <c r="R565" i="12"/>
  <c r="R566" i="12"/>
  <c r="R567" i="12"/>
  <c r="R568" i="12"/>
  <c r="R569" i="12"/>
  <c r="R570" i="12"/>
  <c r="R571" i="12"/>
  <c r="R572" i="12"/>
  <c r="R573" i="12"/>
  <c r="R574" i="12"/>
  <c r="R575" i="12"/>
  <c r="R576" i="12"/>
  <c r="R577" i="12"/>
  <c r="R578" i="12"/>
  <c r="R579" i="12"/>
  <c r="R580" i="12"/>
  <c r="R581" i="12"/>
  <c r="R582" i="12"/>
  <c r="R583" i="12"/>
  <c r="R584" i="12"/>
  <c r="R585" i="12"/>
  <c r="R586" i="12"/>
  <c r="R587" i="12"/>
  <c r="R588" i="12"/>
  <c r="R589" i="12"/>
  <c r="R590" i="12"/>
  <c r="R591" i="12"/>
  <c r="R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5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2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402" i="12"/>
  <c r="P403" i="12"/>
  <c r="P404" i="12"/>
  <c r="P405" i="12"/>
  <c r="P406" i="12"/>
  <c r="P407" i="12"/>
  <c r="P408" i="12"/>
  <c r="P409" i="12"/>
  <c r="P410" i="12"/>
  <c r="P411" i="12"/>
  <c r="P412" i="12"/>
  <c r="P413" i="12"/>
  <c r="P414" i="12"/>
  <c r="P415" i="12"/>
  <c r="P416" i="12"/>
  <c r="P417" i="12"/>
  <c r="P418" i="12"/>
  <c r="P419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1" i="12"/>
  <c r="P442" i="12"/>
  <c r="P443" i="12"/>
  <c r="P444" i="12"/>
  <c r="P445" i="12"/>
  <c r="P446" i="12"/>
  <c r="P447" i="12"/>
  <c r="P448" i="12"/>
  <c r="P449" i="12"/>
  <c r="P450" i="12"/>
  <c r="P451" i="12"/>
  <c r="P452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495" i="12"/>
  <c r="P496" i="12"/>
  <c r="P497" i="12"/>
  <c r="P498" i="12"/>
  <c r="P499" i="12"/>
  <c r="P500" i="12"/>
  <c r="P501" i="12"/>
  <c r="P502" i="12"/>
  <c r="P503" i="12"/>
  <c r="P504" i="12"/>
  <c r="P505" i="12"/>
  <c r="P506" i="12"/>
  <c r="P507" i="12"/>
  <c r="P508" i="12"/>
  <c r="P509" i="12"/>
  <c r="P510" i="12"/>
  <c r="P511" i="12"/>
  <c r="P512" i="12"/>
  <c r="P513" i="12"/>
  <c r="P514" i="12"/>
  <c r="P515" i="12"/>
  <c r="P516" i="12"/>
  <c r="P517" i="12"/>
  <c r="P518" i="12"/>
  <c r="P519" i="12"/>
  <c r="P520" i="12"/>
  <c r="P521" i="12"/>
  <c r="P522" i="12"/>
  <c r="P523" i="12"/>
  <c r="P524" i="12"/>
  <c r="P525" i="12"/>
  <c r="P526" i="12"/>
  <c r="P527" i="12"/>
  <c r="P528" i="12"/>
  <c r="P529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1" i="12"/>
  <c r="P552" i="12"/>
  <c r="P553" i="12"/>
  <c r="P554" i="12"/>
  <c r="P555" i="12"/>
  <c r="P556" i="12"/>
  <c r="P557" i="12"/>
  <c r="P558" i="12"/>
  <c r="P559" i="12"/>
  <c r="P560" i="12"/>
  <c r="P561" i="12"/>
  <c r="P562" i="12"/>
  <c r="P563" i="12"/>
  <c r="P564" i="12"/>
  <c r="P565" i="12"/>
  <c r="P566" i="12"/>
  <c r="P567" i="12"/>
  <c r="P568" i="12"/>
  <c r="P569" i="12"/>
  <c r="P570" i="12"/>
  <c r="P571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588" i="12"/>
  <c r="P589" i="12"/>
  <c r="P590" i="12"/>
  <c r="P591" i="12"/>
  <c r="P5" i="12"/>
  <c r="N6" i="12" l="1"/>
  <c r="N7" i="12"/>
  <c r="N8" i="12"/>
  <c r="N9" i="12"/>
  <c r="N10" i="12"/>
  <c r="N11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1" i="12"/>
  <c r="N42" i="12"/>
  <c r="N43" i="12"/>
  <c r="N44" i="12"/>
  <c r="N45" i="12"/>
  <c r="N46" i="12"/>
  <c r="N47" i="12"/>
  <c r="N48" i="12"/>
  <c r="N49" i="12"/>
  <c r="N50" i="12"/>
  <c r="N51" i="12"/>
  <c r="N52" i="12"/>
  <c r="N53" i="12"/>
  <c r="N54" i="12"/>
  <c r="N55" i="12"/>
  <c r="N56" i="12"/>
  <c r="N57" i="12"/>
  <c r="N58" i="12"/>
  <c r="N59" i="12"/>
  <c r="N60" i="12"/>
  <c r="N61" i="12"/>
  <c r="N62" i="12"/>
  <c r="N63" i="12"/>
  <c r="N64" i="12"/>
  <c r="N65" i="12"/>
  <c r="N66" i="12"/>
  <c r="N67" i="12"/>
  <c r="N68" i="12"/>
  <c r="N69" i="12"/>
  <c r="N70" i="12"/>
  <c r="N71" i="12"/>
  <c r="N72" i="12"/>
  <c r="N73" i="12"/>
  <c r="N74" i="12"/>
  <c r="N75" i="12"/>
  <c r="N76" i="12"/>
  <c r="N77" i="12"/>
  <c r="N78" i="12"/>
  <c r="N79" i="12"/>
  <c r="N80" i="12"/>
  <c r="N81" i="12"/>
  <c r="N82" i="12"/>
  <c r="N83" i="12"/>
  <c r="N84" i="12"/>
  <c r="N85" i="12"/>
  <c r="N86" i="12"/>
  <c r="N87" i="12"/>
  <c r="N88" i="12"/>
  <c r="N89" i="12"/>
  <c r="N90" i="12"/>
  <c r="N91" i="12"/>
  <c r="N92" i="12"/>
  <c r="N93" i="12"/>
  <c r="N94" i="12"/>
  <c r="N95" i="12"/>
  <c r="N96" i="12"/>
  <c r="N97" i="12"/>
  <c r="N98" i="12"/>
  <c r="N99" i="12"/>
  <c r="N100" i="12"/>
  <c r="N101" i="12"/>
  <c r="N102" i="12"/>
  <c r="N103" i="12"/>
  <c r="N104" i="12"/>
  <c r="N105" i="12"/>
  <c r="N106" i="12"/>
  <c r="N107" i="12"/>
  <c r="N108" i="12"/>
  <c r="N109" i="12"/>
  <c r="N110" i="12"/>
  <c r="N111" i="12"/>
  <c r="N112" i="12"/>
  <c r="N113" i="12"/>
  <c r="N114" i="12"/>
  <c r="N115" i="12"/>
  <c r="N116" i="12"/>
  <c r="N117" i="12"/>
  <c r="N118" i="12"/>
  <c r="N119" i="12"/>
  <c r="N120" i="12"/>
  <c r="N121" i="12"/>
  <c r="N122" i="12"/>
  <c r="N123" i="12"/>
  <c r="N124" i="12"/>
  <c r="N125" i="12"/>
  <c r="N126" i="12"/>
  <c r="N127" i="12"/>
  <c r="N128" i="12"/>
  <c r="N129" i="12"/>
  <c r="N130" i="12"/>
  <c r="N131" i="12"/>
  <c r="N132" i="12"/>
  <c r="N133" i="12"/>
  <c r="N134" i="12"/>
  <c r="N135" i="12"/>
  <c r="N136" i="12"/>
  <c r="N137" i="12"/>
  <c r="N138" i="12"/>
  <c r="N139" i="12"/>
  <c r="N140" i="12"/>
  <c r="N141" i="12"/>
  <c r="N142" i="12"/>
  <c r="N143" i="12"/>
  <c r="N144" i="12"/>
  <c r="N145" i="12"/>
  <c r="N146" i="12"/>
  <c r="N147" i="12"/>
  <c r="N148" i="12"/>
  <c r="N149" i="12"/>
  <c r="N150" i="12"/>
  <c r="N151" i="12"/>
  <c r="N152" i="12"/>
  <c r="N153" i="12"/>
  <c r="N154" i="12"/>
  <c r="N155" i="12"/>
  <c r="N156" i="12"/>
  <c r="N157" i="12"/>
  <c r="N158" i="12"/>
  <c r="N159" i="12"/>
  <c r="N160" i="12"/>
  <c r="N161" i="12"/>
  <c r="N162" i="12"/>
  <c r="N163" i="12"/>
  <c r="N164" i="12"/>
  <c r="N165" i="12"/>
  <c r="N166" i="12"/>
  <c r="N167" i="12"/>
  <c r="N168" i="12"/>
  <c r="N169" i="12"/>
  <c r="N170" i="12"/>
  <c r="N171" i="12"/>
  <c r="N172" i="12"/>
  <c r="N173" i="12"/>
  <c r="N174" i="12"/>
  <c r="N175" i="12"/>
  <c r="N176" i="12"/>
  <c r="N177" i="12"/>
  <c r="N178" i="12"/>
  <c r="N179" i="12"/>
  <c r="N180" i="12"/>
  <c r="N181" i="12"/>
  <c r="N182" i="12"/>
  <c r="N183" i="12"/>
  <c r="N184" i="12"/>
  <c r="N185" i="12"/>
  <c r="N186" i="12"/>
  <c r="N187" i="12"/>
  <c r="N188" i="12"/>
  <c r="N189" i="12"/>
  <c r="N190" i="12"/>
  <c r="N191" i="12"/>
  <c r="N192" i="12"/>
  <c r="N193" i="12"/>
  <c r="N194" i="12"/>
  <c r="N195" i="12"/>
  <c r="N196" i="12"/>
  <c r="N197" i="12"/>
  <c r="N198" i="12"/>
  <c r="N199" i="12"/>
  <c r="N200" i="12"/>
  <c r="N201" i="12"/>
  <c r="N202" i="12"/>
  <c r="N203" i="12"/>
  <c r="N204" i="12"/>
  <c r="N205" i="12"/>
  <c r="N206" i="12"/>
  <c r="N207" i="12"/>
  <c r="N208" i="12"/>
  <c r="N209" i="12"/>
  <c r="N210" i="12"/>
  <c r="N211" i="12"/>
  <c r="N212" i="12"/>
  <c r="N213" i="12"/>
  <c r="N214" i="12"/>
  <c r="N215" i="12"/>
  <c r="N216" i="12"/>
  <c r="N217" i="12"/>
  <c r="N218" i="12"/>
  <c r="N219" i="12"/>
  <c r="N220" i="12"/>
  <c r="N221" i="12"/>
  <c r="N222" i="12"/>
  <c r="N223" i="12"/>
  <c r="N224" i="12"/>
  <c r="N225" i="12"/>
  <c r="N226" i="12"/>
  <c r="N227" i="12"/>
  <c r="N228" i="12"/>
  <c r="N229" i="12"/>
  <c r="N230" i="12"/>
  <c r="N231" i="12"/>
  <c r="N232" i="12"/>
  <c r="N233" i="12"/>
  <c r="N234" i="12"/>
  <c r="N235" i="12"/>
  <c r="N236" i="12"/>
  <c r="N237" i="12"/>
  <c r="N238" i="12"/>
  <c r="N239" i="12"/>
  <c r="N240" i="12"/>
  <c r="N241" i="12"/>
  <c r="N242" i="12"/>
  <c r="N243" i="12"/>
  <c r="N244" i="12"/>
  <c r="N245" i="12"/>
  <c r="N246" i="12"/>
  <c r="N247" i="12"/>
  <c r="N248" i="12"/>
  <c r="N249" i="12"/>
  <c r="N250" i="12"/>
  <c r="N251" i="12"/>
  <c r="N252" i="12"/>
  <c r="N253" i="12"/>
  <c r="N254" i="12"/>
  <c r="N255" i="12"/>
  <c r="N256" i="12"/>
  <c r="N257" i="12"/>
  <c r="N258" i="12"/>
  <c r="N259" i="12"/>
  <c r="N260" i="12"/>
  <c r="N261" i="12"/>
  <c r="N262" i="12"/>
  <c r="N263" i="12"/>
  <c r="N264" i="12"/>
  <c r="N265" i="12"/>
  <c r="N266" i="12"/>
  <c r="N267" i="12"/>
  <c r="N268" i="12"/>
  <c r="N269" i="12"/>
  <c r="N270" i="12"/>
  <c r="N271" i="12"/>
  <c r="N272" i="12"/>
  <c r="N273" i="12"/>
  <c r="N274" i="12"/>
  <c r="N275" i="12"/>
  <c r="N276" i="12"/>
  <c r="N277" i="12"/>
  <c r="N278" i="12"/>
  <c r="N279" i="12"/>
  <c r="N280" i="12"/>
  <c r="N281" i="12"/>
  <c r="N282" i="12"/>
  <c r="N283" i="12"/>
  <c r="N284" i="12"/>
  <c r="N285" i="12"/>
  <c r="N286" i="12"/>
  <c r="N287" i="12"/>
  <c r="N288" i="12"/>
  <c r="N289" i="12"/>
  <c r="N290" i="12"/>
  <c r="N291" i="12"/>
  <c r="N292" i="12"/>
  <c r="N293" i="12"/>
  <c r="N294" i="12"/>
  <c r="N295" i="12"/>
  <c r="N296" i="12"/>
  <c r="N297" i="12"/>
  <c r="N298" i="12"/>
  <c r="N299" i="12"/>
  <c r="N300" i="12"/>
  <c r="N301" i="12"/>
  <c r="N302" i="12"/>
  <c r="N303" i="12"/>
  <c r="N304" i="12"/>
  <c r="N305" i="12"/>
  <c r="N306" i="12"/>
  <c r="N307" i="12"/>
  <c r="N308" i="12"/>
  <c r="N309" i="12"/>
  <c r="N310" i="12"/>
  <c r="N311" i="12"/>
  <c r="N312" i="12"/>
  <c r="N313" i="12"/>
  <c r="N314" i="12"/>
  <c r="N315" i="12"/>
  <c r="N316" i="12"/>
  <c r="N317" i="12"/>
  <c r="N318" i="12"/>
  <c r="N319" i="12"/>
  <c r="N320" i="12"/>
  <c r="N321" i="12"/>
  <c r="N322" i="12"/>
  <c r="N323" i="12"/>
  <c r="N324" i="12"/>
  <c r="N325" i="12"/>
  <c r="N326" i="12"/>
  <c r="N327" i="12"/>
  <c r="N328" i="12"/>
  <c r="N329" i="12"/>
  <c r="N330" i="12"/>
  <c r="N331" i="12"/>
  <c r="N332" i="12"/>
  <c r="N333" i="12"/>
  <c r="N334" i="12"/>
  <c r="N335" i="12"/>
  <c r="N336" i="12"/>
  <c r="N337" i="12"/>
  <c r="N338" i="12"/>
  <c r="N339" i="12"/>
  <c r="N340" i="12"/>
  <c r="N341" i="12"/>
  <c r="N342" i="12"/>
  <c r="N343" i="12"/>
  <c r="N344" i="12"/>
  <c r="N345" i="12"/>
  <c r="N346" i="12"/>
  <c r="N347" i="12"/>
  <c r="N348" i="12"/>
  <c r="N349" i="12"/>
  <c r="N350" i="12"/>
  <c r="N351" i="12"/>
  <c r="N352" i="12"/>
  <c r="N353" i="12"/>
  <c r="N354" i="12"/>
  <c r="N355" i="12"/>
  <c r="N356" i="12"/>
  <c r="N357" i="12"/>
  <c r="N358" i="12"/>
  <c r="N359" i="12"/>
  <c r="N360" i="12"/>
  <c r="N361" i="12"/>
  <c r="N362" i="12"/>
  <c r="N363" i="12"/>
  <c r="N364" i="12"/>
  <c r="N365" i="12"/>
  <c r="N366" i="12"/>
  <c r="N367" i="12"/>
  <c r="N368" i="12"/>
  <c r="N369" i="12"/>
  <c r="N370" i="12"/>
  <c r="N371" i="12"/>
  <c r="N372" i="12"/>
  <c r="N373" i="12"/>
  <c r="N374" i="12"/>
  <c r="N375" i="12"/>
  <c r="N376" i="12"/>
  <c r="N377" i="12"/>
  <c r="N378" i="12"/>
  <c r="N379" i="12"/>
  <c r="N380" i="12"/>
  <c r="N381" i="12"/>
  <c r="N382" i="12"/>
  <c r="N383" i="12"/>
  <c r="N384" i="12"/>
  <c r="N385" i="12"/>
  <c r="N386" i="12"/>
  <c r="N387" i="12"/>
  <c r="N388" i="12"/>
  <c r="N389" i="12"/>
  <c r="N390" i="12"/>
  <c r="N391" i="12"/>
  <c r="N392" i="12"/>
  <c r="N393" i="12"/>
  <c r="N394" i="12"/>
  <c r="N395" i="12"/>
  <c r="N396" i="12"/>
  <c r="N397" i="12"/>
  <c r="N398" i="12"/>
  <c r="N399" i="12"/>
  <c r="N400" i="12"/>
  <c r="N401" i="12"/>
  <c r="N402" i="12"/>
  <c r="N403" i="12"/>
  <c r="N404" i="12"/>
  <c r="N405" i="12"/>
  <c r="N406" i="12"/>
  <c r="N407" i="12"/>
  <c r="N408" i="12"/>
  <c r="N409" i="12"/>
  <c r="N410" i="12"/>
  <c r="N411" i="12"/>
  <c r="N412" i="12"/>
  <c r="N413" i="12"/>
  <c r="N414" i="12"/>
  <c r="N415" i="12"/>
  <c r="N416" i="12"/>
  <c r="N417" i="12"/>
  <c r="N418" i="12"/>
  <c r="N419" i="12"/>
  <c r="N420" i="12"/>
  <c r="N421" i="12"/>
  <c r="N422" i="12"/>
  <c r="N423" i="12"/>
  <c r="N424" i="12"/>
  <c r="N425" i="12"/>
  <c r="N426" i="12"/>
  <c r="N427" i="12"/>
  <c r="N428" i="12"/>
  <c r="N429" i="12"/>
  <c r="N430" i="12"/>
  <c r="N431" i="12"/>
  <c r="N432" i="12"/>
  <c r="N433" i="12"/>
  <c r="N434" i="12"/>
  <c r="N435" i="12"/>
  <c r="N436" i="12"/>
  <c r="N437" i="12"/>
  <c r="N438" i="12"/>
  <c r="N439" i="12"/>
  <c r="N440" i="12"/>
  <c r="N441" i="12"/>
  <c r="N442" i="12"/>
  <c r="N443" i="12"/>
  <c r="N444" i="12"/>
  <c r="N445" i="12"/>
  <c r="N446" i="12"/>
  <c r="N447" i="12"/>
  <c r="N448" i="12"/>
  <c r="N449" i="12"/>
  <c r="N450" i="12"/>
  <c r="N451" i="12"/>
  <c r="N452" i="12"/>
  <c r="N453" i="12"/>
  <c r="N454" i="12"/>
  <c r="N455" i="12"/>
  <c r="N456" i="12"/>
  <c r="N457" i="12"/>
  <c r="N458" i="12"/>
  <c r="N459" i="12"/>
  <c r="N460" i="12"/>
  <c r="N461" i="12"/>
  <c r="N462" i="12"/>
  <c r="N463" i="12"/>
  <c r="N464" i="12"/>
  <c r="N465" i="12"/>
  <c r="N466" i="12"/>
  <c r="N467" i="12"/>
  <c r="N468" i="12"/>
  <c r="N469" i="12"/>
  <c r="N470" i="12"/>
  <c r="N471" i="12"/>
  <c r="N472" i="12"/>
  <c r="N473" i="12"/>
  <c r="N474" i="12"/>
  <c r="N475" i="12"/>
  <c r="N476" i="12"/>
  <c r="N477" i="12"/>
  <c r="N478" i="12"/>
  <c r="N479" i="12"/>
  <c r="N480" i="12"/>
  <c r="N481" i="12"/>
  <c r="N482" i="12"/>
  <c r="N483" i="12"/>
  <c r="N484" i="12"/>
  <c r="N485" i="12"/>
  <c r="N486" i="12"/>
  <c r="N487" i="12"/>
  <c r="N488" i="12"/>
  <c r="N489" i="12"/>
  <c r="N490" i="12"/>
  <c r="N491" i="12"/>
  <c r="N492" i="12"/>
  <c r="N493" i="12"/>
  <c r="N494" i="12"/>
  <c r="N495" i="12"/>
  <c r="N496" i="12"/>
  <c r="N497" i="12"/>
  <c r="N498" i="12"/>
  <c r="N499" i="12"/>
  <c r="N500" i="12"/>
  <c r="N501" i="12"/>
  <c r="N502" i="12"/>
  <c r="N503" i="12"/>
  <c r="N504" i="12"/>
  <c r="N505" i="12"/>
  <c r="N506" i="12"/>
  <c r="N507" i="12"/>
  <c r="N508" i="12"/>
  <c r="N509" i="12"/>
  <c r="N510" i="12"/>
  <c r="N511" i="12"/>
  <c r="N512" i="12"/>
  <c r="N513" i="12"/>
  <c r="N514" i="12"/>
  <c r="N515" i="12"/>
  <c r="N516" i="12"/>
  <c r="N517" i="12"/>
  <c r="N518" i="12"/>
  <c r="N519" i="12"/>
  <c r="N520" i="12"/>
  <c r="N521" i="12"/>
  <c r="N522" i="12"/>
  <c r="N523" i="12"/>
  <c r="N524" i="12"/>
  <c r="N525" i="12"/>
  <c r="N526" i="12"/>
  <c r="N527" i="12"/>
  <c r="N528" i="12"/>
  <c r="N529" i="12"/>
  <c r="N530" i="12"/>
  <c r="N531" i="12"/>
  <c r="N532" i="12"/>
  <c r="N533" i="12"/>
  <c r="N534" i="12"/>
  <c r="N535" i="12"/>
  <c r="N536" i="12"/>
  <c r="N537" i="12"/>
  <c r="N538" i="12"/>
  <c r="N539" i="12"/>
  <c r="N540" i="12"/>
  <c r="N541" i="12"/>
  <c r="N542" i="12"/>
  <c r="N543" i="12"/>
  <c r="N544" i="12"/>
  <c r="N545" i="12"/>
  <c r="N546" i="12"/>
  <c r="N547" i="12"/>
  <c r="N548" i="12"/>
  <c r="N549" i="12"/>
  <c r="N550" i="12"/>
  <c r="N551" i="12"/>
  <c r="N552" i="12"/>
  <c r="N553" i="12"/>
  <c r="N554" i="12"/>
  <c r="N555" i="12"/>
  <c r="N556" i="12"/>
  <c r="N557" i="12"/>
  <c r="N558" i="12"/>
  <c r="N559" i="12"/>
  <c r="N560" i="12"/>
  <c r="N561" i="12"/>
  <c r="N562" i="12"/>
  <c r="N563" i="12"/>
  <c r="N564" i="12"/>
  <c r="N565" i="12"/>
  <c r="N566" i="12"/>
  <c r="N567" i="12"/>
  <c r="N568" i="12"/>
  <c r="N569" i="12"/>
  <c r="N570" i="12"/>
  <c r="N571" i="12"/>
  <c r="N572" i="12"/>
  <c r="N573" i="12"/>
  <c r="N574" i="12"/>
  <c r="N575" i="12"/>
  <c r="N576" i="12"/>
  <c r="N577" i="12"/>
  <c r="N578" i="12"/>
  <c r="N579" i="12"/>
  <c r="N580" i="12"/>
  <c r="N581" i="12"/>
  <c r="N582" i="12"/>
  <c r="N583" i="12"/>
  <c r="N584" i="12"/>
  <c r="N585" i="12"/>
  <c r="N586" i="12"/>
  <c r="N587" i="12"/>
  <c r="N588" i="12"/>
  <c r="N589" i="12"/>
  <c r="N590" i="12"/>
  <c r="N591" i="12"/>
  <c r="T6" i="12"/>
  <c r="T7" i="12"/>
  <c r="T8" i="12"/>
  <c r="T9" i="12"/>
  <c r="T10" i="12"/>
  <c r="T11" i="12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T35" i="12"/>
  <c r="T36" i="12"/>
  <c r="T37" i="12"/>
  <c r="T38" i="12"/>
  <c r="T39" i="12"/>
  <c r="T40" i="12"/>
  <c r="T41" i="12"/>
  <c r="T42" i="12"/>
  <c r="T43" i="12"/>
  <c r="T44" i="12"/>
  <c r="T45" i="12"/>
  <c r="T46" i="12"/>
  <c r="T47" i="12"/>
  <c r="T48" i="12"/>
  <c r="T49" i="12"/>
  <c r="T50" i="12"/>
  <c r="T51" i="12"/>
  <c r="T52" i="12"/>
  <c r="T53" i="12"/>
  <c r="T54" i="12"/>
  <c r="T55" i="12"/>
  <c r="T56" i="12"/>
  <c r="T57" i="12"/>
  <c r="T58" i="12"/>
  <c r="T59" i="12"/>
  <c r="T60" i="12"/>
  <c r="T61" i="12"/>
  <c r="T62" i="12"/>
  <c r="T63" i="12"/>
  <c r="T64" i="12"/>
  <c r="T65" i="12"/>
  <c r="T66" i="12"/>
  <c r="T67" i="12"/>
  <c r="T68" i="12"/>
  <c r="T69" i="12"/>
  <c r="T70" i="12"/>
  <c r="T71" i="12"/>
  <c r="T72" i="12"/>
  <c r="T73" i="12"/>
  <c r="T74" i="12"/>
  <c r="T75" i="12"/>
  <c r="T76" i="12"/>
  <c r="T77" i="12"/>
  <c r="T78" i="12"/>
  <c r="T79" i="12"/>
  <c r="T80" i="12"/>
  <c r="T81" i="12"/>
  <c r="T82" i="12"/>
  <c r="T83" i="12"/>
  <c r="T84" i="12"/>
  <c r="T85" i="12"/>
  <c r="T86" i="12"/>
  <c r="T87" i="12"/>
  <c r="T88" i="12"/>
  <c r="T89" i="12"/>
  <c r="T90" i="12"/>
  <c r="T91" i="12"/>
  <c r="T92" i="12"/>
  <c r="T93" i="12"/>
  <c r="T94" i="12"/>
  <c r="T95" i="12"/>
  <c r="T96" i="12"/>
  <c r="T97" i="12"/>
  <c r="T98" i="12"/>
  <c r="T99" i="12"/>
  <c r="T100" i="12"/>
  <c r="T101" i="12"/>
  <c r="T102" i="12"/>
  <c r="T103" i="12"/>
  <c r="T104" i="12"/>
  <c r="T105" i="12"/>
  <c r="T106" i="12"/>
  <c r="T107" i="12"/>
  <c r="T108" i="12"/>
  <c r="T109" i="12"/>
  <c r="T110" i="12"/>
  <c r="T111" i="12"/>
  <c r="T112" i="12"/>
  <c r="T113" i="12"/>
  <c r="T114" i="12"/>
  <c r="T115" i="12"/>
  <c r="T116" i="12"/>
  <c r="T117" i="12"/>
  <c r="T118" i="12"/>
  <c r="T119" i="12"/>
  <c r="T120" i="12"/>
  <c r="T121" i="12"/>
  <c r="T122" i="12"/>
  <c r="T123" i="12"/>
  <c r="T124" i="12"/>
  <c r="T125" i="12"/>
  <c r="T126" i="12"/>
  <c r="T127" i="12"/>
  <c r="T128" i="12"/>
  <c r="T129" i="12"/>
  <c r="T130" i="12"/>
  <c r="T131" i="12"/>
  <c r="T132" i="12"/>
  <c r="T133" i="12"/>
  <c r="T134" i="12"/>
  <c r="T135" i="12"/>
  <c r="T136" i="12"/>
  <c r="T137" i="12"/>
  <c r="T138" i="12"/>
  <c r="T139" i="12"/>
  <c r="T140" i="12"/>
  <c r="T141" i="12"/>
  <c r="T142" i="12"/>
  <c r="T143" i="12"/>
  <c r="T144" i="12"/>
  <c r="T145" i="12"/>
  <c r="T146" i="12"/>
  <c r="T147" i="12"/>
  <c r="T148" i="12"/>
  <c r="T149" i="12"/>
  <c r="T150" i="12"/>
  <c r="T151" i="12"/>
  <c r="T152" i="12"/>
  <c r="T153" i="12"/>
  <c r="T154" i="12"/>
  <c r="T155" i="12"/>
  <c r="T156" i="12"/>
  <c r="T157" i="12"/>
  <c r="T158" i="12"/>
  <c r="T159" i="12"/>
  <c r="T160" i="12"/>
  <c r="T161" i="12"/>
  <c r="T162" i="12"/>
  <c r="T163" i="12"/>
  <c r="T164" i="12"/>
  <c r="T165" i="12"/>
  <c r="T166" i="12"/>
  <c r="T167" i="12"/>
  <c r="T168" i="12"/>
  <c r="T169" i="12"/>
  <c r="T170" i="12"/>
  <c r="T171" i="12"/>
  <c r="T172" i="12"/>
  <c r="T173" i="12"/>
  <c r="T174" i="12"/>
  <c r="T175" i="12"/>
  <c r="T176" i="12"/>
  <c r="T177" i="12"/>
  <c r="T178" i="12"/>
  <c r="T179" i="12"/>
  <c r="T180" i="12"/>
  <c r="T181" i="12"/>
  <c r="T182" i="12"/>
  <c r="T183" i="12"/>
  <c r="T184" i="12"/>
  <c r="T185" i="12"/>
  <c r="T186" i="12"/>
  <c r="T187" i="12"/>
  <c r="T188" i="12"/>
  <c r="T189" i="12"/>
  <c r="T190" i="12"/>
  <c r="T191" i="12"/>
  <c r="T192" i="12"/>
  <c r="T193" i="12"/>
  <c r="T194" i="12"/>
  <c r="T195" i="12"/>
  <c r="T196" i="12"/>
  <c r="T197" i="12"/>
  <c r="T198" i="12"/>
  <c r="T199" i="12"/>
  <c r="T200" i="12"/>
  <c r="T201" i="12"/>
  <c r="T202" i="12"/>
  <c r="T203" i="12"/>
  <c r="T204" i="12"/>
  <c r="T205" i="12"/>
  <c r="T206" i="12"/>
  <c r="T207" i="12"/>
  <c r="T208" i="12"/>
  <c r="T209" i="12"/>
  <c r="T210" i="12"/>
  <c r="T211" i="12"/>
  <c r="T212" i="12"/>
  <c r="T213" i="12"/>
  <c r="T214" i="12"/>
  <c r="T215" i="12"/>
  <c r="T216" i="12"/>
  <c r="T217" i="12"/>
  <c r="T218" i="12"/>
  <c r="T219" i="12"/>
  <c r="T220" i="12"/>
  <c r="T221" i="12"/>
  <c r="T222" i="12"/>
  <c r="T223" i="12"/>
  <c r="T224" i="12"/>
  <c r="T225" i="12"/>
  <c r="T226" i="12"/>
  <c r="T227" i="12"/>
  <c r="T228" i="12"/>
  <c r="T229" i="12"/>
  <c r="T230" i="12"/>
  <c r="T231" i="12"/>
  <c r="T232" i="12"/>
  <c r="T233" i="12"/>
  <c r="T234" i="12"/>
  <c r="T235" i="12"/>
  <c r="T236" i="12"/>
  <c r="T237" i="12"/>
  <c r="T238" i="12"/>
  <c r="T239" i="12"/>
  <c r="T240" i="12"/>
  <c r="T241" i="12"/>
  <c r="T242" i="12"/>
  <c r="T243" i="12"/>
  <c r="T244" i="12"/>
  <c r="T245" i="12"/>
  <c r="T246" i="12"/>
  <c r="T247" i="12"/>
  <c r="T248" i="12"/>
  <c r="T249" i="12"/>
  <c r="T250" i="12"/>
  <c r="T251" i="12"/>
  <c r="T252" i="12"/>
  <c r="T253" i="12"/>
  <c r="T254" i="12"/>
  <c r="T255" i="12"/>
  <c r="T256" i="12"/>
  <c r="T257" i="12"/>
  <c r="T258" i="12"/>
  <c r="T259" i="12"/>
  <c r="T260" i="12"/>
  <c r="T261" i="12"/>
  <c r="T262" i="12"/>
  <c r="T263" i="12"/>
  <c r="T264" i="12"/>
  <c r="T265" i="12"/>
  <c r="T266" i="12"/>
  <c r="T267" i="12"/>
  <c r="T268" i="12"/>
  <c r="T269" i="12"/>
  <c r="T270" i="12"/>
  <c r="T271" i="12"/>
  <c r="T272" i="12"/>
  <c r="T273" i="12"/>
  <c r="T274" i="12"/>
  <c r="T275" i="12"/>
  <c r="T276" i="12"/>
  <c r="T277" i="12"/>
  <c r="T278" i="12"/>
  <c r="T279" i="12"/>
  <c r="T280" i="12"/>
  <c r="T281" i="12"/>
  <c r="T282" i="12"/>
  <c r="T283" i="12"/>
  <c r="T284" i="12"/>
  <c r="T285" i="12"/>
  <c r="T286" i="12"/>
  <c r="T287" i="12"/>
  <c r="T288" i="12"/>
  <c r="T289" i="12"/>
  <c r="T290" i="12"/>
  <c r="T291" i="12"/>
  <c r="T292" i="12"/>
  <c r="T293" i="12"/>
  <c r="T294" i="12"/>
  <c r="T295" i="12"/>
  <c r="T296" i="12"/>
  <c r="T297" i="12"/>
  <c r="T298" i="12"/>
  <c r="T299" i="12"/>
  <c r="T300" i="12"/>
  <c r="T301" i="12"/>
  <c r="T302" i="12"/>
  <c r="T303" i="12"/>
  <c r="T304" i="12"/>
  <c r="T305" i="12"/>
  <c r="T306" i="12"/>
  <c r="T307" i="12"/>
  <c r="T308" i="12"/>
  <c r="T309" i="12"/>
  <c r="T310" i="12"/>
  <c r="T311" i="12"/>
  <c r="T312" i="12"/>
  <c r="T313" i="12"/>
  <c r="T314" i="12"/>
  <c r="T315" i="12"/>
  <c r="T316" i="12"/>
  <c r="T317" i="12"/>
  <c r="T318" i="12"/>
  <c r="T319" i="12"/>
  <c r="T320" i="12"/>
  <c r="T321" i="12"/>
  <c r="T322" i="12"/>
  <c r="T323" i="12"/>
  <c r="T324" i="12"/>
  <c r="T325" i="12"/>
  <c r="T326" i="12"/>
  <c r="T327" i="12"/>
  <c r="T328" i="12"/>
  <c r="T329" i="12"/>
  <c r="T330" i="12"/>
  <c r="T331" i="12"/>
  <c r="T332" i="12"/>
  <c r="T333" i="12"/>
  <c r="T334" i="12"/>
  <c r="T335" i="12"/>
  <c r="T336" i="12"/>
  <c r="T337" i="12"/>
  <c r="T338" i="12"/>
  <c r="T339" i="12"/>
  <c r="T340" i="12"/>
  <c r="T341" i="12"/>
  <c r="T342" i="12"/>
  <c r="T343" i="12"/>
  <c r="T344" i="12"/>
  <c r="T345" i="12"/>
  <c r="T346" i="12"/>
  <c r="T347" i="12"/>
  <c r="T348" i="12"/>
  <c r="T349" i="12"/>
  <c r="T350" i="12"/>
  <c r="T351" i="12"/>
  <c r="T352" i="12"/>
  <c r="T353" i="12"/>
  <c r="T354" i="12"/>
  <c r="T355" i="12"/>
  <c r="T356" i="12"/>
  <c r="T357" i="12"/>
  <c r="T358" i="12"/>
  <c r="T359" i="12"/>
  <c r="T360" i="12"/>
  <c r="T361" i="12"/>
  <c r="T362" i="12"/>
  <c r="T363" i="12"/>
  <c r="T364" i="12"/>
  <c r="T365" i="12"/>
  <c r="T366" i="12"/>
  <c r="T367" i="12"/>
  <c r="T368" i="12"/>
  <c r="T369" i="12"/>
  <c r="T370" i="12"/>
  <c r="T371" i="12"/>
  <c r="T372" i="12"/>
  <c r="T373" i="12"/>
  <c r="T374" i="12"/>
  <c r="T375" i="12"/>
  <c r="T376" i="12"/>
  <c r="T377" i="12"/>
  <c r="T378" i="12"/>
  <c r="T379" i="12"/>
  <c r="T380" i="12"/>
  <c r="T381" i="12"/>
  <c r="T382" i="12"/>
  <c r="T383" i="12"/>
  <c r="T384" i="12"/>
  <c r="T385" i="12"/>
  <c r="T386" i="12"/>
  <c r="T387" i="12"/>
  <c r="T388" i="12"/>
  <c r="T389" i="12"/>
  <c r="T390" i="12"/>
  <c r="T391" i="12"/>
  <c r="T392" i="12"/>
  <c r="T393" i="12"/>
  <c r="T394" i="12"/>
  <c r="T395" i="12"/>
  <c r="T396" i="12"/>
  <c r="T397" i="12"/>
  <c r="T398" i="12"/>
  <c r="T399" i="12"/>
  <c r="T400" i="12"/>
  <c r="T401" i="12"/>
  <c r="T402" i="12"/>
  <c r="T403" i="12"/>
  <c r="T404" i="12"/>
  <c r="T405" i="12"/>
  <c r="T406" i="12"/>
  <c r="T407" i="12"/>
  <c r="T408" i="12"/>
  <c r="T409" i="12"/>
  <c r="T410" i="12"/>
  <c r="T411" i="12"/>
  <c r="T412" i="12"/>
  <c r="T413" i="12"/>
  <c r="T414" i="12"/>
  <c r="T415" i="12"/>
  <c r="T416" i="12"/>
  <c r="T417" i="12"/>
  <c r="T418" i="12"/>
  <c r="T419" i="12"/>
  <c r="T420" i="12"/>
  <c r="T421" i="12"/>
  <c r="T422" i="12"/>
  <c r="T423" i="12"/>
  <c r="T424" i="12"/>
  <c r="T425" i="12"/>
  <c r="T426" i="12"/>
  <c r="T427" i="12"/>
  <c r="T428" i="12"/>
  <c r="T429" i="12"/>
  <c r="T430" i="12"/>
  <c r="T431" i="12"/>
  <c r="T432" i="12"/>
  <c r="T433" i="12"/>
  <c r="T434" i="12"/>
  <c r="T435" i="12"/>
  <c r="T436" i="12"/>
  <c r="T437" i="12"/>
  <c r="T438" i="12"/>
  <c r="T439" i="12"/>
  <c r="T440" i="12"/>
  <c r="T441" i="12"/>
  <c r="T442" i="12"/>
  <c r="T443" i="12"/>
  <c r="T444" i="12"/>
  <c r="T445" i="12"/>
  <c r="T446" i="12"/>
  <c r="T447" i="12"/>
  <c r="T448" i="12"/>
  <c r="T449" i="12"/>
  <c r="T450" i="12"/>
  <c r="T451" i="12"/>
  <c r="T452" i="12"/>
  <c r="T453" i="12"/>
  <c r="T454" i="12"/>
  <c r="T455" i="12"/>
  <c r="T456" i="12"/>
  <c r="T457" i="12"/>
  <c r="T458" i="12"/>
  <c r="T459" i="12"/>
  <c r="T460" i="12"/>
  <c r="T461" i="12"/>
  <c r="T462" i="12"/>
  <c r="T463" i="12"/>
  <c r="T464" i="12"/>
  <c r="T465" i="12"/>
  <c r="T466" i="12"/>
  <c r="T467" i="12"/>
  <c r="T468" i="12"/>
  <c r="T469" i="12"/>
  <c r="T470" i="12"/>
  <c r="T471" i="12"/>
  <c r="T472" i="12"/>
  <c r="T473" i="12"/>
  <c r="T474" i="12"/>
  <c r="T475" i="12"/>
  <c r="T476" i="12"/>
  <c r="T477" i="12"/>
  <c r="T478" i="12"/>
  <c r="T479" i="12"/>
  <c r="T480" i="12"/>
  <c r="T481" i="12"/>
  <c r="T482" i="12"/>
  <c r="T483" i="12"/>
  <c r="T484" i="12"/>
  <c r="T485" i="12"/>
  <c r="T486" i="12"/>
  <c r="T487" i="12"/>
  <c r="T488" i="12"/>
  <c r="T489" i="12"/>
  <c r="T490" i="12"/>
  <c r="T491" i="12"/>
  <c r="T492" i="12"/>
  <c r="T493" i="12"/>
  <c r="T494" i="12"/>
  <c r="T495" i="12"/>
  <c r="T496" i="12"/>
  <c r="T497" i="12"/>
  <c r="T498" i="12"/>
  <c r="T499" i="12"/>
  <c r="T500" i="12"/>
  <c r="T501" i="12"/>
  <c r="T502" i="12"/>
  <c r="T503" i="12"/>
  <c r="T504" i="12"/>
  <c r="T505" i="12"/>
  <c r="T506" i="12"/>
  <c r="T507" i="12"/>
  <c r="T508" i="12"/>
  <c r="T509" i="12"/>
  <c r="T510" i="12"/>
  <c r="T511" i="12"/>
  <c r="T512" i="12"/>
  <c r="T513" i="12"/>
  <c r="T514" i="12"/>
  <c r="T515" i="12"/>
  <c r="T516" i="12"/>
  <c r="T517" i="12"/>
  <c r="T518" i="12"/>
  <c r="T519" i="12"/>
  <c r="T520" i="12"/>
  <c r="T521" i="12"/>
  <c r="T522" i="12"/>
  <c r="T523" i="12"/>
  <c r="T524" i="12"/>
  <c r="T525" i="12"/>
  <c r="T526" i="12"/>
  <c r="T527" i="12"/>
  <c r="T528" i="12"/>
  <c r="T529" i="12"/>
  <c r="T530" i="12"/>
  <c r="T531" i="12"/>
  <c r="T532" i="12"/>
  <c r="T533" i="12"/>
  <c r="T534" i="12"/>
  <c r="T535" i="12"/>
  <c r="T536" i="12"/>
  <c r="T537" i="12"/>
  <c r="T538" i="12"/>
  <c r="T539" i="12"/>
  <c r="T540" i="12"/>
  <c r="T541" i="12"/>
  <c r="T542" i="12"/>
  <c r="T543" i="12"/>
  <c r="T544" i="12"/>
  <c r="T545" i="12"/>
  <c r="T546" i="12"/>
  <c r="T547" i="12"/>
  <c r="T548" i="12"/>
  <c r="T549" i="12"/>
  <c r="T550" i="12"/>
  <c r="T551" i="12"/>
  <c r="T552" i="12"/>
  <c r="T553" i="12"/>
  <c r="T554" i="12"/>
  <c r="T555" i="12"/>
  <c r="T556" i="12"/>
  <c r="T557" i="12"/>
  <c r="T558" i="12"/>
  <c r="T559" i="12"/>
  <c r="T560" i="12"/>
  <c r="T561" i="12"/>
  <c r="T562" i="12"/>
  <c r="T563" i="12"/>
  <c r="T564" i="12"/>
  <c r="T565" i="12"/>
  <c r="T566" i="12"/>
  <c r="T567" i="12"/>
  <c r="T568" i="12"/>
  <c r="T569" i="12"/>
  <c r="T570" i="12"/>
  <c r="T571" i="12"/>
  <c r="T572" i="12"/>
  <c r="T573" i="12"/>
  <c r="T574" i="12"/>
  <c r="T575" i="12"/>
  <c r="T576" i="12"/>
  <c r="T577" i="12"/>
  <c r="T578" i="12"/>
  <c r="T579" i="12"/>
  <c r="T580" i="12"/>
  <c r="T581" i="12"/>
  <c r="T582" i="12"/>
  <c r="T583" i="12"/>
  <c r="T584" i="12"/>
  <c r="T585" i="12"/>
  <c r="T586" i="12"/>
  <c r="T587" i="12"/>
  <c r="T588" i="12"/>
  <c r="T589" i="12"/>
  <c r="T590" i="12"/>
  <c r="T591" i="12"/>
  <c r="D594" i="12"/>
  <c r="E594" i="12"/>
  <c r="F594" i="12"/>
  <c r="G594" i="12"/>
  <c r="H594" i="12"/>
  <c r="I594" i="12"/>
  <c r="E593" i="12"/>
  <c r="E595" i="12" s="1"/>
  <c r="F593" i="12"/>
  <c r="G593" i="12"/>
  <c r="G595" i="12" s="1"/>
  <c r="H593" i="12"/>
  <c r="H595" i="12" s="1"/>
  <c r="I593" i="12"/>
  <c r="I595" i="12" s="1"/>
  <c r="D593" i="12"/>
  <c r="D595" i="12" s="1"/>
  <c r="C594" i="12"/>
  <c r="C593" i="12"/>
  <c r="C595" i="12" s="1"/>
  <c r="F595" i="12" l="1"/>
  <c r="AA11" i="10"/>
  <c r="Z11" i="10"/>
  <c r="Y11" i="10"/>
  <c r="R6" i="10"/>
  <c r="R7" i="10" s="1"/>
  <c r="R8" i="10" s="1"/>
  <c r="R9" i="10" s="1"/>
  <c r="R10" i="10" s="1"/>
  <c r="R11" i="10" s="1"/>
  <c r="R12" i="10" s="1"/>
  <c r="R13" i="10" s="1"/>
  <c r="R14" i="10" s="1"/>
  <c r="R15" i="10" s="1"/>
  <c r="R16" i="10" s="1"/>
  <c r="R17" i="10" s="1"/>
  <c r="R18" i="10" s="1"/>
  <c r="R19" i="10" s="1"/>
  <c r="R20" i="10" s="1"/>
  <c r="R21" i="10" s="1"/>
  <c r="R22" i="10" s="1"/>
  <c r="R23" i="10" s="1"/>
  <c r="R24" i="10" s="1"/>
  <c r="R25" i="10" s="1"/>
  <c r="R26" i="10" s="1"/>
  <c r="R27" i="10" s="1"/>
  <c r="R28" i="10" s="1"/>
  <c r="R29" i="10" s="1"/>
  <c r="R30" i="10" s="1"/>
  <c r="R31" i="10" s="1"/>
  <c r="R32" i="10" s="1"/>
  <c r="R33" i="10" s="1"/>
  <c r="R34" i="10" s="1"/>
  <c r="R35" i="10" s="1"/>
  <c r="P6" i="10"/>
  <c r="P7" i="10" s="1"/>
  <c r="P8" i="10" s="1"/>
  <c r="P9" i="10" s="1"/>
  <c r="P10" i="10" s="1"/>
  <c r="P11" i="10" s="1"/>
  <c r="P12" i="10" s="1"/>
  <c r="P13" i="10" s="1"/>
  <c r="P14" i="10" s="1"/>
  <c r="P15" i="10" s="1"/>
  <c r="P16" i="10" s="1"/>
  <c r="P17" i="10" s="1"/>
  <c r="P18" i="10" s="1"/>
  <c r="P19" i="10" s="1"/>
  <c r="P20" i="10" s="1"/>
  <c r="P21" i="10" s="1"/>
  <c r="P22" i="10" s="1"/>
  <c r="P23" i="10" s="1"/>
  <c r="P24" i="10" s="1"/>
  <c r="P25" i="10" s="1"/>
  <c r="P26" i="10" s="1"/>
  <c r="P27" i="10" s="1"/>
  <c r="P28" i="10" s="1"/>
  <c r="P29" i="10" s="1"/>
  <c r="P30" i="10" s="1"/>
  <c r="P31" i="10" s="1"/>
  <c r="P32" i="10" s="1"/>
  <c r="P33" i="10" s="1"/>
  <c r="P34" i="10" s="1"/>
  <c r="P35" i="10" s="1"/>
  <c r="M6" i="10"/>
  <c r="M7" i="10" s="1"/>
  <c r="M8" i="10" s="1"/>
  <c r="M9" i="10" s="1"/>
  <c r="M10" i="10" s="1"/>
  <c r="M11" i="10" s="1"/>
  <c r="M12" i="10" s="1"/>
  <c r="M13" i="10" s="1"/>
  <c r="M14" i="10" s="1"/>
  <c r="M15" i="10" s="1"/>
  <c r="M16" i="10" s="1"/>
  <c r="M17" i="10" s="1"/>
  <c r="M18" i="10" s="1"/>
  <c r="M19" i="10" s="1"/>
  <c r="M20" i="10" s="1"/>
  <c r="M21" i="10" s="1"/>
  <c r="M22" i="10" s="1"/>
  <c r="M23" i="10" s="1"/>
  <c r="M24" i="10" s="1"/>
  <c r="M25" i="10" s="1"/>
  <c r="M26" i="10" s="1"/>
  <c r="M27" i="10" s="1"/>
  <c r="M28" i="10" s="1"/>
  <c r="M29" i="10" s="1"/>
  <c r="M30" i="10" s="1"/>
  <c r="M31" i="10" s="1"/>
  <c r="M32" i="10" s="1"/>
  <c r="M33" i="10" s="1"/>
  <c r="M34" i="10" s="1"/>
  <c r="M35" i="10" s="1"/>
  <c r="K6" i="10"/>
  <c r="K7" i="10" s="1"/>
  <c r="K8" i="10" s="1"/>
  <c r="K9" i="10" s="1"/>
  <c r="K10" i="10" s="1"/>
  <c r="K11" i="10" s="1"/>
  <c r="K12" i="10" s="1"/>
  <c r="K13" i="10" s="1"/>
  <c r="K14" i="10" s="1"/>
  <c r="K15" i="10" s="1"/>
  <c r="K16" i="10" s="1"/>
  <c r="K17" i="10" s="1"/>
  <c r="K18" i="10" s="1"/>
  <c r="K19" i="10" s="1"/>
  <c r="K20" i="10" s="1"/>
  <c r="K21" i="10" s="1"/>
  <c r="K22" i="10" s="1"/>
  <c r="K23" i="10" s="1"/>
  <c r="K24" i="10" s="1"/>
  <c r="K25" i="10" s="1"/>
  <c r="K26" i="10" s="1"/>
  <c r="K27" i="10" s="1"/>
  <c r="K28" i="10" s="1"/>
  <c r="K29" i="10" s="1"/>
  <c r="K30" i="10" s="1"/>
  <c r="K31" i="10" s="1"/>
  <c r="K32" i="10" s="1"/>
  <c r="K33" i="10" s="1"/>
  <c r="K34" i="10" s="1"/>
  <c r="K35" i="10" s="1"/>
  <c r="I6" i="10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22" i="10" s="1"/>
  <c r="I23" i="10" s="1"/>
  <c r="I24" i="10" s="1"/>
  <c r="I25" i="10" s="1"/>
  <c r="I26" i="10" s="1"/>
  <c r="I27" i="10" s="1"/>
  <c r="I28" i="10" s="1"/>
  <c r="I29" i="10" s="1"/>
  <c r="I30" i="10" s="1"/>
  <c r="I31" i="10" s="1"/>
  <c r="I32" i="10" s="1"/>
  <c r="I33" i="10" s="1"/>
  <c r="I34" i="10" s="1"/>
  <c r="I35" i="10" s="1"/>
  <c r="F6" i="10"/>
  <c r="F7" i="10" s="1"/>
  <c r="F8" i="10" s="1"/>
  <c r="F9" i="10" s="1"/>
  <c r="F10" i="10" s="1"/>
  <c r="F11" i="10" s="1"/>
  <c r="F12" i="10" s="1"/>
  <c r="F13" i="10" s="1"/>
  <c r="F14" i="10" s="1"/>
  <c r="F15" i="10" s="1"/>
  <c r="F16" i="10" s="1"/>
  <c r="F17" i="10" s="1"/>
  <c r="F18" i="10" s="1"/>
  <c r="F19" i="10" s="1"/>
  <c r="F20" i="10" s="1"/>
  <c r="F21" i="10" s="1"/>
  <c r="F22" i="10" s="1"/>
  <c r="F23" i="10" s="1"/>
  <c r="F24" i="10" s="1"/>
  <c r="F25" i="10" s="1"/>
  <c r="F26" i="10" s="1"/>
  <c r="F27" i="10" s="1"/>
  <c r="F28" i="10" s="1"/>
  <c r="F29" i="10" s="1"/>
  <c r="F30" i="10" s="1"/>
  <c r="F31" i="10" s="1"/>
  <c r="F32" i="10" s="1"/>
  <c r="F33" i="10" s="1"/>
  <c r="F34" i="10" s="1"/>
  <c r="F35" i="10" s="1"/>
  <c r="D6" i="10"/>
  <c r="D7" i="10" s="1"/>
  <c r="D8" i="10" s="1"/>
  <c r="D9" i="10" s="1"/>
  <c r="D10" i="10" s="1"/>
  <c r="D11" i="10" s="1"/>
  <c r="D12" i="10" s="1"/>
  <c r="D13" i="10" s="1"/>
  <c r="D14" i="10" s="1"/>
  <c r="D15" i="10" s="1"/>
  <c r="D16" i="10" s="1"/>
  <c r="D17" i="10" s="1"/>
  <c r="D18" i="10" s="1"/>
  <c r="D19" i="10" s="1"/>
  <c r="D20" i="10" s="1"/>
  <c r="D21" i="10" s="1"/>
  <c r="D22" i="10" s="1"/>
  <c r="D23" i="10" s="1"/>
  <c r="D24" i="10" s="1"/>
  <c r="D25" i="10" s="1"/>
  <c r="D26" i="10" s="1"/>
  <c r="D27" i="10" s="1"/>
  <c r="D28" i="10" s="1"/>
  <c r="D29" i="10" s="1"/>
  <c r="D30" i="10" s="1"/>
  <c r="D31" i="10" s="1"/>
  <c r="D32" i="10" s="1"/>
  <c r="D33" i="10" s="1"/>
  <c r="D34" i="10" s="1"/>
  <c r="D35" i="10" s="1"/>
  <c r="B6" i="10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T5" i="10"/>
  <c r="T6" i="10" s="1"/>
  <c r="T7" i="10" s="1"/>
  <c r="T8" i="10" s="1"/>
  <c r="T9" i="10" s="1"/>
  <c r="T10" i="10" s="1"/>
  <c r="T11" i="10" s="1"/>
  <c r="T12" i="10" s="1"/>
  <c r="T13" i="10" s="1"/>
  <c r="T14" i="10" s="1"/>
  <c r="T15" i="10" s="1"/>
  <c r="T16" i="10" s="1"/>
  <c r="T17" i="10" s="1"/>
  <c r="T18" i="10" s="1"/>
  <c r="T19" i="10" s="1"/>
  <c r="T20" i="10" s="1"/>
  <c r="T21" i="10" s="1"/>
  <c r="T22" i="10" s="1"/>
  <c r="T23" i="10" s="1"/>
  <c r="T24" i="10" s="1"/>
  <c r="T25" i="10" s="1"/>
  <c r="T26" i="10" s="1"/>
  <c r="T27" i="10" s="1"/>
  <c r="T28" i="10" s="1"/>
  <c r="T29" i="10" s="1"/>
  <c r="T30" i="10" s="1"/>
  <c r="T31" i="10" s="1"/>
  <c r="T32" i="10" s="1"/>
  <c r="T33" i="10" s="1"/>
  <c r="T34" i="10" s="1"/>
  <c r="T35" i="10" s="1"/>
  <c r="B119" i="3"/>
  <c r="B120" i="3"/>
  <c r="B121" i="3" s="1"/>
  <c r="B122" i="3" s="1"/>
  <c r="B123" i="3" s="1"/>
  <c r="B124" i="3" s="1"/>
  <c r="B125" i="3" s="1"/>
  <c r="B126" i="3" s="1"/>
  <c r="B127" i="3" s="1"/>
  <c r="B128" i="3" s="1"/>
  <c r="B129" i="3" s="1"/>
  <c r="B130" i="3" s="1"/>
  <c r="B131" i="3" s="1"/>
  <c r="B132" i="3" s="1"/>
  <c r="B133" i="3" s="1"/>
  <c r="B134" i="3" s="1"/>
  <c r="B135" i="3" s="1"/>
  <c r="B136" i="3" s="1"/>
  <c r="B137" i="3" s="1"/>
  <c r="B138" i="3" s="1"/>
  <c r="B139" i="3" s="1"/>
  <c r="B140" i="3" s="1"/>
  <c r="B141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18" i="3"/>
  <c r="H41" i="8"/>
  <c r="G41" i="8"/>
  <c r="F41" i="8"/>
  <c r="E41" i="8"/>
  <c r="C41" i="8"/>
  <c r="K40" i="8"/>
  <c r="H40" i="8"/>
  <c r="G40" i="8"/>
  <c r="F40" i="8"/>
  <c r="E40" i="8"/>
  <c r="C40" i="8"/>
  <c r="K39" i="8"/>
  <c r="J39" i="8"/>
  <c r="H39" i="8"/>
  <c r="F39" i="8"/>
  <c r="E39" i="8"/>
  <c r="K38" i="8"/>
  <c r="H38" i="8"/>
  <c r="F38" i="8"/>
  <c r="E38" i="8"/>
  <c r="Y12" i="10" l="1"/>
  <c r="Z12" i="10"/>
  <c r="AA12" i="10"/>
  <c r="K7" i="3"/>
  <c r="J7" i="3"/>
  <c r="I7" i="3"/>
  <c r="H7" i="3"/>
  <c r="K4" i="3"/>
  <c r="J4" i="3"/>
  <c r="T34" i="3"/>
  <c r="T35" i="3"/>
  <c r="T20" i="3"/>
  <c r="T26" i="3" s="1"/>
  <c r="R20" i="3"/>
  <c r="R26" i="3" s="1"/>
  <c r="P20" i="3"/>
  <c r="P25" i="3" s="1"/>
  <c r="N20" i="3"/>
  <c r="N26" i="3" s="1"/>
  <c r="R29" i="3" l="1"/>
  <c r="R30" i="3"/>
  <c r="R28" i="3"/>
  <c r="R38" i="3"/>
  <c r="R25" i="3"/>
  <c r="R37" i="3"/>
  <c r="R36" i="3"/>
  <c r="R34" i="3"/>
  <c r="T39" i="3"/>
  <c r="R33" i="3"/>
  <c r="T38" i="3"/>
  <c r="R32" i="3"/>
  <c r="T33" i="3"/>
  <c r="T25" i="3"/>
  <c r="R24" i="3"/>
  <c r="R31" i="3"/>
  <c r="T24" i="3"/>
  <c r="T32" i="3"/>
  <c r="R27" i="3"/>
  <c r="T31" i="3"/>
  <c r="T30" i="3"/>
  <c r="T37" i="3"/>
  <c r="T29" i="3"/>
  <c r="R35" i="3"/>
  <c r="T36" i="3"/>
  <c r="T28" i="3"/>
  <c r="T27" i="3"/>
  <c r="N37" i="3"/>
  <c r="N29" i="3"/>
  <c r="P36" i="3"/>
  <c r="P28" i="3"/>
  <c r="N33" i="3"/>
  <c r="P32" i="3"/>
  <c r="P24" i="3"/>
  <c r="P38" i="3"/>
  <c r="P29" i="3"/>
  <c r="N36" i="3"/>
  <c r="N28" i="3"/>
  <c r="P35" i="3"/>
  <c r="P27" i="3"/>
  <c r="P31" i="3"/>
  <c r="N31" i="3"/>
  <c r="P30" i="3"/>
  <c r="N38" i="3"/>
  <c r="N30" i="3"/>
  <c r="P37" i="3"/>
  <c r="N35" i="3"/>
  <c r="N27" i="3"/>
  <c r="P26" i="3"/>
  <c r="N25" i="3"/>
  <c r="N32" i="3"/>
  <c r="P34" i="3"/>
  <c r="N34" i="3"/>
  <c r="P33" i="3"/>
</calcChain>
</file>

<file path=xl/sharedStrings.xml><?xml version="1.0" encoding="utf-8"?>
<sst xmlns="http://schemas.openxmlformats.org/spreadsheetml/2006/main" count="203" uniqueCount="63">
  <si>
    <t>Bin</t>
  </si>
  <si>
    <t>More</t>
  </si>
  <si>
    <t>Frequency</t>
  </si>
  <si>
    <t>stdev</t>
  </si>
  <si>
    <t>total</t>
  </si>
  <si>
    <t>cationic (120 min ox)</t>
  </si>
  <si>
    <t>cationic (30 min ox)</t>
  </si>
  <si>
    <t>cationic (60 min ox)</t>
  </si>
  <si>
    <t>pristine fiber        1688 ± 1404 𝜇m</t>
  </si>
  <si>
    <t>modified (120 min ox) 1572 ± 1082 𝜇m</t>
  </si>
  <si>
    <t>modified (30 min ox) 1545 ± 945 𝜇m</t>
  </si>
  <si>
    <t>modified (60 min ox) 1445 ± 909 𝜇m</t>
  </si>
  <si>
    <t>Fiber Count</t>
  </si>
  <si>
    <t>30 min ox</t>
  </si>
  <si>
    <t>modified (30 min ox)</t>
  </si>
  <si>
    <t>modified (60 min ox)</t>
  </si>
  <si>
    <t>modified (120 min ox)</t>
  </si>
  <si>
    <t>pristine</t>
  </si>
  <si>
    <t>Individual Fiber Lengths</t>
  </si>
  <si>
    <t>Average</t>
  </si>
  <si>
    <t>Stdev</t>
  </si>
  <si>
    <t>All data arranged into bins -&gt;</t>
  </si>
  <si>
    <t>pristine fiber</t>
  </si>
  <si>
    <t>pH set</t>
  </si>
  <si>
    <t>zeta (mV)</t>
  </si>
  <si>
    <t>DATA</t>
  </si>
  <si>
    <t>pristine fibers</t>
  </si>
  <si>
    <t>pH</t>
  </si>
  <si>
    <t>Zeta Potential</t>
  </si>
  <si>
    <t>STDEV</t>
  </si>
  <si>
    <t>zero line</t>
  </si>
  <si>
    <t>mL AgNO3</t>
  </si>
  <si>
    <t>conductivity (uS/cm)</t>
  </si>
  <si>
    <t>ml AgNO3</t>
  </si>
  <si>
    <t>SUMMARY</t>
  </si>
  <si>
    <t>R1</t>
  </si>
  <si>
    <t>R2</t>
  </si>
  <si>
    <t>R3</t>
  </si>
  <si>
    <t>30 min</t>
  </si>
  <si>
    <t>60 min</t>
  </si>
  <si>
    <t>120 min</t>
  </si>
  <si>
    <t>equiv point (mL)</t>
  </si>
  <si>
    <t>charge (mmol/g)</t>
  </si>
  <si>
    <t>avg charge</t>
  </si>
  <si>
    <t>equiv point</t>
  </si>
  <si>
    <t>intercept</t>
  </si>
  <si>
    <t>60 min ox</t>
  </si>
  <si>
    <t>120 min ox</t>
  </si>
  <si>
    <t>Pristine</t>
  </si>
  <si>
    <t>wavenumber (cm-1)</t>
  </si>
  <si>
    <t>oxidized</t>
  </si>
  <si>
    <t>modified</t>
  </si>
  <si>
    <t>60 min modified</t>
  </si>
  <si>
    <t>120 min modified</t>
  </si>
  <si>
    <t>30 min modified</t>
  </si>
  <si>
    <t>untreated IR spectra</t>
  </si>
  <si>
    <t>normalized IR spectra</t>
  </si>
  <si>
    <t>minimum</t>
  </si>
  <si>
    <t>span</t>
  </si>
  <si>
    <t>oxidized (30 min)</t>
  </si>
  <si>
    <t>oxidized (60 min)</t>
  </si>
  <si>
    <t>oxidized (120 min)</t>
  </si>
  <si>
    <t>maximum (1063 cm^-1)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</si>
</sst>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18" fillId="0" borderId="11" xfId="0" applyFont="1" applyBorder="1" applyAlignment="1">
      <alignment horizontal="center"/>
    </xf>
    <xf numFmtId="9" fontId="0" fillId="0" borderId="0" xfId="1" applyFont="1"/>
    <xf numFmtId="9" fontId="0" fillId="0" borderId="0" xfId="1" applyFont="1" applyFill="1" applyBorder="1" applyAlignment="1"/>
    <xf numFmtId="9" fontId="0" fillId="0" borderId="10" xfId="1" applyFont="1" applyBorder="1"/>
    <xf numFmtId="2" fontId="0" fillId="0" borderId="0" xfId="0" applyNumberFormat="1"/>
    <xf numFmtId="0" fontId="0" fillId="33" borderId="0" xfId="0" applyFill="1"/>
    <xf numFmtId="0" fontId="19" fillId="0" borderId="0" xfId="0" applyFont="1"/>
    <xf numFmtId="0" fontId="19" fillId="33" borderId="0" xfId="0" applyFont="1" applyFill="1"/>
    <xf numFmtId="0" fontId="0" fillId="0" borderId="12" xfId="0" applyBorder="1"/>
    <xf numFmtId="2" fontId="0" fillId="0" borderId="12" xfId="0" applyNumberFormat="1" applyBorder="1"/>
    <xf numFmtId="2" fontId="0" fillId="0" borderId="10" xfId="0" applyNumberFormat="1" applyBorder="1"/>
    <xf numFmtId="0" fontId="20" fillId="0" borderId="0" xfId="0" applyFont="1"/>
    <xf numFmtId="0" fontId="0" fillId="33" borderId="0" xfId="0" applyFill="1" applyAlignment="1">
      <alignment horizontal="center"/>
    </xf>
    <xf numFmtId="167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E2730"/>
      <color rgb="FF0B76A0"/>
      <color rgb="FFD08704"/>
      <color rgb="FF397D23"/>
      <color rgb="FFE6121C"/>
      <color rgb="FFC05119"/>
      <color rgb="FFFCD416"/>
      <color rgb="FF80340D"/>
      <color rgb="FFE0601E"/>
      <color rgb="FF0F5C7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9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2.xml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911452991452991"/>
          <c:y val="5.0925925925925923E-2"/>
          <c:w val="0.70583675213675201"/>
          <c:h val="0.73389629629629627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'Fig 2a'!$M$22</c:f>
              <c:strCache>
                <c:ptCount val="1"/>
                <c:pt idx="0">
                  <c:v>pristine fiber        1688 ± 1404 𝜇m</c:v>
                </c:pt>
              </c:strCache>
            </c:strRef>
          </c:tx>
          <c:spPr>
            <a:ln w="15875" cap="rnd">
              <a:solidFill>
                <a:srgbClr val="D08704"/>
              </a:solidFill>
              <a:round/>
            </a:ln>
            <a:effectLst/>
          </c:spPr>
          <c:marker>
            <c:symbol val="none"/>
          </c:marker>
          <c:xVal>
            <c:numRef>
              <c:f>'Fig 2a'!$M$24:$M$38</c:f>
              <c:numCache>
                <c:formatCode>General</c:formatCode>
                <c:ptCount val="1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</c:numCache>
            </c:numRef>
          </c:xVal>
          <c:yVal>
            <c:numRef>
              <c:f>'Fig 2a'!$N$24:$N$38</c:f>
              <c:numCache>
                <c:formatCode>0%</c:formatCode>
                <c:ptCount val="15"/>
                <c:pt idx="0">
                  <c:v>1.7391304347826087E-2</c:v>
                </c:pt>
                <c:pt idx="1">
                  <c:v>0.2608695652173913</c:v>
                </c:pt>
                <c:pt idx="2">
                  <c:v>0.23478260869565218</c:v>
                </c:pt>
                <c:pt idx="3">
                  <c:v>0.1391304347826087</c:v>
                </c:pt>
                <c:pt idx="4">
                  <c:v>8.6956521739130432E-2</c:v>
                </c:pt>
                <c:pt idx="5">
                  <c:v>3.4782608695652174E-2</c:v>
                </c:pt>
                <c:pt idx="6">
                  <c:v>6.0869565217391307E-2</c:v>
                </c:pt>
                <c:pt idx="7">
                  <c:v>4.3478260869565216E-2</c:v>
                </c:pt>
                <c:pt idx="8">
                  <c:v>2.6086956521739129E-2</c:v>
                </c:pt>
                <c:pt idx="9">
                  <c:v>1.7391304347826087E-2</c:v>
                </c:pt>
                <c:pt idx="10">
                  <c:v>1.7391304347826087E-2</c:v>
                </c:pt>
                <c:pt idx="11">
                  <c:v>4.3478260869565216E-2</c:v>
                </c:pt>
                <c:pt idx="12">
                  <c:v>0</c:v>
                </c:pt>
                <c:pt idx="13">
                  <c:v>8.6956521739130436E-3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9-3949-8D22-5972A03D29BA}"/>
            </c:ext>
          </c:extLst>
        </c:ser>
        <c:ser>
          <c:idx val="2"/>
          <c:order val="1"/>
          <c:tx>
            <c:strRef>
              <c:f>'Fig 2a'!$Q$22</c:f>
              <c:strCache>
                <c:ptCount val="1"/>
                <c:pt idx="0">
                  <c:v>modified (30 min ox) 1545 ± 945 𝜇m</c:v>
                </c:pt>
              </c:strCache>
            </c:strRef>
          </c:tx>
          <c:spPr>
            <a:ln w="15875" cap="rnd">
              <a:solidFill>
                <a:srgbClr val="CE2730"/>
              </a:solidFill>
              <a:round/>
            </a:ln>
            <a:effectLst/>
          </c:spPr>
          <c:marker>
            <c:symbol val="none"/>
          </c:marker>
          <c:xVal>
            <c:numRef>
              <c:f>'Fig 2a'!$Q$24:$Q$38</c:f>
              <c:numCache>
                <c:formatCode>General</c:formatCode>
                <c:ptCount val="1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</c:numCache>
            </c:numRef>
          </c:xVal>
          <c:yVal>
            <c:numRef>
              <c:f>'Fig 2a'!$R$24:$R$38</c:f>
              <c:numCache>
                <c:formatCode>0%</c:formatCode>
                <c:ptCount val="15"/>
                <c:pt idx="0">
                  <c:v>8.771929824561403E-3</c:v>
                </c:pt>
                <c:pt idx="1">
                  <c:v>0.19298245614035087</c:v>
                </c:pt>
                <c:pt idx="2">
                  <c:v>0.27192982456140352</c:v>
                </c:pt>
                <c:pt idx="3">
                  <c:v>0.18421052631578946</c:v>
                </c:pt>
                <c:pt idx="4">
                  <c:v>8.771929824561403E-2</c:v>
                </c:pt>
                <c:pt idx="5">
                  <c:v>9.6491228070175433E-2</c:v>
                </c:pt>
                <c:pt idx="6">
                  <c:v>4.3859649122807015E-2</c:v>
                </c:pt>
                <c:pt idx="7">
                  <c:v>2.6315789473684209E-2</c:v>
                </c:pt>
                <c:pt idx="8">
                  <c:v>4.3859649122807015E-2</c:v>
                </c:pt>
                <c:pt idx="9">
                  <c:v>1.7543859649122806E-2</c:v>
                </c:pt>
                <c:pt idx="10">
                  <c:v>1.7543859649122806E-2</c:v>
                </c:pt>
                <c:pt idx="11">
                  <c:v>0</c:v>
                </c:pt>
                <c:pt idx="12">
                  <c:v>0</c:v>
                </c:pt>
                <c:pt idx="13">
                  <c:v>8.771929824561403E-3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F39-6644-9A58-B11031120274}"/>
            </c:ext>
          </c:extLst>
        </c:ser>
        <c:ser>
          <c:idx val="3"/>
          <c:order val="2"/>
          <c:tx>
            <c:strRef>
              <c:f>'Fig 2a'!$S$22</c:f>
              <c:strCache>
                <c:ptCount val="1"/>
                <c:pt idx="0">
                  <c:v>modified (60 min ox) 1445 ± 909 𝜇m</c:v>
                </c:pt>
              </c:strCache>
            </c:strRef>
          </c:tx>
          <c:spPr>
            <a:ln w="15875" cap="rnd">
              <a:solidFill>
                <a:srgbClr val="0B76A0"/>
              </a:solidFill>
              <a:round/>
            </a:ln>
            <a:effectLst/>
          </c:spPr>
          <c:marker>
            <c:symbol val="none"/>
          </c:marker>
          <c:xVal>
            <c:numRef>
              <c:f>'Fig 2a'!$S$24:$S$38</c:f>
              <c:numCache>
                <c:formatCode>General</c:formatCode>
                <c:ptCount val="1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</c:numCache>
            </c:numRef>
          </c:xVal>
          <c:yVal>
            <c:numRef>
              <c:f>'Fig 2a'!$T$24:$T$38</c:f>
              <c:numCache>
                <c:formatCode>0%</c:formatCode>
                <c:ptCount val="15"/>
                <c:pt idx="0">
                  <c:v>1.1904761904761904E-2</c:v>
                </c:pt>
                <c:pt idx="1">
                  <c:v>0.26785714285714285</c:v>
                </c:pt>
                <c:pt idx="2">
                  <c:v>0.25595238095238093</c:v>
                </c:pt>
                <c:pt idx="3">
                  <c:v>0.13095238095238096</c:v>
                </c:pt>
                <c:pt idx="4">
                  <c:v>8.9285714285714288E-2</c:v>
                </c:pt>
                <c:pt idx="5">
                  <c:v>5.3571428571428568E-2</c:v>
                </c:pt>
                <c:pt idx="6">
                  <c:v>8.3333333333333329E-2</c:v>
                </c:pt>
                <c:pt idx="7">
                  <c:v>4.1666666666666664E-2</c:v>
                </c:pt>
                <c:pt idx="8">
                  <c:v>3.5714285714285712E-2</c:v>
                </c:pt>
                <c:pt idx="9">
                  <c:v>2.3809523809523808E-2</c:v>
                </c:pt>
                <c:pt idx="10">
                  <c:v>0</c:v>
                </c:pt>
                <c:pt idx="11">
                  <c:v>5.9523809523809521E-3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F39-6644-9A58-B11031120274}"/>
            </c:ext>
          </c:extLst>
        </c:ser>
        <c:ser>
          <c:idx val="1"/>
          <c:order val="3"/>
          <c:tx>
            <c:strRef>
              <c:f>'Fig 2a'!$O$22</c:f>
              <c:strCache>
                <c:ptCount val="1"/>
                <c:pt idx="0">
                  <c:v>modified (120 min ox) 1572 ± 1082 𝜇m</c:v>
                </c:pt>
              </c:strCache>
            </c:strRef>
          </c:tx>
          <c:spPr>
            <a:ln w="15875" cap="rnd">
              <a:solidFill>
                <a:srgbClr val="397D23"/>
              </a:solidFill>
              <a:round/>
            </a:ln>
            <a:effectLst/>
          </c:spPr>
          <c:marker>
            <c:symbol val="none"/>
          </c:marker>
          <c:xVal>
            <c:numRef>
              <c:f>'Fig 2a'!$M$24:$M$38</c:f>
              <c:numCache>
                <c:formatCode>General</c:formatCode>
                <c:ptCount val="15"/>
                <c:pt idx="0">
                  <c:v>400</c:v>
                </c:pt>
                <c:pt idx="1">
                  <c:v>800</c:v>
                </c:pt>
                <c:pt idx="2">
                  <c:v>1200</c:v>
                </c:pt>
                <c:pt idx="3">
                  <c:v>1600</c:v>
                </c:pt>
                <c:pt idx="4">
                  <c:v>2000</c:v>
                </c:pt>
                <c:pt idx="5">
                  <c:v>2400</c:v>
                </c:pt>
                <c:pt idx="6">
                  <c:v>2800</c:v>
                </c:pt>
                <c:pt idx="7">
                  <c:v>3200</c:v>
                </c:pt>
                <c:pt idx="8">
                  <c:v>3600</c:v>
                </c:pt>
                <c:pt idx="9">
                  <c:v>4000</c:v>
                </c:pt>
                <c:pt idx="10">
                  <c:v>4400</c:v>
                </c:pt>
                <c:pt idx="11">
                  <c:v>4800</c:v>
                </c:pt>
                <c:pt idx="12">
                  <c:v>5200</c:v>
                </c:pt>
                <c:pt idx="13">
                  <c:v>5600</c:v>
                </c:pt>
                <c:pt idx="14">
                  <c:v>6000</c:v>
                </c:pt>
              </c:numCache>
            </c:numRef>
          </c:xVal>
          <c:yVal>
            <c:numRef>
              <c:f>'Fig 2a'!$P$24:$P$38</c:f>
              <c:numCache>
                <c:formatCode>0%</c:formatCode>
                <c:ptCount val="15"/>
                <c:pt idx="0">
                  <c:v>0</c:v>
                </c:pt>
                <c:pt idx="1">
                  <c:v>0.23239436619718309</c:v>
                </c:pt>
                <c:pt idx="2">
                  <c:v>0.28873239436619719</c:v>
                </c:pt>
                <c:pt idx="3">
                  <c:v>0.15492957746478872</c:v>
                </c:pt>
                <c:pt idx="4">
                  <c:v>7.0422535211267609E-2</c:v>
                </c:pt>
                <c:pt idx="5">
                  <c:v>6.3380281690140844E-2</c:v>
                </c:pt>
                <c:pt idx="6">
                  <c:v>2.1126760563380281E-2</c:v>
                </c:pt>
                <c:pt idx="7">
                  <c:v>4.9295774647887321E-2</c:v>
                </c:pt>
                <c:pt idx="8">
                  <c:v>3.5211267605633804E-2</c:v>
                </c:pt>
                <c:pt idx="9">
                  <c:v>4.9295774647887321E-2</c:v>
                </c:pt>
                <c:pt idx="10">
                  <c:v>1.4084507042253521E-2</c:v>
                </c:pt>
                <c:pt idx="11">
                  <c:v>1.4084507042253521E-2</c:v>
                </c:pt>
                <c:pt idx="12">
                  <c:v>0</c:v>
                </c:pt>
                <c:pt idx="13">
                  <c:v>7.0422535211267607E-3</c:v>
                </c:pt>
                <c:pt idx="1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BE9-3949-8D22-5972A03D2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6858720"/>
        <c:axId val="1706056960"/>
      </c:scatterChart>
      <c:valAx>
        <c:axId val="17068587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fiber length (𝜇m)</a:t>
                </a:r>
              </a:p>
            </c:rich>
          </c:tx>
          <c:layout>
            <c:manualLayout>
              <c:xMode val="edge"/>
              <c:yMode val="edge"/>
              <c:x val="0.39697521367521371"/>
              <c:y val="0.9018283950617282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1980000" spcFirstLastPara="1" vertOverflow="ellipsis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6056960"/>
        <c:crosses val="autoZero"/>
        <c:crossBetween val="midCat"/>
        <c:majorUnit val="800"/>
      </c:valAx>
      <c:valAx>
        <c:axId val="1706056960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amount of fibers (normalized)</a:t>
                </a:r>
              </a:p>
            </c:rich>
          </c:tx>
          <c:layout>
            <c:manualLayout>
              <c:xMode val="edge"/>
              <c:yMode val="edge"/>
              <c:x val="2.2016239316239319E-2"/>
              <c:y val="0.1858438271604938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%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6858720"/>
        <c:crosses val="autoZero"/>
        <c:crossBetween val="midCat"/>
      </c:valAx>
      <c:spPr>
        <a:noFill/>
        <a:ln w="12700">
          <a:solidFill>
            <a:schemeClr val="tx1">
              <a:lumMod val="95000"/>
              <a:lumOff val="5000"/>
            </a:schemeClr>
          </a:solidFill>
        </a:ln>
        <a:effectLst/>
      </c:spPr>
    </c:plotArea>
    <c:legend>
      <c:legendPos val="r"/>
      <c:layout>
        <c:manualLayout>
          <c:xMode val="edge"/>
          <c:yMode val="edge"/>
          <c:x val="0.47623974358974358"/>
          <c:y val="6.5448148148148158E-2"/>
          <c:w val="0.44697478632478632"/>
          <c:h val="0.522590123456790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787667859522982"/>
          <c:y val="5.0925925925925923E-2"/>
          <c:w val="0.77578184860861144"/>
          <c:h val="0.7828960104129089"/>
        </c:manualLayout>
      </c:layout>
      <c:scatterChart>
        <c:scatterStyle val="lineMarker"/>
        <c:varyColors val="0"/>
        <c:ser>
          <c:idx val="1"/>
          <c:order val="0"/>
          <c:tx>
            <c:strRef>
              <c:f>'Fig 2b'!$B$44</c:f>
              <c:strCache>
                <c:ptCount val="1"/>
                <c:pt idx="0">
                  <c:v>zero line</c:v>
                </c:pt>
              </c:strCache>
            </c:strRef>
          </c:tx>
          <c:spPr>
            <a:ln w="15875" cap="rnd">
              <a:solidFill>
                <a:schemeClr val="bg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none"/>
            </c:marker>
            <c:bubble3D val="0"/>
            <c:spPr>
              <a:ln w="15875" cap="flat">
                <a:solidFill>
                  <a:schemeClr val="bg1"/>
                </a:solidFill>
                <a:prstDash val="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1E3C-3E4D-B4DB-71D0AFFAA759}"/>
              </c:ext>
            </c:extLst>
          </c:dPt>
          <c:xVal>
            <c:numRef>
              <c:f>'Fig 2b'!$C$44:$C$45</c:f>
              <c:numCache>
                <c:formatCode>General</c:formatCode>
                <c:ptCount val="2"/>
                <c:pt idx="0">
                  <c:v>0</c:v>
                </c:pt>
                <c:pt idx="1">
                  <c:v>10</c:v>
                </c:pt>
              </c:numCache>
            </c:numRef>
          </c:xVal>
          <c:yVal>
            <c:numRef>
              <c:f>'Fig 2b'!$D$44:$D$45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3C-3E4D-B4DB-71D0AFFAA759}"/>
            </c:ext>
          </c:extLst>
        </c:ser>
        <c:ser>
          <c:idx val="2"/>
          <c:order val="1"/>
          <c:tx>
            <c:strRef>
              <c:f>'Fig 2b'!$C$36</c:f>
              <c:strCache>
                <c:ptCount val="1"/>
                <c:pt idx="0">
                  <c:v>pristine fibers</c:v>
                </c:pt>
              </c:strCache>
            </c:strRef>
          </c:tx>
          <c:spPr>
            <a:ln w="9525" cap="rnd">
              <a:solidFill>
                <a:srgbClr val="E39504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E39504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2b'!$E$38:$E$41</c:f>
                <c:numCache>
                  <c:formatCode>General</c:formatCode>
                  <c:ptCount val="4"/>
                  <c:pt idx="0">
                    <c:v>0.42377509758518533</c:v>
                  </c:pt>
                  <c:pt idx="1">
                    <c:v>2.1548395145192054E-2</c:v>
                  </c:pt>
                  <c:pt idx="2">
                    <c:v>1.1430952132988148E-2</c:v>
                  </c:pt>
                  <c:pt idx="3">
                    <c:v>3.2934277989150766E-2</c:v>
                  </c:pt>
                </c:numCache>
              </c:numRef>
            </c:plus>
            <c:minus>
              <c:numRef>
                <c:f>'Fig 2b'!$E$38:$E$41</c:f>
                <c:numCache>
                  <c:formatCode>General</c:formatCode>
                  <c:ptCount val="4"/>
                  <c:pt idx="0">
                    <c:v>0.42377509758518533</c:v>
                  </c:pt>
                  <c:pt idx="1">
                    <c:v>2.1548395145192054E-2</c:v>
                  </c:pt>
                  <c:pt idx="2">
                    <c:v>1.1430952132988148E-2</c:v>
                  </c:pt>
                  <c:pt idx="3">
                    <c:v>3.2934277989150766E-2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  <a:headEnd type="none"/>
                <a:tailEnd type="none" w="sm" len="sm"/>
              </a:ln>
              <a:effectLst/>
            </c:spPr>
          </c:errBars>
          <c:xVal>
            <c:numRef>
              <c:f>'Fig 2b'!$C$38:$C$41</c:f>
              <c:numCache>
                <c:formatCode>General</c:formatCode>
                <c:ptCount val="4"/>
                <c:pt idx="0">
                  <c:v>7.07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</c:numCache>
            </c:numRef>
          </c:xVal>
          <c:yVal>
            <c:numRef>
              <c:f>'Fig 2b'!$D$38:$D$41</c:f>
              <c:numCache>
                <c:formatCode>0.00</c:formatCode>
                <c:ptCount val="4"/>
                <c:pt idx="0">
                  <c:v>-6.0350000000000001</c:v>
                </c:pt>
                <c:pt idx="1">
                  <c:v>-6.5586666666666673</c:v>
                </c:pt>
                <c:pt idx="2">
                  <c:v>-6.3730000000000002</c:v>
                </c:pt>
                <c:pt idx="3">
                  <c:v>-6.7290000000000001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3C-3E4D-B4DB-71D0AFFAA759}"/>
            </c:ext>
          </c:extLst>
        </c:ser>
        <c:ser>
          <c:idx val="0"/>
          <c:order val="2"/>
          <c:tx>
            <c:strRef>
              <c:f>'Fig 2b'!$F$36</c:f>
              <c:strCache>
                <c:ptCount val="1"/>
                <c:pt idx="0">
                  <c:v>modified (30 min ox)</c:v>
                </c:pt>
              </c:strCache>
            </c:strRef>
          </c:tx>
          <c:spPr>
            <a:ln w="9525" cap="rnd">
              <a:solidFill>
                <a:srgbClr val="CE273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CE273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2b'!$H$38:$H$42</c:f>
                <c:numCache>
                  <c:formatCode>General</c:formatCode>
                  <c:ptCount val="5"/>
                  <c:pt idx="0">
                    <c:v>0.30629724125430835</c:v>
                  </c:pt>
                  <c:pt idx="1">
                    <c:v>0.16968082783076402</c:v>
                  </c:pt>
                  <c:pt idx="2">
                    <c:v>0.24215501646672513</c:v>
                  </c:pt>
                  <c:pt idx="3">
                    <c:v>9.8510151761125722E-2</c:v>
                  </c:pt>
                </c:numCache>
              </c:numRef>
            </c:plus>
            <c:minus>
              <c:numRef>
                <c:f>'Fig 2b'!$H$38:$H$42</c:f>
                <c:numCache>
                  <c:formatCode>General</c:formatCode>
                  <c:ptCount val="5"/>
                  <c:pt idx="0">
                    <c:v>0.30629724125430835</c:v>
                  </c:pt>
                  <c:pt idx="1">
                    <c:v>0.16968082783076402</c:v>
                  </c:pt>
                  <c:pt idx="2">
                    <c:v>0.24215501646672513</c:v>
                  </c:pt>
                  <c:pt idx="3">
                    <c:v>9.8510151761125722E-2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2b'!$F$38:$F$41</c:f>
              <c:numCache>
                <c:formatCode>0.00</c:formatCode>
                <c:ptCount val="4"/>
                <c:pt idx="0">
                  <c:v>7.07</c:v>
                </c:pt>
                <c:pt idx="1">
                  <c:v>7.7</c:v>
                </c:pt>
                <c:pt idx="2">
                  <c:v>8.1999999999999993</c:v>
                </c:pt>
                <c:pt idx="3">
                  <c:v>8.5</c:v>
                </c:pt>
              </c:numCache>
            </c:numRef>
          </c:xVal>
          <c:yVal>
            <c:numRef>
              <c:f>'Fig 2b'!$G$38:$G$41</c:f>
              <c:numCache>
                <c:formatCode>0.00</c:formatCode>
                <c:ptCount val="4"/>
                <c:pt idx="0">
                  <c:v>-2.7130000000000001</c:v>
                </c:pt>
                <c:pt idx="1">
                  <c:v>-4.4867499999999998</c:v>
                </c:pt>
                <c:pt idx="2">
                  <c:v>-7.0519800000000004</c:v>
                </c:pt>
                <c:pt idx="3">
                  <c:v>-6.8967499999999999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3C-3E4D-B4DB-71D0AFFAA759}"/>
            </c:ext>
          </c:extLst>
        </c:ser>
        <c:ser>
          <c:idx val="3"/>
          <c:order val="3"/>
          <c:tx>
            <c:strRef>
              <c:f>'Fig 2b'!$I$36</c:f>
              <c:strCache>
                <c:ptCount val="1"/>
                <c:pt idx="0">
                  <c:v>modified (60 min ox)</c:v>
                </c:pt>
              </c:strCache>
            </c:strRef>
          </c:tx>
          <c:spPr>
            <a:ln w="9525" cap="rnd">
              <a:solidFill>
                <a:srgbClr val="0B76A0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B76A0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2b'!$K$38:$K$42</c:f>
                <c:numCache>
                  <c:formatCode>General</c:formatCode>
                  <c:ptCount val="5"/>
                  <c:pt idx="0">
                    <c:v>0.12313196646958362</c:v>
                  </c:pt>
                  <c:pt idx="1">
                    <c:v>0.22523476641051668</c:v>
                  </c:pt>
                  <c:pt idx="2">
                    <c:v>7.150524456289914E-2</c:v>
                  </c:pt>
                  <c:pt idx="3">
                    <c:v>0.20175628862565845</c:v>
                  </c:pt>
                </c:numCache>
              </c:numRef>
            </c:plus>
            <c:minus>
              <c:numRef>
                <c:f>'Fig 2b'!$K$38:$K$42</c:f>
                <c:numCache>
                  <c:formatCode>General</c:formatCode>
                  <c:ptCount val="5"/>
                  <c:pt idx="0">
                    <c:v>0.12313196646958362</c:v>
                  </c:pt>
                  <c:pt idx="1">
                    <c:v>0.22523476641051668</c:v>
                  </c:pt>
                  <c:pt idx="2">
                    <c:v>7.150524456289914E-2</c:v>
                  </c:pt>
                  <c:pt idx="3">
                    <c:v>0.20175628862565845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xVal>
            <c:numRef>
              <c:f>'Fig 2b'!$I$38:$I$41</c:f>
              <c:numCache>
                <c:formatCode>0.00</c:formatCode>
                <c:ptCount val="4"/>
                <c:pt idx="0">
                  <c:v>7.07</c:v>
                </c:pt>
                <c:pt idx="1">
                  <c:v>7.7</c:v>
                </c:pt>
                <c:pt idx="2">
                  <c:v>8.1999999999999993</c:v>
                </c:pt>
                <c:pt idx="3">
                  <c:v>8.6999999999999993</c:v>
                </c:pt>
              </c:numCache>
            </c:numRef>
          </c:xVal>
          <c:yVal>
            <c:numRef>
              <c:f>'Fig 2b'!$J$38:$J$41</c:f>
              <c:numCache>
                <c:formatCode>0.00</c:formatCode>
                <c:ptCount val="4"/>
                <c:pt idx="0">
                  <c:v>-5.1935000000000002E-2</c:v>
                </c:pt>
                <c:pt idx="1">
                  <c:v>-2.3088000000000002</c:v>
                </c:pt>
                <c:pt idx="2">
                  <c:v>-2.778</c:v>
                </c:pt>
                <c:pt idx="3">
                  <c:v>-3.4600000000000004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3C-3E4D-B4DB-71D0AFFAA759}"/>
            </c:ext>
          </c:extLst>
        </c:ser>
        <c:ser>
          <c:idx val="4"/>
          <c:order val="4"/>
          <c:tx>
            <c:strRef>
              <c:f>'Fig 2b'!$L$36</c:f>
              <c:strCache>
                <c:ptCount val="1"/>
                <c:pt idx="0">
                  <c:v>modified (120 min ox)</c:v>
                </c:pt>
              </c:strCache>
            </c:strRef>
          </c:tx>
          <c:spPr>
            <a:ln w="9525" cap="rnd">
              <a:solidFill>
                <a:srgbClr val="3A7D23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3A7D23"/>
              </a:solidFill>
              <a:ln w="9525">
                <a:noFill/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'Fig 2b'!$N$38:$N$42</c:f>
                <c:numCache>
                  <c:formatCode>General</c:formatCode>
                  <c:ptCount val="5"/>
                  <c:pt idx="0">
                    <c:v>0.79494402318653934</c:v>
                  </c:pt>
                  <c:pt idx="1">
                    <c:v>0.14235776610859216</c:v>
                  </c:pt>
                  <c:pt idx="2">
                    <c:v>0.18489095885593454</c:v>
                  </c:pt>
                  <c:pt idx="3">
                    <c:v>0.16072336482291552</c:v>
                  </c:pt>
                </c:numCache>
              </c:numRef>
            </c:plus>
            <c:minus>
              <c:numRef>
                <c:f>'Fig 2b'!$N$38:$N$42</c:f>
                <c:numCache>
                  <c:formatCode>General</c:formatCode>
                  <c:ptCount val="5"/>
                  <c:pt idx="0">
                    <c:v>0.79494402318653934</c:v>
                  </c:pt>
                  <c:pt idx="1">
                    <c:v>0.14235776610859216</c:v>
                  </c:pt>
                  <c:pt idx="2">
                    <c:v>0.18489095885593454</c:v>
                  </c:pt>
                  <c:pt idx="3">
                    <c:v>0.16072336482291552</c:v>
                  </c:pt>
                </c:numCache>
              </c:numRef>
            </c:minus>
            <c:spPr>
              <a:noFill/>
              <a:ln w="9525" cap="rnd" cmpd="sng" algn="ctr">
                <a:solidFill>
                  <a:schemeClr val="tx1"/>
                </a:solidFill>
                <a:round/>
              </a:ln>
              <a:effectLst/>
            </c:spPr>
          </c:errBars>
          <c:xVal>
            <c:numRef>
              <c:f>'Fig 2b'!$L$38:$L$41</c:f>
              <c:numCache>
                <c:formatCode>0.00</c:formatCode>
                <c:ptCount val="4"/>
                <c:pt idx="0">
                  <c:v>7.07</c:v>
                </c:pt>
                <c:pt idx="1">
                  <c:v>7.7</c:v>
                </c:pt>
                <c:pt idx="2">
                  <c:v>8.1999999999999993</c:v>
                </c:pt>
                <c:pt idx="3">
                  <c:v>8.6999999999999993</c:v>
                </c:pt>
              </c:numCache>
            </c:numRef>
          </c:xVal>
          <c:yVal>
            <c:numRef>
              <c:f>'Fig 2b'!$M$38:$M$41</c:f>
              <c:numCache>
                <c:formatCode>0.00</c:formatCode>
                <c:ptCount val="4"/>
                <c:pt idx="0">
                  <c:v>1.9154999999999998</c:v>
                </c:pt>
                <c:pt idx="1">
                  <c:v>-0.51497499999999996</c:v>
                </c:pt>
                <c:pt idx="2">
                  <c:v>-1.4166666666666667</c:v>
                </c:pt>
                <c:pt idx="3">
                  <c:v>-2.8930000000000002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E3C-3E4D-B4DB-71D0AFFAA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9046463"/>
        <c:axId val="1229934895"/>
      </c:scatterChart>
      <c:valAx>
        <c:axId val="1229046463"/>
        <c:scaling>
          <c:orientation val="minMax"/>
          <c:max val="8.8000000000000007"/>
          <c:min val="7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pH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934895"/>
        <c:crosses val="autoZero"/>
        <c:crossBetween val="midCat"/>
        <c:majorUnit val="0.5"/>
      </c:valAx>
      <c:valAx>
        <c:axId val="1229934895"/>
        <c:scaling>
          <c:orientation val="minMax"/>
          <c:max val="6"/>
          <c:min val="-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zeta potential (mV)</a:t>
                </a:r>
              </a:p>
            </c:rich>
          </c:tx>
          <c:layout>
            <c:manualLayout>
              <c:xMode val="edge"/>
              <c:yMode val="edge"/>
              <c:x val="3.2646104765065465E-2"/>
              <c:y val="0.17665561349983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>
                <a:lumMod val="95000"/>
                <a:lumOff val="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29046463"/>
        <c:crosses val="autoZero"/>
        <c:crossBetween val="midCat"/>
        <c:majorUnit val="2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legendEntry>
        <c:idx val="0"/>
        <c:delete val="1"/>
      </c:legendEntry>
      <c:layout>
        <c:manualLayout>
          <c:xMode val="edge"/>
          <c:yMode val="edge"/>
          <c:x val="0.45611236604609834"/>
          <c:y val="6.1873352626057712E-2"/>
          <c:w val="0.48560973781969619"/>
          <c:h val="0.32526488957260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S1'!$B$7:$B$35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S1'!$C$7:$C$35</c:f>
              <c:numCache>
                <c:formatCode>General</c:formatCode>
                <c:ptCount val="29"/>
                <c:pt idx="0">
                  <c:v>11</c:v>
                </c:pt>
                <c:pt idx="1">
                  <c:v>10.95</c:v>
                </c:pt>
                <c:pt idx="2">
                  <c:v>10.97</c:v>
                </c:pt>
                <c:pt idx="3">
                  <c:v>10.98</c:v>
                </c:pt>
                <c:pt idx="4">
                  <c:v>10.96</c:v>
                </c:pt>
                <c:pt idx="5">
                  <c:v>11.01</c:v>
                </c:pt>
                <c:pt idx="6">
                  <c:v>10.98</c:v>
                </c:pt>
                <c:pt idx="7">
                  <c:v>11.03</c:v>
                </c:pt>
                <c:pt idx="8">
                  <c:v>11.08</c:v>
                </c:pt>
                <c:pt idx="9">
                  <c:v>11.16</c:v>
                </c:pt>
                <c:pt idx="10">
                  <c:v>11.24</c:v>
                </c:pt>
                <c:pt idx="11">
                  <c:v>11.74</c:v>
                </c:pt>
                <c:pt idx="12">
                  <c:v>11.87</c:v>
                </c:pt>
                <c:pt idx="13">
                  <c:v>12.02</c:v>
                </c:pt>
                <c:pt idx="14">
                  <c:v>12.22</c:v>
                </c:pt>
                <c:pt idx="15">
                  <c:v>12.41</c:v>
                </c:pt>
                <c:pt idx="16">
                  <c:v>12.71</c:v>
                </c:pt>
                <c:pt idx="17">
                  <c:v>12.99</c:v>
                </c:pt>
                <c:pt idx="18">
                  <c:v>13.36</c:v>
                </c:pt>
                <c:pt idx="19">
                  <c:v>13.81</c:v>
                </c:pt>
                <c:pt idx="20">
                  <c:v>14.2</c:v>
                </c:pt>
                <c:pt idx="21">
                  <c:v>14.69</c:v>
                </c:pt>
                <c:pt idx="22">
                  <c:v>15.15</c:v>
                </c:pt>
                <c:pt idx="23">
                  <c:v>15.66</c:v>
                </c:pt>
                <c:pt idx="24">
                  <c:v>16.14</c:v>
                </c:pt>
                <c:pt idx="25">
                  <c:v>16.64</c:v>
                </c:pt>
                <c:pt idx="26">
                  <c:v>17.18</c:v>
                </c:pt>
                <c:pt idx="27">
                  <c:v>17.72</c:v>
                </c:pt>
                <c:pt idx="28">
                  <c:v>18.18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A70-2E49-8964-71F04ACA38E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7"/>
            <c:backward val="1"/>
            <c:dispRSqr val="0"/>
            <c:dispEq val="0"/>
          </c:trendline>
          <c:xVal>
            <c:numRef>
              <c:f>'Fig 2c, Fig S1'!$B$7:$B$17</c:f>
              <c:numCache>
                <c:formatCode>General</c:formatCode>
                <c:ptCount val="11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</c:numCache>
            </c:numRef>
          </c:xVal>
          <c:yVal>
            <c:numRef>
              <c:f>'Fig 2c, Fig S1'!$C$7:$C$17</c:f>
              <c:numCache>
                <c:formatCode>General</c:formatCode>
                <c:ptCount val="11"/>
                <c:pt idx="0">
                  <c:v>11</c:v>
                </c:pt>
                <c:pt idx="1">
                  <c:v>10.95</c:v>
                </c:pt>
                <c:pt idx="2">
                  <c:v>10.97</c:v>
                </c:pt>
                <c:pt idx="3">
                  <c:v>10.98</c:v>
                </c:pt>
                <c:pt idx="4">
                  <c:v>10.96</c:v>
                </c:pt>
                <c:pt idx="5">
                  <c:v>11.01</c:v>
                </c:pt>
                <c:pt idx="6">
                  <c:v>10.98</c:v>
                </c:pt>
                <c:pt idx="7">
                  <c:v>11.03</c:v>
                </c:pt>
                <c:pt idx="8">
                  <c:v>11.08</c:v>
                </c:pt>
                <c:pt idx="9">
                  <c:v>11.16</c:v>
                </c:pt>
                <c:pt idx="10">
                  <c:v>11.24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A70-2E49-8964-71F04ACA38E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7"/>
            <c:dispRSqr val="0"/>
            <c:dispEq val="0"/>
          </c:trendline>
          <c:xVal>
            <c:numRef>
              <c:f>'Fig 2c, Fig S1'!$B$26:$B$35</c:f>
              <c:numCache>
                <c:formatCode>General</c:formatCode>
                <c:ptCount val="10"/>
                <c:pt idx="0">
                  <c:v>2.1000000000000005</c:v>
                </c:pt>
                <c:pt idx="1">
                  <c:v>2.2000000000000006</c:v>
                </c:pt>
                <c:pt idx="2">
                  <c:v>2.3000000000000007</c:v>
                </c:pt>
                <c:pt idx="3">
                  <c:v>2.4000000000000008</c:v>
                </c:pt>
                <c:pt idx="4">
                  <c:v>2.5000000000000009</c:v>
                </c:pt>
                <c:pt idx="5">
                  <c:v>2.600000000000001</c:v>
                </c:pt>
                <c:pt idx="6">
                  <c:v>2.7000000000000011</c:v>
                </c:pt>
                <c:pt idx="7">
                  <c:v>2.8000000000000012</c:v>
                </c:pt>
                <c:pt idx="8">
                  <c:v>2.9000000000000012</c:v>
                </c:pt>
                <c:pt idx="9">
                  <c:v>3.0000000000000013</c:v>
                </c:pt>
              </c:numCache>
            </c:numRef>
          </c:xVal>
          <c:yVal>
            <c:numRef>
              <c:f>'Fig 2c, Fig S1'!$C$26:$C$35</c:f>
              <c:numCache>
                <c:formatCode>General</c:formatCode>
                <c:ptCount val="10"/>
                <c:pt idx="0">
                  <c:v>13.81</c:v>
                </c:pt>
                <c:pt idx="1">
                  <c:v>14.2</c:v>
                </c:pt>
                <c:pt idx="2">
                  <c:v>14.69</c:v>
                </c:pt>
                <c:pt idx="3">
                  <c:v>15.15</c:v>
                </c:pt>
                <c:pt idx="4">
                  <c:v>15.66</c:v>
                </c:pt>
                <c:pt idx="5">
                  <c:v>16.14</c:v>
                </c:pt>
                <c:pt idx="6">
                  <c:v>16.64</c:v>
                </c:pt>
                <c:pt idx="7">
                  <c:v>17.18</c:v>
                </c:pt>
                <c:pt idx="8">
                  <c:v>17.72</c:v>
                </c:pt>
                <c:pt idx="9">
                  <c:v>18.18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A70-2E49-8964-71F04ACA38E1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S1'!$B$38:$B$39</c:f>
              <c:numCache>
                <c:formatCode>General</c:formatCode>
                <c:ptCount val="2"/>
                <c:pt idx="0">
                  <c:v>1.597</c:v>
                </c:pt>
                <c:pt idx="1">
                  <c:v>1.597</c:v>
                </c:pt>
              </c:numCache>
            </c:numRef>
          </c:xVal>
          <c:yVal>
            <c:numRef>
              <c:f>'Fig 2c, Fig S1'!$C$38:$C$39</c:f>
              <c:numCache>
                <c:formatCode>General</c:formatCode>
                <c:ptCount val="2"/>
                <c:pt idx="0">
                  <c:v>0</c:v>
                </c:pt>
                <c:pt idx="1">
                  <c:v>11.234999999999999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A70-2E49-8964-71F04ACA3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S1'!$K$7:$K$35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S1'!$L$7:$L$35</c:f>
              <c:numCache>
                <c:formatCode>General</c:formatCode>
                <c:ptCount val="29"/>
                <c:pt idx="0">
                  <c:v>11.05</c:v>
                </c:pt>
                <c:pt idx="1">
                  <c:v>11.08</c:v>
                </c:pt>
                <c:pt idx="2">
                  <c:v>11.07</c:v>
                </c:pt>
                <c:pt idx="3">
                  <c:v>11.03</c:v>
                </c:pt>
                <c:pt idx="4">
                  <c:v>11.04</c:v>
                </c:pt>
                <c:pt idx="5">
                  <c:v>11.04</c:v>
                </c:pt>
                <c:pt idx="6">
                  <c:v>11.07</c:v>
                </c:pt>
                <c:pt idx="7">
                  <c:v>11.07</c:v>
                </c:pt>
                <c:pt idx="8">
                  <c:v>11.09</c:v>
                </c:pt>
                <c:pt idx="9">
                  <c:v>11.14</c:v>
                </c:pt>
                <c:pt idx="10">
                  <c:v>11.21</c:v>
                </c:pt>
                <c:pt idx="11">
                  <c:v>11.24</c:v>
                </c:pt>
                <c:pt idx="12">
                  <c:v>11.33</c:v>
                </c:pt>
                <c:pt idx="13">
                  <c:v>11.43</c:v>
                </c:pt>
                <c:pt idx="14">
                  <c:v>11.54</c:v>
                </c:pt>
                <c:pt idx="15">
                  <c:v>11.69</c:v>
                </c:pt>
                <c:pt idx="16">
                  <c:v>11.85</c:v>
                </c:pt>
                <c:pt idx="17">
                  <c:v>12.11</c:v>
                </c:pt>
                <c:pt idx="18">
                  <c:v>12.39</c:v>
                </c:pt>
                <c:pt idx="19">
                  <c:v>12.81</c:v>
                </c:pt>
                <c:pt idx="20">
                  <c:v>13.15</c:v>
                </c:pt>
                <c:pt idx="21">
                  <c:v>13.55</c:v>
                </c:pt>
                <c:pt idx="22">
                  <c:v>14.08</c:v>
                </c:pt>
                <c:pt idx="23">
                  <c:v>14.5</c:v>
                </c:pt>
                <c:pt idx="24">
                  <c:v>14.96</c:v>
                </c:pt>
                <c:pt idx="25">
                  <c:v>15.46</c:v>
                </c:pt>
                <c:pt idx="26">
                  <c:v>15.98</c:v>
                </c:pt>
                <c:pt idx="27">
                  <c:v>16.420000000000002</c:v>
                </c:pt>
                <c:pt idx="28">
                  <c:v>16.940000000000001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3239-C14D-B9A9-FA678F27FE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'Fig 2c, Fig S1'!$K$7:$K$15</c:f>
              <c:numCache>
                <c:formatCode>General</c:formatCode>
                <c:ptCount val="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</c:numCache>
            </c:numRef>
          </c:xVal>
          <c:yVal>
            <c:numRef>
              <c:f>'Fig 2c, Fig S1'!$L$7:$L$15</c:f>
              <c:numCache>
                <c:formatCode>General</c:formatCode>
                <c:ptCount val="9"/>
                <c:pt idx="0">
                  <c:v>11.05</c:v>
                </c:pt>
                <c:pt idx="1">
                  <c:v>11.08</c:v>
                </c:pt>
                <c:pt idx="2">
                  <c:v>11.07</c:v>
                </c:pt>
                <c:pt idx="3">
                  <c:v>11.03</c:v>
                </c:pt>
                <c:pt idx="4">
                  <c:v>11.04</c:v>
                </c:pt>
                <c:pt idx="5">
                  <c:v>11.04</c:v>
                </c:pt>
                <c:pt idx="6">
                  <c:v>11.07</c:v>
                </c:pt>
                <c:pt idx="7">
                  <c:v>11.07</c:v>
                </c:pt>
                <c:pt idx="8">
                  <c:v>11.09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239-C14D-B9A9-FA678F27FE65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6"/>
            <c:dispRSqr val="0"/>
            <c:dispEq val="0"/>
          </c:trendline>
          <c:xVal>
            <c:numRef>
              <c:f>'Fig 2c, Fig S1'!$K$26:$K$35</c:f>
              <c:numCache>
                <c:formatCode>General</c:formatCode>
                <c:ptCount val="10"/>
                <c:pt idx="0">
                  <c:v>2.1000000000000005</c:v>
                </c:pt>
                <c:pt idx="1">
                  <c:v>2.2000000000000006</c:v>
                </c:pt>
                <c:pt idx="2">
                  <c:v>2.3000000000000007</c:v>
                </c:pt>
                <c:pt idx="3">
                  <c:v>2.4000000000000008</c:v>
                </c:pt>
                <c:pt idx="4">
                  <c:v>2.5000000000000009</c:v>
                </c:pt>
                <c:pt idx="5">
                  <c:v>2.600000000000001</c:v>
                </c:pt>
                <c:pt idx="6">
                  <c:v>2.7000000000000011</c:v>
                </c:pt>
                <c:pt idx="7">
                  <c:v>2.8000000000000012</c:v>
                </c:pt>
                <c:pt idx="8">
                  <c:v>2.9000000000000012</c:v>
                </c:pt>
                <c:pt idx="9">
                  <c:v>3.0000000000000013</c:v>
                </c:pt>
              </c:numCache>
            </c:numRef>
          </c:xVal>
          <c:yVal>
            <c:numRef>
              <c:f>'Fig 2c, Fig S1'!$L$26:$L$35</c:f>
              <c:numCache>
                <c:formatCode>General</c:formatCode>
                <c:ptCount val="10"/>
                <c:pt idx="0">
                  <c:v>12.81</c:v>
                </c:pt>
                <c:pt idx="1">
                  <c:v>13.15</c:v>
                </c:pt>
                <c:pt idx="2">
                  <c:v>13.55</c:v>
                </c:pt>
                <c:pt idx="3">
                  <c:v>14.08</c:v>
                </c:pt>
                <c:pt idx="4">
                  <c:v>14.5</c:v>
                </c:pt>
                <c:pt idx="5">
                  <c:v>14.96</c:v>
                </c:pt>
                <c:pt idx="6">
                  <c:v>15.46</c:v>
                </c:pt>
                <c:pt idx="7">
                  <c:v>15.98</c:v>
                </c:pt>
                <c:pt idx="8">
                  <c:v>16.420000000000002</c:v>
                </c:pt>
                <c:pt idx="9">
                  <c:v>16.940000000000001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239-C14D-B9A9-FA678F27FE65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S1'!$K$38:$K$39</c:f>
              <c:numCache>
                <c:formatCode>General</c:formatCode>
                <c:ptCount val="2"/>
                <c:pt idx="0">
                  <c:v>1.756</c:v>
                </c:pt>
                <c:pt idx="1">
                  <c:v>1.756</c:v>
                </c:pt>
              </c:numCache>
            </c:numRef>
          </c:xVal>
          <c:yVal>
            <c:numRef>
              <c:f>'Fig 2c, Fig S1'!$L$38:$L$39</c:f>
              <c:numCache>
                <c:formatCode>General</c:formatCode>
                <c:ptCount val="2"/>
                <c:pt idx="0">
                  <c:v>0</c:v>
                </c:pt>
                <c:pt idx="1">
                  <c:v>11.087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239-C14D-B9A9-FA678F27F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S1'!$D$7:$D$35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S1'!$E$7:$E$35</c:f>
              <c:numCache>
                <c:formatCode>General</c:formatCode>
                <c:ptCount val="29"/>
                <c:pt idx="0">
                  <c:v>10.68</c:v>
                </c:pt>
                <c:pt idx="1">
                  <c:v>10.69</c:v>
                </c:pt>
                <c:pt idx="2">
                  <c:v>10.67</c:v>
                </c:pt>
                <c:pt idx="3">
                  <c:v>10.67</c:v>
                </c:pt>
                <c:pt idx="4">
                  <c:v>10.69</c:v>
                </c:pt>
                <c:pt idx="5">
                  <c:v>10.68</c:v>
                </c:pt>
                <c:pt idx="6">
                  <c:v>10.7</c:v>
                </c:pt>
                <c:pt idx="7">
                  <c:v>10.75</c:v>
                </c:pt>
                <c:pt idx="8">
                  <c:v>10.82</c:v>
                </c:pt>
                <c:pt idx="9">
                  <c:v>10.69</c:v>
                </c:pt>
                <c:pt idx="10">
                  <c:v>10.97</c:v>
                </c:pt>
                <c:pt idx="11">
                  <c:v>11.09</c:v>
                </c:pt>
                <c:pt idx="12">
                  <c:v>11.3</c:v>
                </c:pt>
                <c:pt idx="13">
                  <c:v>11.44</c:v>
                </c:pt>
                <c:pt idx="14">
                  <c:v>11.65</c:v>
                </c:pt>
                <c:pt idx="15">
                  <c:v>11.91</c:v>
                </c:pt>
                <c:pt idx="16">
                  <c:v>12.26</c:v>
                </c:pt>
                <c:pt idx="17">
                  <c:v>12.66</c:v>
                </c:pt>
                <c:pt idx="18">
                  <c:v>13.05</c:v>
                </c:pt>
                <c:pt idx="19">
                  <c:v>13.48</c:v>
                </c:pt>
                <c:pt idx="20">
                  <c:v>13.93</c:v>
                </c:pt>
                <c:pt idx="21">
                  <c:v>14.4</c:v>
                </c:pt>
                <c:pt idx="22">
                  <c:v>14.89</c:v>
                </c:pt>
                <c:pt idx="23">
                  <c:v>15.4</c:v>
                </c:pt>
                <c:pt idx="24">
                  <c:v>15.88</c:v>
                </c:pt>
                <c:pt idx="25">
                  <c:v>16.43</c:v>
                </c:pt>
                <c:pt idx="26">
                  <c:v>16.920000000000002</c:v>
                </c:pt>
                <c:pt idx="27">
                  <c:v>17.43</c:v>
                </c:pt>
                <c:pt idx="28">
                  <c:v>18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44A-B34D-849A-AEF7CD74CC5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9"/>
            <c:backward val="1"/>
            <c:dispRSqr val="0"/>
            <c:dispEq val="0"/>
          </c:trendline>
          <c:xVal>
            <c:numRef>
              <c:f>'Fig 2c, Fig S1'!$D$7:$D$15</c:f>
              <c:numCache>
                <c:formatCode>General</c:formatCode>
                <c:ptCount val="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</c:numCache>
            </c:numRef>
          </c:xVal>
          <c:yVal>
            <c:numRef>
              <c:f>'Fig 2c, Fig S1'!$E$7:$E$15</c:f>
              <c:numCache>
                <c:formatCode>General</c:formatCode>
                <c:ptCount val="9"/>
                <c:pt idx="0">
                  <c:v>10.68</c:v>
                </c:pt>
                <c:pt idx="1">
                  <c:v>10.69</c:v>
                </c:pt>
                <c:pt idx="2">
                  <c:v>10.67</c:v>
                </c:pt>
                <c:pt idx="3">
                  <c:v>10.67</c:v>
                </c:pt>
                <c:pt idx="4">
                  <c:v>10.69</c:v>
                </c:pt>
                <c:pt idx="5">
                  <c:v>10.68</c:v>
                </c:pt>
                <c:pt idx="6">
                  <c:v>10.7</c:v>
                </c:pt>
                <c:pt idx="7">
                  <c:v>10.75</c:v>
                </c:pt>
                <c:pt idx="8">
                  <c:v>10.82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44A-B34D-849A-AEF7CD74CC5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6"/>
            <c:dispRSqr val="0"/>
            <c:dispEq val="0"/>
          </c:trendline>
          <c:xVal>
            <c:numRef>
              <c:f>'Fig 2c, Fig S1'!$D$24:$D$35</c:f>
              <c:numCache>
                <c:formatCode>General</c:formatCode>
                <c:ptCount val="12"/>
                <c:pt idx="0">
                  <c:v>1.9000000000000006</c:v>
                </c:pt>
                <c:pt idx="1">
                  <c:v>2.0000000000000004</c:v>
                </c:pt>
                <c:pt idx="2">
                  <c:v>2.1000000000000005</c:v>
                </c:pt>
                <c:pt idx="3">
                  <c:v>2.2000000000000006</c:v>
                </c:pt>
                <c:pt idx="4">
                  <c:v>2.3000000000000007</c:v>
                </c:pt>
                <c:pt idx="5">
                  <c:v>2.4000000000000008</c:v>
                </c:pt>
                <c:pt idx="6">
                  <c:v>2.5000000000000009</c:v>
                </c:pt>
                <c:pt idx="7">
                  <c:v>2.600000000000001</c:v>
                </c:pt>
                <c:pt idx="8">
                  <c:v>2.7000000000000011</c:v>
                </c:pt>
                <c:pt idx="9">
                  <c:v>2.8000000000000012</c:v>
                </c:pt>
                <c:pt idx="10">
                  <c:v>2.9000000000000012</c:v>
                </c:pt>
                <c:pt idx="11">
                  <c:v>3.0000000000000013</c:v>
                </c:pt>
              </c:numCache>
            </c:numRef>
          </c:xVal>
          <c:yVal>
            <c:numRef>
              <c:f>'Fig 2c, Fig S1'!$E$24:$E$35</c:f>
              <c:numCache>
                <c:formatCode>General</c:formatCode>
                <c:ptCount val="12"/>
                <c:pt idx="0">
                  <c:v>12.66</c:v>
                </c:pt>
                <c:pt idx="1">
                  <c:v>13.05</c:v>
                </c:pt>
                <c:pt idx="2">
                  <c:v>13.48</c:v>
                </c:pt>
                <c:pt idx="3">
                  <c:v>13.93</c:v>
                </c:pt>
                <c:pt idx="4">
                  <c:v>14.4</c:v>
                </c:pt>
                <c:pt idx="5">
                  <c:v>14.89</c:v>
                </c:pt>
                <c:pt idx="6">
                  <c:v>15.4</c:v>
                </c:pt>
                <c:pt idx="7">
                  <c:v>15.88</c:v>
                </c:pt>
                <c:pt idx="8">
                  <c:v>16.43</c:v>
                </c:pt>
                <c:pt idx="9">
                  <c:v>16.920000000000002</c:v>
                </c:pt>
                <c:pt idx="10">
                  <c:v>17.43</c:v>
                </c:pt>
                <c:pt idx="11">
                  <c:v>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44A-B34D-849A-AEF7CD74CC5A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S1'!$D$38:$D$39</c:f>
              <c:numCache>
                <c:formatCode>General</c:formatCode>
                <c:ptCount val="2"/>
                <c:pt idx="0">
                  <c:v>1.5549999999999999</c:v>
                </c:pt>
                <c:pt idx="1">
                  <c:v>1.5549999999999999</c:v>
                </c:pt>
              </c:numCache>
            </c:numRef>
          </c:xVal>
          <c:yVal>
            <c:numRef>
              <c:f>'Fig 2c, Fig S1'!$E$38:$E$39</c:f>
              <c:numCache>
                <c:formatCode>General</c:formatCode>
                <c:ptCount val="2"/>
                <c:pt idx="0">
                  <c:v>0</c:v>
                </c:pt>
                <c:pt idx="1">
                  <c:v>10.834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44A-B34D-849A-AEF7CD74CC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S1'!$F$7:$F$35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S1'!$G$7:$G$35</c:f>
              <c:numCache>
                <c:formatCode>General</c:formatCode>
                <c:ptCount val="29"/>
                <c:pt idx="0">
                  <c:v>10.1</c:v>
                </c:pt>
                <c:pt idx="1">
                  <c:v>10.050000000000001</c:v>
                </c:pt>
                <c:pt idx="2">
                  <c:v>10.06</c:v>
                </c:pt>
                <c:pt idx="3">
                  <c:v>10.07</c:v>
                </c:pt>
                <c:pt idx="4">
                  <c:v>10.09</c:v>
                </c:pt>
                <c:pt idx="5">
                  <c:v>10.09</c:v>
                </c:pt>
                <c:pt idx="6">
                  <c:v>10.119999999999999</c:v>
                </c:pt>
                <c:pt idx="7">
                  <c:v>10.18</c:v>
                </c:pt>
                <c:pt idx="8">
                  <c:v>10.24</c:v>
                </c:pt>
                <c:pt idx="9">
                  <c:v>10.33</c:v>
                </c:pt>
                <c:pt idx="10">
                  <c:v>10.43</c:v>
                </c:pt>
                <c:pt idx="11">
                  <c:v>10.52</c:v>
                </c:pt>
                <c:pt idx="12">
                  <c:v>10.72</c:v>
                </c:pt>
                <c:pt idx="13">
                  <c:v>10.92</c:v>
                </c:pt>
                <c:pt idx="14">
                  <c:v>11.21</c:v>
                </c:pt>
                <c:pt idx="15">
                  <c:v>11.46</c:v>
                </c:pt>
                <c:pt idx="16">
                  <c:v>11.79</c:v>
                </c:pt>
                <c:pt idx="17">
                  <c:v>12.22</c:v>
                </c:pt>
                <c:pt idx="18">
                  <c:v>12.59</c:v>
                </c:pt>
                <c:pt idx="19">
                  <c:v>13.07</c:v>
                </c:pt>
                <c:pt idx="20">
                  <c:v>13.55</c:v>
                </c:pt>
                <c:pt idx="21">
                  <c:v>14.05</c:v>
                </c:pt>
                <c:pt idx="22">
                  <c:v>14.51</c:v>
                </c:pt>
                <c:pt idx="23">
                  <c:v>15.11</c:v>
                </c:pt>
                <c:pt idx="24">
                  <c:v>15.63</c:v>
                </c:pt>
                <c:pt idx="25">
                  <c:v>16.11</c:v>
                </c:pt>
                <c:pt idx="26">
                  <c:v>16.66</c:v>
                </c:pt>
                <c:pt idx="27">
                  <c:v>17.21</c:v>
                </c:pt>
                <c:pt idx="28">
                  <c:v>17.690000000000001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682D-C64E-91D1-CDC4206987C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85"/>
            <c:backward val="1"/>
            <c:dispRSqr val="0"/>
            <c:dispEq val="0"/>
          </c:trendline>
          <c:xVal>
            <c:numRef>
              <c:f>'Fig 2c, Fig S1'!$F$7:$F$16</c:f>
              <c:numCache>
                <c:formatCode>General</c:formatCode>
                <c:ptCount val="10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</c:numCache>
            </c:numRef>
          </c:xVal>
          <c:yVal>
            <c:numRef>
              <c:f>'Fig 2c, Fig S1'!$G$7:$G$16</c:f>
              <c:numCache>
                <c:formatCode>General</c:formatCode>
                <c:ptCount val="10"/>
                <c:pt idx="0">
                  <c:v>10.1</c:v>
                </c:pt>
                <c:pt idx="1">
                  <c:v>10.050000000000001</c:v>
                </c:pt>
                <c:pt idx="2">
                  <c:v>10.06</c:v>
                </c:pt>
                <c:pt idx="3">
                  <c:v>10.07</c:v>
                </c:pt>
                <c:pt idx="4">
                  <c:v>10.09</c:v>
                </c:pt>
                <c:pt idx="5">
                  <c:v>10.09</c:v>
                </c:pt>
                <c:pt idx="6">
                  <c:v>10.119999999999999</c:v>
                </c:pt>
                <c:pt idx="7">
                  <c:v>10.18</c:v>
                </c:pt>
                <c:pt idx="8">
                  <c:v>10.24</c:v>
                </c:pt>
                <c:pt idx="9">
                  <c:v>10.33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2D-C64E-91D1-CDC4206987C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7"/>
            <c:dispRSqr val="0"/>
            <c:dispEq val="0"/>
          </c:trendline>
          <c:xVal>
            <c:numRef>
              <c:f>'Fig 2c, Fig S1'!$F$26:$F$35</c:f>
              <c:numCache>
                <c:formatCode>General</c:formatCode>
                <c:ptCount val="10"/>
                <c:pt idx="0">
                  <c:v>2.1000000000000005</c:v>
                </c:pt>
                <c:pt idx="1">
                  <c:v>2.2000000000000006</c:v>
                </c:pt>
                <c:pt idx="2">
                  <c:v>2.3000000000000007</c:v>
                </c:pt>
                <c:pt idx="3">
                  <c:v>2.4000000000000008</c:v>
                </c:pt>
                <c:pt idx="4">
                  <c:v>2.5000000000000009</c:v>
                </c:pt>
                <c:pt idx="5">
                  <c:v>2.600000000000001</c:v>
                </c:pt>
                <c:pt idx="6">
                  <c:v>2.7000000000000011</c:v>
                </c:pt>
                <c:pt idx="7">
                  <c:v>2.8000000000000012</c:v>
                </c:pt>
                <c:pt idx="8">
                  <c:v>2.9000000000000012</c:v>
                </c:pt>
                <c:pt idx="9">
                  <c:v>3.0000000000000013</c:v>
                </c:pt>
              </c:numCache>
            </c:numRef>
          </c:xVal>
          <c:yVal>
            <c:numRef>
              <c:f>'Fig 2c, Fig S1'!$G$26:$G$35</c:f>
              <c:numCache>
                <c:formatCode>General</c:formatCode>
                <c:ptCount val="10"/>
                <c:pt idx="0">
                  <c:v>13.07</c:v>
                </c:pt>
                <c:pt idx="1">
                  <c:v>13.55</c:v>
                </c:pt>
                <c:pt idx="2">
                  <c:v>14.05</c:v>
                </c:pt>
                <c:pt idx="3">
                  <c:v>14.51</c:v>
                </c:pt>
                <c:pt idx="4">
                  <c:v>15.11</c:v>
                </c:pt>
                <c:pt idx="5">
                  <c:v>15.63</c:v>
                </c:pt>
                <c:pt idx="6">
                  <c:v>16.11</c:v>
                </c:pt>
                <c:pt idx="7">
                  <c:v>16.66</c:v>
                </c:pt>
                <c:pt idx="8">
                  <c:v>17.21</c:v>
                </c:pt>
                <c:pt idx="9">
                  <c:v>17.690000000000001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82D-C64E-91D1-CDC4206987C8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S1'!$F$38:$F$39</c:f>
              <c:numCache>
                <c:formatCode>General</c:formatCode>
                <c:ptCount val="2"/>
                <c:pt idx="0">
                  <c:v>1.5880000000000001</c:v>
                </c:pt>
                <c:pt idx="1">
                  <c:v>1.5880000000000001</c:v>
                </c:pt>
              </c:numCache>
            </c:numRef>
          </c:xVal>
          <c:yVal>
            <c:numRef>
              <c:f>'Fig 2c, Fig S1'!$G$38:$G$39</c:f>
              <c:numCache>
                <c:formatCode>General</c:formatCode>
                <c:ptCount val="2"/>
                <c:pt idx="0">
                  <c:v>0</c:v>
                </c:pt>
                <c:pt idx="1">
                  <c:v>10.369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82D-C64E-91D1-CDC4206987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S1'!$M$7:$M$35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S1'!$N$7:$N$35</c:f>
              <c:numCache>
                <c:formatCode>General</c:formatCode>
                <c:ptCount val="29"/>
                <c:pt idx="0">
                  <c:v>11.3</c:v>
                </c:pt>
                <c:pt idx="1">
                  <c:v>11.34</c:v>
                </c:pt>
                <c:pt idx="2">
                  <c:v>11.24</c:v>
                </c:pt>
                <c:pt idx="3">
                  <c:v>11.26</c:v>
                </c:pt>
                <c:pt idx="4">
                  <c:v>11.29</c:v>
                </c:pt>
                <c:pt idx="5">
                  <c:v>11.29</c:v>
                </c:pt>
                <c:pt idx="6">
                  <c:v>11.32</c:v>
                </c:pt>
                <c:pt idx="7">
                  <c:v>11.32</c:v>
                </c:pt>
                <c:pt idx="8">
                  <c:v>11.31</c:v>
                </c:pt>
                <c:pt idx="9">
                  <c:v>11.31</c:v>
                </c:pt>
                <c:pt idx="10">
                  <c:v>11.33</c:v>
                </c:pt>
                <c:pt idx="11">
                  <c:v>11.41</c:v>
                </c:pt>
                <c:pt idx="12">
                  <c:v>11.47</c:v>
                </c:pt>
                <c:pt idx="13">
                  <c:v>11.57</c:v>
                </c:pt>
                <c:pt idx="14">
                  <c:v>11.64</c:v>
                </c:pt>
                <c:pt idx="15">
                  <c:v>11.82</c:v>
                </c:pt>
                <c:pt idx="16">
                  <c:v>11.94</c:v>
                </c:pt>
                <c:pt idx="17">
                  <c:v>12.18</c:v>
                </c:pt>
                <c:pt idx="18">
                  <c:v>12.39</c:v>
                </c:pt>
                <c:pt idx="19">
                  <c:v>12.79</c:v>
                </c:pt>
                <c:pt idx="20">
                  <c:v>13.1</c:v>
                </c:pt>
                <c:pt idx="21">
                  <c:v>13.4</c:v>
                </c:pt>
                <c:pt idx="22">
                  <c:v>13.81</c:v>
                </c:pt>
                <c:pt idx="23">
                  <c:v>14.19</c:v>
                </c:pt>
                <c:pt idx="24">
                  <c:v>14.6</c:v>
                </c:pt>
                <c:pt idx="25">
                  <c:v>15.11</c:v>
                </c:pt>
                <c:pt idx="26">
                  <c:v>15.62</c:v>
                </c:pt>
                <c:pt idx="27">
                  <c:v>16.11</c:v>
                </c:pt>
                <c:pt idx="28">
                  <c:v>16.57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12C9-D749-8A3C-D3EB3517943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'Fig 2c, Fig S1'!$M$7:$M$17</c:f>
              <c:numCache>
                <c:formatCode>General</c:formatCode>
                <c:ptCount val="11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</c:numCache>
            </c:numRef>
          </c:xVal>
          <c:yVal>
            <c:numRef>
              <c:f>'Fig 2c, Fig S1'!$N$7:$N$17</c:f>
              <c:numCache>
                <c:formatCode>General</c:formatCode>
                <c:ptCount val="11"/>
                <c:pt idx="0">
                  <c:v>11.3</c:v>
                </c:pt>
                <c:pt idx="1">
                  <c:v>11.34</c:v>
                </c:pt>
                <c:pt idx="2">
                  <c:v>11.24</c:v>
                </c:pt>
                <c:pt idx="3">
                  <c:v>11.26</c:v>
                </c:pt>
                <c:pt idx="4">
                  <c:v>11.29</c:v>
                </c:pt>
                <c:pt idx="5">
                  <c:v>11.29</c:v>
                </c:pt>
                <c:pt idx="6">
                  <c:v>11.32</c:v>
                </c:pt>
                <c:pt idx="7">
                  <c:v>11.32</c:v>
                </c:pt>
                <c:pt idx="8">
                  <c:v>11.31</c:v>
                </c:pt>
                <c:pt idx="9">
                  <c:v>11.31</c:v>
                </c:pt>
                <c:pt idx="10">
                  <c:v>11.33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2C9-D749-8A3C-D3EB35179431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6"/>
            <c:dispRSqr val="0"/>
            <c:dispEq val="0"/>
          </c:trendline>
          <c:xVal>
            <c:numRef>
              <c:f>'Fig 2c, Fig S1'!$M$27:$M$35</c:f>
              <c:numCache>
                <c:formatCode>General</c:formatCode>
                <c:ptCount val="9"/>
                <c:pt idx="0">
                  <c:v>2.2000000000000006</c:v>
                </c:pt>
                <c:pt idx="1">
                  <c:v>2.3000000000000007</c:v>
                </c:pt>
                <c:pt idx="2">
                  <c:v>2.4000000000000008</c:v>
                </c:pt>
                <c:pt idx="3">
                  <c:v>2.5000000000000009</c:v>
                </c:pt>
                <c:pt idx="4">
                  <c:v>2.600000000000001</c:v>
                </c:pt>
                <c:pt idx="5">
                  <c:v>2.7000000000000011</c:v>
                </c:pt>
                <c:pt idx="6">
                  <c:v>2.8000000000000012</c:v>
                </c:pt>
                <c:pt idx="7">
                  <c:v>2.9000000000000012</c:v>
                </c:pt>
                <c:pt idx="8">
                  <c:v>3.0000000000000013</c:v>
                </c:pt>
              </c:numCache>
            </c:numRef>
          </c:xVal>
          <c:yVal>
            <c:numRef>
              <c:f>'Fig 2c, Fig S1'!$N$27:$N$35</c:f>
              <c:numCache>
                <c:formatCode>General</c:formatCode>
                <c:ptCount val="9"/>
                <c:pt idx="0">
                  <c:v>13.1</c:v>
                </c:pt>
                <c:pt idx="1">
                  <c:v>13.4</c:v>
                </c:pt>
                <c:pt idx="2">
                  <c:v>13.81</c:v>
                </c:pt>
                <c:pt idx="3">
                  <c:v>14.19</c:v>
                </c:pt>
                <c:pt idx="4">
                  <c:v>14.6</c:v>
                </c:pt>
                <c:pt idx="5">
                  <c:v>15.11</c:v>
                </c:pt>
                <c:pt idx="6">
                  <c:v>15.62</c:v>
                </c:pt>
                <c:pt idx="7">
                  <c:v>16.11</c:v>
                </c:pt>
                <c:pt idx="8">
                  <c:v>16.57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2C9-D749-8A3C-D3EB35179431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S1'!$M$38:$M$39</c:f>
              <c:numCache>
                <c:formatCode>General</c:formatCode>
                <c:ptCount val="2"/>
                <c:pt idx="0">
                  <c:v>1.8360000000000001</c:v>
                </c:pt>
                <c:pt idx="1">
                  <c:v>1.8360000000000001</c:v>
                </c:pt>
              </c:numCache>
            </c:numRef>
          </c:xVal>
          <c:yVal>
            <c:numRef>
              <c:f>'Fig 2c, Fig S1'!$N$38:$N$39</c:f>
              <c:numCache>
                <c:formatCode>General</c:formatCode>
                <c:ptCount val="2"/>
                <c:pt idx="0">
                  <c:v>0</c:v>
                </c:pt>
                <c:pt idx="1">
                  <c:v>11.341100000000001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2C9-D749-8A3C-D3EB351794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S1'!$P$7:$P$35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S1'!$Q$7:$Q$35</c:f>
              <c:numCache>
                <c:formatCode>General</c:formatCode>
                <c:ptCount val="29"/>
                <c:pt idx="0">
                  <c:v>12.86</c:v>
                </c:pt>
                <c:pt idx="1">
                  <c:v>12.86</c:v>
                </c:pt>
                <c:pt idx="2">
                  <c:v>12.85</c:v>
                </c:pt>
                <c:pt idx="3">
                  <c:v>12.74</c:v>
                </c:pt>
                <c:pt idx="4">
                  <c:v>12.84</c:v>
                </c:pt>
                <c:pt idx="5">
                  <c:v>12.8</c:v>
                </c:pt>
                <c:pt idx="6">
                  <c:v>12.81</c:v>
                </c:pt>
                <c:pt idx="7">
                  <c:v>12.82</c:v>
                </c:pt>
                <c:pt idx="8">
                  <c:v>12.79</c:v>
                </c:pt>
                <c:pt idx="9">
                  <c:v>12.79</c:v>
                </c:pt>
                <c:pt idx="10">
                  <c:v>12.76</c:v>
                </c:pt>
                <c:pt idx="11">
                  <c:v>12.8</c:v>
                </c:pt>
                <c:pt idx="12">
                  <c:v>12.81</c:v>
                </c:pt>
                <c:pt idx="13">
                  <c:v>12.81</c:v>
                </c:pt>
                <c:pt idx="14">
                  <c:v>12.84</c:v>
                </c:pt>
                <c:pt idx="15">
                  <c:v>12.87</c:v>
                </c:pt>
                <c:pt idx="16">
                  <c:v>12.96</c:v>
                </c:pt>
                <c:pt idx="17">
                  <c:v>13.12</c:v>
                </c:pt>
                <c:pt idx="18">
                  <c:v>13.24</c:v>
                </c:pt>
                <c:pt idx="19">
                  <c:v>13.41</c:v>
                </c:pt>
                <c:pt idx="20">
                  <c:v>13.65</c:v>
                </c:pt>
                <c:pt idx="21">
                  <c:v>13.94</c:v>
                </c:pt>
                <c:pt idx="22">
                  <c:v>14.28</c:v>
                </c:pt>
                <c:pt idx="23">
                  <c:v>14.57</c:v>
                </c:pt>
                <c:pt idx="24">
                  <c:v>15.03</c:v>
                </c:pt>
                <c:pt idx="25">
                  <c:v>15.52</c:v>
                </c:pt>
                <c:pt idx="26">
                  <c:v>15.95</c:v>
                </c:pt>
                <c:pt idx="27">
                  <c:v>16.38</c:v>
                </c:pt>
                <c:pt idx="28">
                  <c:v>16.88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ABF2-7E4F-89DF-2DA240FE8EE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8"/>
            <c:backward val="1"/>
            <c:dispRSqr val="0"/>
            <c:dispEq val="0"/>
          </c:trendline>
          <c:xVal>
            <c:numRef>
              <c:f>'Fig 2c, Fig S1'!$P$7:$P$21</c:f>
              <c:numCache>
                <c:formatCode>General</c:formatCode>
                <c:ptCount val="15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</c:numCache>
            </c:numRef>
          </c:xVal>
          <c:yVal>
            <c:numRef>
              <c:f>'Fig 2c, Fig S1'!$Q$7:$Q$21</c:f>
              <c:numCache>
                <c:formatCode>General</c:formatCode>
                <c:ptCount val="15"/>
                <c:pt idx="0">
                  <c:v>12.86</c:v>
                </c:pt>
                <c:pt idx="1">
                  <c:v>12.86</c:v>
                </c:pt>
                <c:pt idx="2">
                  <c:v>12.85</c:v>
                </c:pt>
                <c:pt idx="3">
                  <c:v>12.74</c:v>
                </c:pt>
                <c:pt idx="4">
                  <c:v>12.84</c:v>
                </c:pt>
                <c:pt idx="5">
                  <c:v>12.8</c:v>
                </c:pt>
                <c:pt idx="6">
                  <c:v>12.81</c:v>
                </c:pt>
                <c:pt idx="7">
                  <c:v>12.82</c:v>
                </c:pt>
                <c:pt idx="8">
                  <c:v>12.79</c:v>
                </c:pt>
                <c:pt idx="9">
                  <c:v>12.79</c:v>
                </c:pt>
                <c:pt idx="10">
                  <c:v>12.76</c:v>
                </c:pt>
                <c:pt idx="11">
                  <c:v>12.8</c:v>
                </c:pt>
                <c:pt idx="12">
                  <c:v>12.81</c:v>
                </c:pt>
                <c:pt idx="13">
                  <c:v>12.81</c:v>
                </c:pt>
                <c:pt idx="14">
                  <c:v>12.84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BF2-7E4F-89DF-2DA240FE8EE8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0.8"/>
            <c:backward val="0.6"/>
            <c:dispRSqr val="0"/>
            <c:dispEq val="0"/>
          </c:trendline>
          <c:xVal>
            <c:numRef>
              <c:f>'Fig 2c, Fig S1'!$P$30:$P$35</c:f>
              <c:numCache>
                <c:formatCode>General</c:formatCode>
                <c:ptCount val="6"/>
                <c:pt idx="0">
                  <c:v>2.5000000000000009</c:v>
                </c:pt>
                <c:pt idx="1">
                  <c:v>2.600000000000001</c:v>
                </c:pt>
                <c:pt idx="2">
                  <c:v>2.7000000000000011</c:v>
                </c:pt>
                <c:pt idx="3">
                  <c:v>2.8000000000000012</c:v>
                </c:pt>
                <c:pt idx="4">
                  <c:v>2.9000000000000012</c:v>
                </c:pt>
                <c:pt idx="5">
                  <c:v>3.0000000000000013</c:v>
                </c:pt>
              </c:numCache>
            </c:numRef>
          </c:xVal>
          <c:yVal>
            <c:numRef>
              <c:f>'Fig 2c, Fig S1'!$Q$30:$Q$35</c:f>
              <c:numCache>
                <c:formatCode>General</c:formatCode>
                <c:ptCount val="6"/>
                <c:pt idx="0">
                  <c:v>14.57</c:v>
                </c:pt>
                <c:pt idx="1">
                  <c:v>15.03</c:v>
                </c:pt>
                <c:pt idx="2">
                  <c:v>15.52</c:v>
                </c:pt>
                <c:pt idx="3">
                  <c:v>15.95</c:v>
                </c:pt>
                <c:pt idx="4">
                  <c:v>16.38</c:v>
                </c:pt>
                <c:pt idx="5">
                  <c:v>16.88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BF2-7E4F-89DF-2DA240FE8EE8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S1'!$P$38:$P$39</c:f>
              <c:numCache>
                <c:formatCode>General</c:formatCode>
                <c:ptCount val="2"/>
                <c:pt idx="0">
                  <c:v>2.1080000000000001</c:v>
                </c:pt>
                <c:pt idx="1">
                  <c:v>2.1080000000000001</c:v>
                </c:pt>
              </c:numCache>
            </c:numRef>
          </c:xVal>
          <c:yVal>
            <c:numRef>
              <c:f>'Fig 2c, Fig S1'!$Q$38:$Q$39</c:f>
              <c:numCache>
                <c:formatCode>General</c:formatCode>
                <c:ptCount val="2"/>
                <c:pt idx="0">
                  <c:v>0</c:v>
                </c:pt>
                <c:pt idx="1">
                  <c:v>12.782999999999999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BF2-7E4F-89DF-2DA240FE8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S1'!$R$7:$R$35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S1'!$S$7:$S$35</c:f>
              <c:numCache>
                <c:formatCode>General</c:formatCode>
                <c:ptCount val="29"/>
                <c:pt idx="0">
                  <c:v>12.75</c:v>
                </c:pt>
                <c:pt idx="1">
                  <c:v>12.74</c:v>
                </c:pt>
                <c:pt idx="2">
                  <c:v>12.73</c:v>
                </c:pt>
                <c:pt idx="3">
                  <c:v>12.72</c:v>
                </c:pt>
                <c:pt idx="4">
                  <c:v>12.82</c:v>
                </c:pt>
                <c:pt idx="5">
                  <c:v>12.79</c:v>
                </c:pt>
                <c:pt idx="6">
                  <c:v>12.79</c:v>
                </c:pt>
                <c:pt idx="7">
                  <c:v>12.75</c:v>
                </c:pt>
                <c:pt idx="8">
                  <c:v>12.75</c:v>
                </c:pt>
                <c:pt idx="9">
                  <c:v>12.82</c:v>
                </c:pt>
                <c:pt idx="10">
                  <c:v>12.78</c:v>
                </c:pt>
                <c:pt idx="11">
                  <c:v>12.75</c:v>
                </c:pt>
                <c:pt idx="12">
                  <c:v>12.77</c:v>
                </c:pt>
                <c:pt idx="13">
                  <c:v>12.81</c:v>
                </c:pt>
                <c:pt idx="14">
                  <c:v>12.84</c:v>
                </c:pt>
                <c:pt idx="15">
                  <c:v>12.91</c:v>
                </c:pt>
                <c:pt idx="16">
                  <c:v>12.97</c:v>
                </c:pt>
                <c:pt idx="17">
                  <c:v>13.12</c:v>
                </c:pt>
                <c:pt idx="18">
                  <c:v>13.28</c:v>
                </c:pt>
                <c:pt idx="19">
                  <c:v>13.46</c:v>
                </c:pt>
                <c:pt idx="20">
                  <c:v>13.7</c:v>
                </c:pt>
                <c:pt idx="21">
                  <c:v>13.98</c:v>
                </c:pt>
                <c:pt idx="22">
                  <c:v>14.3</c:v>
                </c:pt>
                <c:pt idx="23">
                  <c:v>14.72</c:v>
                </c:pt>
                <c:pt idx="24">
                  <c:v>15.13</c:v>
                </c:pt>
                <c:pt idx="25">
                  <c:v>15.52</c:v>
                </c:pt>
                <c:pt idx="26">
                  <c:v>16.05</c:v>
                </c:pt>
                <c:pt idx="27">
                  <c:v>16.55</c:v>
                </c:pt>
                <c:pt idx="28">
                  <c:v>17.04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4BE3-8746-A602-F530C8D153F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'Fig 2c, Fig S1'!$R$7:$R$20</c:f>
              <c:numCache>
                <c:formatCode>General</c:formatCode>
                <c:ptCount val="14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</c:numCache>
            </c:numRef>
          </c:xVal>
          <c:yVal>
            <c:numRef>
              <c:f>'Fig 2c, Fig S1'!$S$7:$S$20</c:f>
              <c:numCache>
                <c:formatCode>General</c:formatCode>
                <c:ptCount val="14"/>
                <c:pt idx="0">
                  <c:v>12.75</c:v>
                </c:pt>
                <c:pt idx="1">
                  <c:v>12.74</c:v>
                </c:pt>
                <c:pt idx="2">
                  <c:v>12.73</c:v>
                </c:pt>
                <c:pt idx="3">
                  <c:v>12.72</c:v>
                </c:pt>
                <c:pt idx="4">
                  <c:v>12.82</c:v>
                </c:pt>
                <c:pt idx="5">
                  <c:v>12.79</c:v>
                </c:pt>
                <c:pt idx="6">
                  <c:v>12.79</c:v>
                </c:pt>
                <c:pt idx="7">
                  <c:v>12.75</c:v>
                </c:pt>
                <c:pt idx="8">
                  <c:v>12.75</c:v>
                </c:pt>
                <c:pt idx="9">
                  <c:v>12.82</c:v>
                </c:pt>
                <c:pt idx="10">
                  <c:v>12.78</c:v>
                </c:pt>
                <c:pt idx="11">
                  <c:v>12.75</c:v>
                </c:pt>
                <c:pt idx="12">
                  <c:v>12.77</c:v>
                </c:pt>
                <c:pt idx="13">
                  <c:v>12.81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BE3-8746-A602-F530C8D153FB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65"/>
            <c:dispRSqr val="0"/>
            <c:dispEq val="0"/>
          </c:trendline>
          <c:xVal>
            <c:numRef>
              <c:f>'Fig 2c, Fig S1'!$R$30:$R$35</c:f>
              <c:numCache>
                <c:formatCode>General</c:formatCode>
                <c:ptCount val="6"/>
                <c:pt idx="0">
                  <c:v>2.5000000000000009</c:v>
                </c:pt>
                <c:pt idx="1">
                  <c:v>2.600000000000001</c:v>
                </c:pt>
                <c:pt idx="2">
                  <c:v>2.7000000000000011</c:v>
                </c:pt>
                <c:pt idx="3">
                  <c:v>2.8000000000000012</c:v>
                </c:pt>
                <c:pt idx="4">
                  <c:v>2.9000000000000012</c:v>
                </c:pt>
                <c:pt idx="5">
                  <c:v>3.0000000000000013</c:v>
                </c:pt>
              </c:numCache>
            </c:numRef>
          </c:xVal>
          <c:yVal>
            <c:numRef>
              <c:f>'Fig 2c, Fig S1'!$S$30:$S$35</c:f>
              <c:numCache>
                <c:formatCode>General</c:formatCode>
                <c:ptCount val="6"/>
                <c:pt idx="0">
                  <c:v>14.72</c:v>
                </c:pt>
                <c:pt idx="1">
                  <c:v>15.13</c:v>
                </c:pt>
                <c:pt idx="2">
                  <c:v>15.52</c:v>
                </c:pt>
                <c:pt idx="3">
                  <c:v>16.05</c:v>
                </c:pt>
                <c:pt idx="4">
                  <c:v>16.55</c:v>
                </c:pt>
                <c:pt idx="5">
                  <c:v>17.04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BE3-8746-A602-F530C8D153FB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S1'!$R$38:$R$39</c:f>
              <c:numCache>
                <c:formatCode>General</c:formatCode>
                <c:ptCount val="2"/>
                <c:pt idx="0">
                  <c:v>2.1040000000000001</c:v>
                </c:pt>
                <c:pt idx="1">
                  <c:v>2.1040000000000001</c:v>
                </c:pt>
              </c:numCache>
            </c:numRef>
          </c:xVal>
          <c:yVal>
            <c:numRef>
              <c:f>'Fig 2c, Fig S1'!$S$38:$S$39</c:f>
              <c:numCache>
                <c:formatCode>General</c:formatCode>
                <c:ptCount val="2"/>
                <c:pt idx="0">
                  <c:v>0</c:v>
                </c:pt>
                <c:pt idx="1">
                  <c:v>12.811999999999999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BE3-8746-A602-F530C8D153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S1'!$T$7:$T$35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S1'!$U$7:$U$35</c:f>
              <c:numCache>
                <c:formatCode>General</c:formatCode>
                <c:ptCount val="29"/>
                <c:pt idx="0">
                  <c:v>12.68</c:v>
                </c:pt>
                <c:pt idx="1">
                  <c:v>12.67</c:v>
                </c:pt>
                <c:pt idx="2">
                  <c:v>12.7</c:v>
                </c:pt>
                <c:pt idx="3">
                  <c:v>12.66</c:v>
                </c:pt>
                <c:pt idx="4">
                  <c:v>12.7</c:v>
                </c:pt>
                <c:pt idx="5">
                  <c:v>12.65</c:v>
                </c:pt>
                <c:pt idx="6">
                  <c:v>12.59</c:v>
                </c:pt>
                <c:pt idx="7">
                  <c:v>12.63</c:v>
                </c:pt>
                <c:pt idx="8">
                  <c:v>12.63</c:v>
                </c:pt>
                <c:pt idx="9">
                  <c:v>12.61</c:v>
                </c:pt>
                <c:pt idx="10">
                  <c:v>12.61</c:v>
                </c:pt>
                <c:pt idx="11">
                  <c:v>12.66</c:v>
                </c:pt>
                <c:pt idx="12">
                  <c:v>12.68</c:v>
                </c:pt>
                <c:pt idx="13">
                  <c:v>12.69</c:v>
                </c:pt>
                <c:pt idx="14">
                  <c:v>12.74</c:v>
                </c:pt>
                <c:pt idx="15">
                  <c:v>12.79</c:v>
                </c:pt>
                <c:pt idx="16">
                  <c:v>12.92</c:v>
                </c:pt>
                <c:pt idx="17">
                  <c:v>13.08</c:v>
                </c:pt>
                <c:pt idx="18">
                  <c:v>13.23</c:v>
                </c:pt>
                <c:pt idx="19">
                  <c:v>13.35</c:v>
                </c:pt>
                <c:pt idx="20">
                  <c:v>13.57</c:v>
                </c:pt>
                <c:pt idx="21">
                  <c:v>13.91</c:v>
                </c:pt>
                <c:pt idx="22">
                  <c:v>14.22</c:v>
                </c:pt>
                <c:pt idx="23">
                  <c:v>14.63</c:v>
                </c:pt>
                <c:pt idx="24">
                  <c:v>15.06</c:v>
                </c:pt>
                <c:pt idx="25">
                  <c:v>15.46</c:v>
                </c:pt>
                <c:pt idx="26">
                  <c:v>15.88</c:v>
                </c:pt>
                <c:pt idx="27">
                  <c:v>16.43</c:v>
                </c:pt>
                <c:pt idx="28">
                  <c:v>16.91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9B-6E46-8192-AA55E2B514F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'Fig 2c, Fig S1'!$T$7:$T$20</c:f>
              <c:numCache>
                <c:formatCode>General</c:formatCode>
                <c:ptCount val="14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</c:numCache>
            </c:numRef>
          </c:xVal>
          <c:yVal>
            <c:numRef>
              <c:f>'Fig 2c, Fig S1'!$U$7:$U$20</c:f>
              <c:numCache>
                <c:formatCode>General</c:formatCode>
                <c:ptCount val="14"/>
                <c:pt idx="0">
                  <c:v>12.68</c:v>
                </c:pt>
                <c:pt idx="1">
                  <c:v>12.67</c:v>
                </c:pt>
                <c:pt idx="2">
                  <c:v>12.7</c:v>
                </c:pt>
                <c:pt idx="3">
                  <c:v>12.66</c:v>
                </c:pt>
                <c:pt idx="4">
                  <c:v>12.7</c:v>
                </c:pt>
                <c:pt idx="5">
                  <c:v>12.65</c:v>
                </c:pt>
                <c:pt idx="6">
                  <c:v>12.59</c:v>
                </c:pt>
                <c:pt idx="7">
                  <c:v>12.63</c:v>
                </c:pt>
                <c:pt idx="8">
                  <c:v>12.63</c:v>
                </c:pt>
                <c:pt idx="9">
                  <c:v>12.61</c:v>
                </c:pt>
                <c:pt idx="10">
                  <c:v>12.61</c:v>
                </c:pt>
                <c:pt idx="11">
                  <c:v>12.66</c:v>
                </c:pt>
                <c:pt idx="12">
                  <c:v>12.68</c:v>
                </c:pt>
                <c:pt idx="13">
                  <c:v>12.69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9B-6E46-8192-AA55E2B514F6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7"/>
            <c:dispRSqr val="0"/>
            <c:dispEq val="0"/>
          </c:trendline>
          <c:xVal>
            <c:numRef>
              <c:f>'Fig 2c, Fig S1'!$T$30:$T$35</c:f>
              <c:numCache>
                <c:formatCode>General</c:formatCode>
                <c:ptCount val="6"/>
                <c:pt idx="0">
                  <c:v>2.5000000000000009</c:v>
                </c:pt>
                <c:pt idx="1">
                  <c:v>2.600000000000001</c:v>
                </c:pt>
                <c:pt idx="2">
                  <c:v>2.7000000000000011</c:v>
                </c:pt>
                <c:pt idx="3">
                  <c:v>2.8000000000000012</c:v>
                </c:pt>
                <c:pt idx="4">
                  <c:v>2.9000000000000012</c:v>
                </c:pt>
                <c:pt idx="5">
                  <c:v>3.0000000000000013</c:v>
                </c:pt>
              </c:numCache>
            </c:numRef>
          </c:xVal>
          <c:yVal>
            <c:numRef>
              <c:f>'Fig 2c, Fig S1'!$U$30:$U$35</c:f>
              <c:numCache>
                <c:formatCode>General</c:formatCode>
                <c:ptCount val="6"/>
                <c:pt idx="0">
                  <c:v>14.63</c:v>
                </c:pt>
                <c:pt idx="1">
                  <c:v>15.06</c:v>
                </c:pt>
                <c:pt idx="2">
                  <c:v>15.46</c:v>
                </c:pt>
                <c:pt idx="3">
                  <c:v>15.88</c:v>
                </c:pt>
                <c:pt idx="4">
                  <c:v>16.43</c:v>
                </c:pt>
                <c:pt idx="5">
                  <c:v>16.91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9B-6E46-8192-AA55E2B514F6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S1'!$T$38:$T$39</c:f>
              <c:numCache>
                <c:formatCode>General</c:formatCode>
                <c:ptCount val="2"/>
                <c:pt idx="0">
                  <c:v>2.069</c:v>
                </c:pt>
                <c:pt idx="1">
                  <c:v>2.069</c:v>
                </c:pt>
              </c:numCache>
            </c:numRef>
          </c:xVal>
          <c:yVal>
            <c:numRef>
              <c:f>'Fig 2c, Fig S1'!$U$38:$U$39</c:f>
              <c:numCache>
                <c:formatCode>General</c:formatCode>
                <c:ptCount val="2"/>
                <c:pt idx="0">
                  <c:v>0</c:v>
                </c:pt>
                <c:pt idx="1">
                  <c:v>12.629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89B-6E46-8192-AA55E2B51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762695978186776"/>
          <c:y val="8.6615730582297032E-2"/>
          <c:w val="0.74285531697341511"/>
          <c:h val="0.71075554089570714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'Fig 2c, Fig S1'!$Y$12:$AA$12</c:f>
                <c:numCache>
                  <c:formatCode>General</c:formatCode>
                  <c:ptCount val="3"/>
                  <c:pt idx="0">
                    <c:v>5.8968918366656166E-3</c:v>
                  </c:pt>
                  <c:pt idx="1">
                    <c:v>1.1504845999902926E-2</c:v>
                  </c:pt>
                  <c:pt idx="2">
                    <c:v>5.7214346815125487E-3</c:v>
                  </c:pt>
                </c:numCache>
              </c:numRef>
            </c:plus>
            <c:minus>
              <c:numRef>
                <c:f>'Fig 2c, Fig S1'!$Y$12:$AA$12</c:f>
                <c:numCache>
                  <c:formatCode>General</c:formatCode>
                  <c:ptCount val="3"/>
                  <c:pt idx="0">
                    <c:v>5.8968918366656166E-3</c:v>
                  </c:pt>
                  <c:pt idx="1">
                    <c:v>1.1504845999902926E-2</c:v>
                  </c:pt>
                  <c:pt idx="2">
                    <c:v>5.7214346815125487E-3</c:v>
                  </c:pt>
                </c:numCache>
              </c:numRef>
            </c:minus>
            <c:spPr>
              <a:noFill/>
              <a:ln w="12700" cap="sq" cmpd="sng" algn="ctr">
                <a:solidFill>
                  <a:schemeClr val="tx1">
                    <a:lumMod val="95000"/>
                    <a:lumOff val="5000"/>
                  </a:schemeClr>
                </a:solidFill>
                <a:round/>
              </a:ln>
              <a:effectLst/>
            </c:spPr>
          </c:errBars>
          <c:cat>
            <c:strRef>
              <c:f>'Fig 2c, Fig S1'!$Y$4:$AA$4</c:f>
              <c:strCache>
                <c:ptCount val="3"/>
                <c:pt idx="0">
                  <c:v>30 min ox</c:v>
                </c:pt>
                <c:pt idx="1">
                  <c:v>60 min ox</c:v>
                </c:pt>
                <c:pt idx="2">
                  <c:v>120 min ox</c:v>
                </c:pt>
              </c:strCache>
            </c:strRef>
          </c:cat>
          <c:val>
            <c:numRef>
              <c:f>'Fig 2c, Fig S1'!$Y$11:$AA$11</c:f>
              <c:numCache>
                <c:formatCode>0.00</c:formatCode>
                <c:ptCount val="3"/>
                <c:pt idx="0">
                  <c:v>0.42133333333333334</c:v>
                </c:pt>
                <c:pt idx="1">
                  <c:v>0.48142222222222225</c:v>
                </c:pt>
                <c:pt idx="2">
                  <c:v>0.5583111111111112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A5-B747-A5F2-A49A9536A7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4"/>
        <c:overlap val="2"/>
        <c:axId val="1395481167"/>
        <c:axId val="1400179567"/>
      </c:barChart>
      <c:catAx>
        <c:axId val="1395481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fiber</a:t>
                </a:r>
                <a:r>
                  <a:rPr lang="en-US" sz="800" b="1" baseline="0"/>
                  <a:t> oxidation time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400179567"/>
        <c:crosses val="autoZero"/>
        <c:auto val="1"/>
        <c:lblAlgn val="ctr"/>
        <c:lblOffset val="100"/>
        <c:noMultiLvlLbl val="0"/>
      </c:catAx>
      <c:valAx>
        <c:axId val="1400179567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charge content (mmol/g)</a:t>
                </a:r>
              </a:p>
            </c:rich>
          </c:tx>
          <c:layout>
            <c:manualLayout>
              <c:xMode val="edge"/>
              <c:yMode val="edge"/>
              <c:x val="1.6232106339468304E-2"/>
              <c:y val="3.9370786628316834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0.00" sourceLinked="1"/>
        <c:majorTickMark val="in"/>
        <c:minorTickMark val="none"/>
        <c:tickLblPos val="nextTo"/>
        <c:spPr>
          <a:noFill/>
          <a:ln w="1270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395481167"/>
        <c:crosses val="autoZero"/>
        <c:crossBetween val="between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875042735042735"/>
          <c:y val="6.5198968697527754E-2"/>
          <c:w val="0.77473760683760673"/>
          <c:h val="0.73823580246913578"/>
        </c:manualLayout>
      </c:layout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'Fig 2c, Fig S1'!$I$7:$I$35</c:f>
              <c:numCache>
                <c:formatCode>General</c:formatCode>
                <c:ptCount val="29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  <c:pt idx="11">
                  <c:v>1.3</c:v>
                </c:pt>
                <c:pt idx="12">
                  <c:v>1.4000000000000001</c:v>
                </c:pt>
                <c:pt idx="13">
                  <c:v>1.5000000000000002</c:v>
                </c:pt>
                <c:pt idx="14">
                  <c:v>1.6000000000000003</c:v>
                </c:pt>
                <c:pt idx="15">
                  <c:v>1.7000000000000004</c:v>
                </c:pt>
                <c:pt idx="16">
                  <c:v>1.8000000000000005</c:v>
                </c:pt>
                <c:pt idx="17">
                  <c:v>1.9000000000000006</c:v>
                </c:pt>
                <c:pt idx="18">
                  <c:v>2.0000000000000004</c:v>
                </c:pt>
                <c:pt idx="19">
                  <c:v>2.1000000000000005</c:v>
                </c:pt>
                <c:pt idx="20">
                  <c:v>2.2000000000000006</c:v>
                </c:pt>
                <c:pt idx="21">
                  <c:v>2.3000000000000007</c:v>
                </c:pt>
                <c:pt idx="22">
                  <c:v>2.4000000000000008</c:v>
                </c:pt>
                <c:pt idx="23">
                  <c:v>2.5000000000000009</c:v>
                </c:pt>
                <c:pt idx="24">
                  <c:v>2.600000000000001</c:v>
                </c:pt>
                <c:pt idx="25">
                  <c:v>2.7000000000000011</c:v>
                </c:pt>
                <c:pt idx="26">
                  <c:v>2.8000000000000012</c:v>
                </c:pt>
                <c:pt idx="27">
                  <c:v>2.9000000000000012</c:v>
                </c:pt>
                <c:pt idx="28">
                  <c:v>3.0000000000000013</c:v>
                </c:pt>
              </c:numCache>
            </c:numRef>
          </c:xVal>
          <c:yVal>
            <c:numRef>
              <c:f>'Fig 2c, Fig S1'!$J$7:$J$35</c:f>
              <c:numCache>
                <c:formatCode>General</c:formatCode>
                <c:ptCount val="29"/>
                <c:pt idx="0">
                  <c:v>10.98</c:v>
                </c:pt>
                <c:pt idx="1">
                  <c:v>10.87</c:v>
                </c:pt>
                <c:pt idx="2">
                  <c:v>10.86</c:v>
                </c:pt>
                <c:pt idx="3">
                  <c:v>10.87</c:v>
                </c:pt>
                <c:pt idx="4">
                  <c:v>10.87</c:v>
                </c:pt>
                <c:pt idx="5">
                  <c:v>10.84</c:v>
                </c:pt>
                <c:pt idx="6">
                  <c:v>10.87</c:v>
                </c:pt>
                <c:pt idx="7">
                  <c:v>10.85</c:v>
                </c:pt>
                <c:pt idx="8">
                  <c:v>10.87</c:v>
                </c:pt>
                <c:pt idx="9">
                  <c:v>10.89</c:v>
                </c:pt>
                <c:pt idx="10">
                  <c:v>10.92</c:v>
                </c:pt>
                <c:pt idx="11">
                  <c:v>10.95</c:v>
                </c:pt>
                <c:pt idx="12">
                  <c:v>11.03</c:v>
                </c:pt>
                <c:pt idx="13">
                  <c:v>11.09</c:v>
                </c:pt>
                <c:pt idx="14">
                  <c:v>11.14</c:v>
                </c:pt>
                <c:pt idx="15">
                  <c:v>11.34</c:v>
                </c:pt>
                <c:pt idx="16">
                  <c:v>11.5</c:v>
                </c:pt>
                <c:pt idx="17">
                  <c:v>11.76</c:v>
                </c:pt>
                <c:pt idx="18">
                  <c:v>12.07</c:v>
                </c:pt>
                <c:pt idx="19">
                  <c:v>12.37</c:v>
                </c:pt>
                <c:pt idx="20">
                  <c:v>12.77</c:v>
                </c:pt>
                <c:pt idx="21">
                  <c:v>13.14</c:v>
                </c:pt>
                <c:pt idx="22">
                  <c:v>13.6</c:v>
                </c:pt>
                <c:pt idx="23">
                  <c:v>14.07</c:v>
                </c:pt>
                <c:pt idx="24">
                  <c:v>14.52</c:v>
                </c:pt>
                <c:pt idx="25">
                  <c:v>15.05</c:v>
                </c:pt>
                <c:pt idx="26">
                  <c:v>15.55</c:v>
                </c:pt>
                <c:pt idx="27">
                  <c:v>16.059999999999999</c:v>
                </c:pt>
                <c:pt idx="28">
                  <c:v>16.579999999999998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9517-9149-8A31-D49A0F3579C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1"/>
            <c:dispRSqr val="0"/>
            <c:dispEq val="0"/>
          </c:trendline>
          <c:xVal>
            <c:numRef>
              <c:f>'Fig 2c, Fig S1'!$I$7:$I$17</c:f>
              <c:numCache>
                <c:formatCode>General</c:formatCode>
                <c:ptCount val="11"/>
                <c:pt idx="0">
                  <c:v>0.2</c:v>
                </c:pt>
                <c:pt idx="1">
                  <c:v>0.30000000000000004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0.79999999999999993</c:v>
                </c:pt>
                <c:pt idx="7">
                  <c:v>0.89999999999999991</c:v>
                </c:pt>
                <c:pt idx="8">
                  <c:v>0.99999999999999989</c:v>
                </c:pt>
                <c:pt idx="9">
                  <c:v>1.0999999999999999</c:v>
                </c:pt>
                <c:pt idx="10">
                  <c:v>1.2</c:v>
                </c:pt>
              </c:numCache>
            </c:numRef>
          </c:xVal>
          <c:yVal>
            <c:numRef>
              <c:f>'Fig 2c, Fig S1'!$J$7:$J$17</c:f>
              <c:numCache>
                <c:formatCode>General</c:formatCode>
                <c:ptCount val="11"/>
                <c:pt idx="0">
                  <c:v>10.98</c:v>
                </c:pt>
                <c:pt idx="1">
                  <c:v>10.87</c:v>
                </c:pt>
                <c:pt idx="2">
                  <c:v>10.86</c:v>
                </c:pt>
                <c:pt idx="3">
                  <c:v>10.87</c:v>
                </c:pt>
                <c:pt idx="4">
                  <c:v>10.87</c:v>
                </c:pt>
                <c:pt idx="5">
                  <c:v>10.84</c:v>
                </c:pt>
                <c:pt idx="6">
                  <c:v>10.87</c:v>
                </c:pt>
                <c:pt idx="7">
                  <c:v>10.85</c:v>
                </c:pt>
                <c:pt idx="8">
                  <c:v>10.87</c:v>
                </c:pt>
                <c:pt idx="9">
                  <c:v>10.89</c:v>
                </c:pt>
                <c:pt idx="10">
                  <c:v>10.92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517-9149-8A31-D49A0F3579CA}"/>
            </c:ext>
          </c:extLst>
        </c:ser>
        <c:ser>
          <c:idx val="2"/>
          <c:order val="2"/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2700" cap="rnd">
                <a:solidFill>
                  <a:schemeClr val="tx1"/>
                </a:solidFill>
                <a:prstDash val="solid"/>
              </a:ln>
              <a:effectLst/>
            </c:spPr>
            <c:trendlineType val="linear"/>
            <c:forward val="1"/>
            <c:backward val="0.6"/>
            <c:dispRSqr val="0"/>
            <c:dispEq val="0"/>
          </c:trendline>
          <c:xVal>
            <c:numRef>
              <c:f>'Fig 2c, Fig S1'!$I$27:$I$35</c:f>
              <c:numCache>
                <c:formatCode>General</c:formatCode>
                <c:ptCount val="9"/>
                <c:pt idx="0">
                  <c:v>2.2000000000000006</c:v>
                </c:pt>
                <c:pt idx="1">
                  <c:v>2.3000000000000007</c:v>
                </c:pt>
                <c:pt idx="2">
                  <c:v>2.4000000000000008</c:v>
                </c:pt>
                <c:pt idx="3">
                  <c:v>2.5000000000000009</c:v>
                </c:pt>
                <c:pt idx="4">
                  <c:v>2.600000000000001</c:v>
                </c:pt>
                <c:pt idx="5">
                  <c:v>2.7000000000000011</c:v>
                </c:pt>
                <c:pt idx="6">
                  <c:v>2.8000000000000012</c:v>
                </c:pt>
                <c:pt idx="7">
                  <c:v>2.9000000000000012</c:v>
                </c:pt>
                <c:pt idx="8">
                  <c:v>3.0000000000000013</c:v>
                </c:pt>
              </c:numCache>
            </c:numRef>
          </c:xVal>
          <c:yVal>
            <c:numRef>
              <c:f>'Fig 2c, Fig S1'!$J$27:$J$35</c:f>
              <c:numCache>
                <c:formatCode>General</c:formatCode>
                <c:ptCount val="9"/>
                <c:pt idx="0">
                  <c:v>12.77</c:v>
                </c:pt>
                <c:pt idx="1">
                  <c:v>13.14</c:v>
                </c:pt>
                <c:pt idx="2">
                  <c:v>13.6</c:v>
                </c:pt>
                <c:pt idx="3">
                  <c:v>14.07</c:v>
                </c:pt>
                <c:pt idx="4">
                  <c:v>14.52</c:v>
                </c:pt>
                <c:pt idx="5">
                  <c:v>15.05</c:v>
                </c:pt>
                <c:pt idx="6">
                  <c:v>15.55</c:v>
                </c:pt>
                <c:pt idx="7">
                  <c:v>16.059999999999999</c:v>
                </c:pt>
                <c:pt idx="8">
                  <c:v>16.579999999999998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17-9149-8A31-D49A0F3579CA}"/>
            </c:ext>
          </c:extLst>
        </c:ser>
        <c:ser>
          <c:idx val="3"/>
          <c:order val="3"/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 2c, Fig S1'!$I$38:$I$39</c:f>
              <c:numCache>
                <c:formatCode>General</c:formatCode>
                <c:ptCount val="2"/>
                <c:pt idx="0">
                  <c:v>1.8240000000000001</c:v>
                </c:pt>
                <c:pt idx="1">
                  <c:v>1.8240000000000001</c:v>
                </c:pt>
              </c:numCache>
            </c:numRef>
          </c:xVal>
          <c:yVal>
            <c:numRef>
              <c:f>'Fig 2c, Fig S1'!$J$38:$J$39</c:f>
              <c:numCache>
                <c:formatCode>General</c:formatCode>
                <c:ptCount val="2"/>
                <c:pt idx="0">
                  <c:v>0</c:v>
                </c:pt>
                <c:pt idx="1">
                  <c:v>10.86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17-9149-8A31-D49A0F3579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0426720"/>
        <c:axId val="1601143152"/>
      </c:scatterChart>
      <c:valAx>
        <c:axId val="1600426720"/>
        <c:scaling>
          <c:orientation val="minMax"/>
          <c:max val="3.2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volume of AgNO</a:t>
                </a:r>
                <a:r>
                  <a:rPr lang="en-US" sz="800" b="1" baseline="-25000"/>
                  <a:t>3</a:t>
                </a:r>
                <a:r>
                  <a:rPr lang="en-US" sz="800" b="1"/>
                  <a:t> (mL)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#,##0.0" sourceLinked="0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1143152"/>
        <c:crosses val="autoZero"/>
        <c:crossBetween val="midCat"/>
        <c:majorUnit val="0.4"/>
      </c:valAx>
      <c:valAx>
        <c:axId val="1601143152"/>
        <c:scaling>
          <c:orientation val="minMax"/>
          <c:max val="20"/>
          <c:min val="8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conductivity (uS/cm)</a:t>
                </a:r>
              </a:p>
            </c:rich>
          </c:tx>
          <c:layout>
            <c:manualLayout>
              <c:xMode val="edge"/>
              <c:yMode val="edge"/>
              <c:x val="1.0924358974358974E-2"/>
              <c:y val="0.11092222222222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00426720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684317743356666E-2"/>
          <c:y val="5.5000000000000007E-2"/>
          <c:w val="0.50910397454103717"/>
          <c:h val="0.76097991869701076"/>
        </c:manualLayout>
      </c:layout>
      <c:scatterChart>
        <c:scatterStyle val="smoothMarker"/>
        <c:varyColors val="0"/>
        <c:ser>
          <c:idx val="3"/>
          <c:order val="0"/>
          <c:tx>
            <c:strRef>
              <c:f>'Fig 2d'!$S$4</c:f>
              <c:strCache>
                <c:ptCount val="1"/>
                <c:pt idx="0">
                  <c:v>modified (120 min ox)</c:v>
                </c:pt>
              </c:strCache>
            </c:strRef>
          </c:tx>
          <c:spPr>
            <a:ln w="19050" cap="rnd">
              <a:solidFill>
                <a:srgbClr val="E5121D"/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2d'!$S$5:$S$591</c:f>
              <c:numCache>
                <c:formatCode>General</c:formatCode>
                <c:ptCount val="587"/>
                <c:pt idx="0">
                  <c:v>0.29892284630982147</c:v>
                </c:pt>
                <c:pt idx="1">
                  <c:v>0.25547517884844073</c:v>
                </c:pt>
                <c:pt idx="2">
                  <c:v>0.2833224360430176</c:v>
                </c:pt>
                <c:pt idx="3">
                  <c:v>0.28164609538692364</c:v>
                </c:pt>
                <c:pt idx="4">
                  <c:v>0.31267393439257735</c:v>
                </c:pt>
                <c:pt idx="5">
                  <c:v>0.32822783046496007</c:v>
                </c:pt>
                <c:pt idx="6">
                  <c:v>0.32223506371266764</c:v>
                </c:pt>
                <c:pt idx="7">
                  <c:v>0.31867293943935904</c:v>
                </c:pt>
                <c:pt idx="8">
                  <c:v>0.33368049446572479</c:v>
                </c:pt>
                <c:pt idx="9">
                  <c:v>0.34639655373194822</c:v>
                </c:pt>
                <c:pt idx="10">
                  <c:v>0.35769383889727741</c:v>
                </c:pt>
                <c:pt idx="11">
                  <c:v>0.36619685603996349</c:v>
                </c:pt>
                <c:pt idx="12">
                  <c:v>0.37535576091489653</c:v>
                </c:pt>
                <c:pt idx="13">
                  <c:v>0.38381994193676156</c:v>
                </c:pt>
                <c:pt idx="14">
                  <c:v>0.39672598619297839</c:v>
                </c:pt>
                <c:pt idx="15">
                  <c:v>0.4080399979397491</c:v>
                </c:pt>
                <c:pt idx="16">
                  <c:v>0.41727647128846013</c:v>
                </c:pt>
                <c:pt idx="17">
                  <c:v>0.43180392034620563</c:v>
                </c:pt>
                <c:pt idx="18">
                  <c:v>0.44412656570746306</c:v>
                </c:pt>
                <c:pt idx="19">
                  <c:v>0.45809008631347559</c:v>
                </c:pt>
                <c:pt idx="20">
                  <c:v>0.4714880660747941</c:v>
                </c:pt>
                <c:pt idx="21">
                  <c:v>0.48757131070660076</c:v>
                </c:pt>
                <c:pt idx="22">
                  <c:v>0.51282507622748619</c:v>
                </c:pt>
                <c:pt idx="23">
                  <c:v>0.54038504660321829</c:v>
                </c:pt>
                <c:pt idx="24">
                  <c:v>0.57436125140378036</c:v>
                </c:pt>
                <c:pt idx="25">
                  <c:v>0.59900819842104636</c:v>
                </c:pt>
                <c:pt idx="26">
                  <c:v>0.61697455439813131</c:v>
                </c:pt>
                <c:pt idx="27">
                  <c:v>0.63211377088838838</c:v>
                </c:pt>
                <c:pt idx="28">
                  <c:v>0.64187018110115934</c:v>
                </c:pt>
                <c:pt idx="29">
                  <c:v>0.64940395151807184</c:v>
                </c:pt>
                <c:pt idx="30">
                  <c:v>0.6613186933886035</c:v>
                </c:pt>
                <c:pt idx="31">
                  <c:v>0.68158511595227789</c:v>
                </c:pt>
                <c:pt idx="32">
                  <c:v>0.69794767972719096</c:v>
                </c:pt>
                <c:pt idx="33">
                  <c:v>0.71650993064468871</c:v>
                </c:pt>
                <c:pt idx="34">
                  <c:v>0.73660927896538952</c:v>
                </c:pt>
                <c:pt idx="35">
                  <c:v>0.75416377629970799</c:v>
                </c:pt>
                <c:pt idx="36">
                  <c:v>0.76548402808706262</c:v>
                </c:pt>
                <c:pt idx="37">
                  <c:v>0.78046871427266151</c:v>
                </c:pt>
                <c:pt idx="38">
                  <c:v>0.80103992699894999</c:v>
                </c:pt>
                <c:pt idx="39">
                  <c:v>0.82133907635045955</c:v>
                </c:pt>
                <c:pt idx="40">
                  <c:v>0.84291259085600745</c:v>
                </c:pt>
                <c:pt idx="41">
                  <c:v>0.86498148516151907</c:v>
                </c:pt>
                <c:pt idx="42">
                  <c:v>0.89108422746065097</c:v>
                </c:pt>
                <c:pt idx="43">
                  <c:v>0.91786890023255541</c:v>
                </c:pt>
                <c:pt idx="44">
                  <c:v>0.94222570831136865</c:v>
                </c:pt>
                <c:pt idx="45">
                  <c:v>0.96460629733351422</c:v>
                </c:pt>
                <c:pt idx="46">
                  <c:v>0.9928077766079737</c:v>
                </c:pt>
                <c:pt idx="47">
                  <c:v>1.0202720490667885</c:v>
                </c:pt>
                <c:pt idx="48">
                  <c:v>1.0444077358098407</c:v>
                </c:pt>
                <c:pt idx="49">
                  <c:v>1.0643508097275556</c:v>
                </c:pt>
                <c:pt idx="50">
                  <c:v>1.0764835638890053</c:v>
                </c:pt>
                <c:pt idx="51">
                  <c:v>1.0836951350886059</c:v>
                </c:pt>
                <c:pt idx="52">
                  <c:v>1.0840403468252688</c:v>
                </c:pt>
                <c:pt idx="53">
                  <c:v>1.0859033790888866</c:v>
                </c:pt>
                <c:pt idx="54">
                  <c:v>1.0869027434393796</c:v>
                </c:pt>
                <c:pt idx="55">
                  <c:v>1.0929506618135503</c:v>
                </c:pt>
                <c:pt idx="56">
                  <c:v>1.1074729184870304</c:v>
                </c:pt>
                <c:pt idx="57">
                  <c:v>1.1258582052859163</c:v>
                </c:pt>
                <c:pt idx="58">
                  <c:v>1.1503581491597235</c:v>
                </c:pt>
                <c:pt idx="59">
                  <c:v>1.1748815764993399</c:v>
                </c:pt>
                <c:pt idx="60">
                  <c:v>1.2010717791434236</c:v>
                </c:pt>
                <c:pt idx="61">
                  <c:v>1.2218731010989148</c:v>
                </c:pt>
                <c:pt idx="62">
                  <c:v>1.2338343429456766</c:v>
                </c:pt>
                <c:pt idx="63">
                  <c:v>1.2495170994979534</c:v>
                </c:pt>
                <c:pt idx="64">
                  <c:v>1.2554751788484408</c:v>
                </c:pt>
                <c:pt idx="65">
                  <c:v>1.2460715913460421</c:v>
                </c:pt>
                <c:pt idx="66">
                  <c:v>1.2263145253153827</c:v>
                </c:pt>
                <c:pt idx="67">
                  <c:v>1.2062495560861937</c:v>
                </c:pt>
                <c:pt idx="68">
                  <c:v>1.1880043239749605</c:v>
                </c:pt>
                <c:pt idx="69">
                  <c:v>1.1659271202581949</c:v>
                </c:pt>
                <c:pt idx="70">
                  <c:v>1.1423915629826131</c:v>
                </c:pt>
                <c:pt idx="71">
                  <c:v>1.1232285520083185</c:v>
                </c:pt>
                <c:pt idx="72">
                  <c:v>1.1052835762022586</c:v>
                </c:pt>
                <c:pt idx="73">
                  <c:v>1.0840920152393316</c:v>
                </c:pt>
                <c:pt idx="74">
                  <c:v>1.064558417294585</c:v>
                </c:pt>
                <c:pt idx="75">
                  <c:v>1.0541111725281058</c:v>
                </c:pt>
                <c:pt idx="76">
                  <c:v>1.0481752755540539</c:v>
                </c:pt>
                <c:pt idx="77">
                  <c:v>1.0445955077505822</c:v>
                </c:pt>
                <c:pt idx="78">
                  <c:v>1.0468871092741256</c:v>
                </c:pt>
                <c:pt idx="79">
                  <c:v>1.0508112666534934</c:v>
                </c:pt>
                <c:pt idx="80">
                  <c:v>1.0587996121534426</c:v>
                </c:pt>
                <c:pt idx="81">
                  <c:v>1.0723695671937659</c:v>
                </c:pt>
                <c:pt idx="82">
                  <c:v>1.089445295568475</c:v>
                </c:pt>
                <c:pt idx="83">
                  <c:v>1.1045450204043878</c:v>
                </c:pt>
                <c:pt idx="84">
                  <c:v>1.1223331870038487</c:v>
                </c:pt>
                <c:pt idx="85">
                  <c:v>1.1397365264890817</c:v>
                </c:pt>
                <c:pt idx="86">
                  <c:v>1.1453077432787819</c:v>
                </c:pt>
                <c:pt idx="87">
                  <c:v>1.1453350182626916</c:v>
                </c:pt>
                <c:pt idx="88">
                  <c:v>1.1402867356318902</c:v>
                </c:pt>
                <c:pt idx="89">
                  <c:v>1.1230489936931043</c:v>
                </c:pt>
                <c:pt idx="90">
                  <c:v>1.0997978960609633</c:v>
                </c:pt>
                <c:pt idx="91">
                  <c:v>1.0722658073120397</c:v>
                </c:pt>
                <c:pt idx="92">
                  <c:v>1.0494252472779353</c:v>
                </c:pt>
                <c:pt idx="93">
                  <c:v>1.0230804943738314</c:v>
                </c:pt>
                <c:pt idx="94">
                  <c:v>0.99701237063051684</c:v>
                </c:pt>
                <c:pt idx="95">
                  <c:v>0.975149216070481</c:v>
                </c:pt>
                <c:pt idx="96">
                  <c:v>0.94804444338497063</c:v>
                </c:pt>
                <c:pt idx="97">
                  <c:v>0.91922972796362012</c:v>
                </c:pt>
                <c:pt idx="98">
                  <c:v>0.89215219035130311</c:v>
                </c:pt>
                <c:pt idx="99">
                  <c:v>0.86538637140205055</c:v>
                </c:pt>
                <c:pt idx="100">
                  <c:v>0.84071374183847525</c:v>
                </c:pt>
                <c:pt idx="101">
                  <c:v>0.8202016448660161</c:v>
                </c:pt>
                <c:pt idx="102">
                  <c:v>0.80945377661576479</c:v>
                </c:pt>
                <c:pt idx="103">
                  <c:v>0.8037210810656007</c:v>
                </c:pt>
                <c:pt idx="104">
                  <c:v>0.80440233305618558</c:v>
                </c:pt>
                <c:pt idx="105">
                  <c:v>0.81117605974526052</c:v>
                </c:pt>
                <c:pt idx="106">
                  <c:v>0.81845520777066838</c:v>
                </c:pt>
                <c:pt idx="107">
                  <c:v>0.82800205080021383</c:v>
                </c:pt>
                <c:pt idx="108">
                  <c:v>0.83973510711432431</c:v>
                </c:pt>
                <c:pt idx="109">
                  <c:v>0.85246838985041484</c:v>
                </c:pt>
                <c:pt idx="110">
                  <c:v>0.8600479298774385</c:v>
                </c:pt>
                <c:pt idx="111">
                  <c:v>0.86656856674653504</c:v>
                </c:pt>
                <c:pt idx="112">
                  <c:v>0.87724026140256284</c:v>
                </c:pt>
                <c:pt idx="113">
                  <c:v>0.88007098487176727</c:v>
                </c:pt>
                <c:pt idx="114">
                  <c:v>0.8671379011048681</c:v>
                </c:pt>
                <c:pt idx="115">
                  <c:v>0.84864270019171817</c:v>
                </c:pt>
                <c:pt idx="116">
                  <c:v>0.81878664232786791</c:v>
                </c:pt>
                <c:pt idx="117">
                  <c:v>0.77792094980394322</c:v>
                </c:pt>
                <c:pt idx="118">
                  <c:v>0.74110663406048238</c:v>
                </c:pt>
                <c:pt idx="119">
                  <c:v>0.70264789301400321</c:v>
                </c:pt>
                <c:pt idx="120">
                  <c:v>0.6709542739060419</c:v>
                </c:pt>
                <c:pt idx="121">
                  <c:v>0.64830506580398473</c:v>
                </c:pt>
                <c:pt idx="122">
                  <c:v>0.63061222595177235</c:v>
                </c:pt>
                <c:pt idx="123">
                  <c:v>0.61519467611311618</c:v>
                </c:pt>
                <c:pt idx="124">
                  <c:v>0.60049403449950156</c:v>
                </c:pt>
                <c:pt idx="125">
                  <c:v>0.5924739679617812</c:v>
                </c:pt>
                <c:pt idx="126">
                  <c:v>0.59412272756865425</c:v>
                </c:pt>
                <c:pt idx="127">
                  <c:v>0.59781963731721754</c:v>
                </c:pt>
                <c:pt idx="128">
                  <c:v>0.60501490099790267</c:v>
                </c:pt>
                <c:pt idx="129">
                  <c:v>0.6163604761351118</c:v>
                </c:pt>
                <c:pt idx="130">
                  <c:v>0.62730757469292064</c:v>
                </c:pt>
                <c:pt idx="131">
                  <c:v>0.63877242300750448</c:v>
                </c:pt>
                <c:pt idx="132">
                  <c:v>0.65021648182966896</c:v>
                </c:pt>
                <c:pt idx="133">
                  <c:v>0.65905416330431588</c:v>
                </c:pt>
                <c:pt idx="134">
                  <c:v>0.65893507770731108</c:v>
                </c:pt>
                <c:pt idx="135">
                  <c:v>0.65561563952785828</c:v>
                </c:pt>
                <c:pt idx="136">
                  <c:v>0.65428761441498984</c:v>
                </c:pt>
                <c:pt idx="137">
                  <c:v>0.64820637857437347</c:v>
                </c:pt>
                <c:pt idx="138">
                  <c:v>0.63678996989685799</c:v>
                </c:pt>
                <c:pt idx="139">
                  <c:v>0.63441439622501572</c:v>
                </c:pt>
                <c:pt idx="140">
                  <c:v>0.63223660410170734</c:v>
                </c:pt>
                <c:pt idx="141">
                  <c:v>0.63023286261468159</c:v>
                </c:pt>
                <c:pt idx="142">
                  <c:v>0.63332874490464319</c:v>
                </c:pt>
                <c:pt idx="143">
                  <c:v>0.63678681295915385</c:v>
                </c:pt>
                <c:pt idx="144">
                  <c:v>0.64032037213462867</c:v>
                </c:pt>
                <c:pt idx="145">
                  <c:v>0.64105713594131419</c:v>
                </c:pt>
                <c:pt idx="146">
                  <c:v>0.64418318674216013</c:v>
                </c:pt>
                <c:pt idx="147">
                  <c:v>0.64345590971287525</c:v>
                </c:pt>
                <c:pt idx="148">
                  <c:v>0.64438334297834876</c:v>
                </c:pt>
                <c:pt idx="149">
                  <c:v>0.64357693097964852</c:v>
                </c:pt>
                <c:pt idx="150">
                  <c:v>0.6450033160542501</c:v>
                </c:pt>
                <c:pt idx="151">
                  <c:v>0.64163767722894538</c:v>
                </c:pt>
                <c:pt idx="152">
                  <c:v>0.64030310675850932</c:v>
                </c:pt>
                <c:pt idx="153">
                  <c:v>0.63997577103193415</c:v>
                </c:pt>
                <c:pt idx="154">
                  <c:v>0.63609238644092658</c:v>
                </c:pt>
                <c:pt idx="155">
                  <c:v>0.63583713745116688</c:v>
                </c:pt>
                <c:pt idx="156">
                  <c:v>0.63848653056933002</c:v>
                </c:pt>
                <c:pt idx="157">
                  <c:v>0.63828673752066512</c:v>
                </c:pt>
                <c:pt idx="158">
                  <c:v>0.64102320384982936</c:v>
                </c:pt>
                <c:pt idx="159">
                  <c:v>0.64361372466953326</c:v>
                </c:pt>
                <c:pt idx="160">
                  <c:v>0.64965376466819336</c:v>
                </c:pt>
                <c:pt idx="161">
                  <c:v>0.65492017533099256</c:v>
                </c:pt>
                <c:pt idx="162">
                  <c:v>0.66553280212604915</c:v>
                </c:pt>
                <c:pt idx="163">
                  <c:v>0.67226595558035118</c:v>
                </c:pt>
                <c:pt idx="164">
                  <c:v>0.67423630776164156</c:v>
                </c:pt>
                <c:pt idx="165">
                  <c:v>0.68136386291115314</c:v>
                </c:pt>
                <c:pt idx="166">
                  <c:v>0.68223499013725986</c:v>
                </c:pt>
                <c:pt idx="167">
                  <c:v>0.68316146554553026</c:v>
                </c:pt>
                <c:pt idx="168">
                  <c:v>0.68197662412051618</c:v>
                </c:pt>
                <c:pt idx="169">
                  <c:v>0.68511729820802425</c:v>
                </c:pt>
                <c:pt idx="170">
                  <c:v>0.68022740524820047</c:v>
                </c:pt>
                <c:pt idx="171">
                  <c:v>0.67218202733383958</c:v>
                </c:pt>
                <c:pt idx="172">
                  <c:v>0.66988692564042784</c:v>
                </c:pt>
                <c:pt idx="173">
                  <c:v>0.66553012012587542</c:v>
                </c:pt>
                <c:pt idx="174">
                  <c:v>0.65648541378066616</c:v>
                </c:pt>
                <c:pt idx="175">
                  <c:v>0.65090267476700547</c:v>
                </c:pt>
                <c:pt idx="176">
                  <c:v>0.64619331793495749</c:v>
                </c:pt>
                <c:pt idx="177">
                  <c:v>0.64373415525769695</c:v>
                </c:pt>
                <c:pt idx="178">
                  <c:v>0.63989145964254091</c:v>
                </c:pt>
                <c:pt idx="179">
                  <c:v>0.63806932788157256</c:v>
                </c:pt>
                <c:pt idx="180">
                  <c:v>0.64047778798411803</c:v>
                </c:pt>
                <c:pt idx="181">
                  <c:v>0.64306156788374214</c:v>
                </c:pt>
                <c:pt idx="182">
                  <c:v>0.64881214742613968</c:v>
                </c:pt>
                <c:pt idx="183">
                  <c:v>0.65440577009229139</c:v>
                </c:pt>
                <c:pt idx="184">
                  <c:v>0.66567011893852146</c:v>
                </c:pt>
                <c:pt idx="185">
                  <c:v>0.67861484067045819</c:v>
                </c:pt>
                <c:pt idx="186">
                  <c:v>0.6940376826701713</c:v>
                </c:pt>
                <c:pt idx="187">
                  <c:v>0.71324032498632106</c:v>
                </c:pt>
                <c:pt idx="188">
                  <c:v>0.72905409245780273</c:v>
                </c:pt>
                <c:pt idx="189">
                  <c:v>0.74050834846813063</c:v>
                </c:pt>
                <c:pt idx="190">
                  <c:v>0.75182480873738067</c:v>
                </c:pt>
                <c:pt idx="191">
                  <c:v>0.75383949374297221</c:v>
                </c:pt>
                <c:pt idx="192">
                  <c:v>0.74626427205551682</c:v>
                </c:pt>
                <c:pt idx="193">
                  <c:v>0.73829427750318644</c:v>
                </c:pt>
                <c:pt idx="194">
                  <c:v>0.72868587618393754</c:v>
                </c:pt>
                <c:pt idx="195">
                  <c:v>0.71935195682891129</c:v>
                </c:pt>
                <c:pt idx="196">
                  <c:v>0.7177655217975033</c:v>
                </c:pt>
                <c:pt idx="197">
                  <c:v>0.71685896582802755</c:v>
                </c:pt>
                <c:pt idx="198">
                  <c:v>0.71964919588388976</c:v>
                </c:pt>
                <c:pt idx="199">
                  <c:v>0.72446675466045152</c:v>
                </c:pt>
                <c:pt idx="200">
                  <c:v>0.72723971934019782</c:v>
                </c:pt>
                <c:pt idx="201">
                  <c:v>0.72447357939303647</c:v>
                </c:pt>
                <c:pt idx="202">
                  <c:v>0.71756996726697142</c:v>
                </c:pt>
                <c:pt idx="203">
                  <c:v>0.70573707828567367</c:v>
                </c:pt>
                <c:pt idx="204">
                  <c:v>0.69244280652214985</c:v>
                </c:pt>
                <c:pt idx="205">
                  <c:v>0.68218609152694998</c:v>
                </c:pt>
                <c:pt idx="206">
                  <c:v>0.67530199574143412</c:v>
                </c:pt>
                <c:pt idx="207">
                  <c:v>0.67074914878560277</c:v>
                </c:pt>
                <c:pt idx="208">
                  <c:v>0.66701706572225949</c:v>
                </c:pt>
                <c:pt idx="209">
                  <c:v>0.6664024247181326</c:v>
                </c:pt>
                <c:pt idx="210">
                  <c:v>0.67023337460931298</c:v>
                </c:pt>
                <c:pt idx="211">
                  <c:v>0.67528123019544517</c:v>
                </c:pt>
                <c:pt idx="212">
                  <c:v>0.68147643907023658</c:v>
                </c:pt>
                <c:pt idx="213">
                  <c:v>0.68543351081780335</c:v>
                </c:pt>
                <c:pt idx="214">
                  <c:v>0.69058938076808096</c:v>
                </c:pt>
                <c:pt idx="215">
                  <c:v>0.69455601113234389</c:v>
                </c:pt>
                <c:pt idx="216">
                  <c:v>0.69797806774701732</c:v>
                </c:pt>
                <c:pt idx="217">
                  <c:v>0.6985425010693207</c:v>
                </c:pt>
                <c:pt idx="218">
                  <c:v>0.69649234341856947</c:v>
                </c:pt>
                <c:pt idx="219">
                  <c:v>0.68945455146238066</c:v>
                </c:pt>
                <c:pt idx="220">
                  <c:v>0.67525364390794262</c:v>
                </c:pt>
                <c:pt idx="221">
                  <c:v>0.66252297532380833</c:v>
                </c:pt>
                <c:pt idx="222">
                  <c:v>0.64752810791433624</c:v>
                </c:pt>
                <c:pt idx="223">
                  <c:v>0.63447756291660995</c:v>
                </c:pt>
                <c:pt idx="224">
                  <c:v>0.62218481068229026</c:v>
                </c:pt>
                <c:pt idx="225">
                  <c:v>0.61092299616658152</c:v>
                </c:pt>
                <c:pt idx="226">
                  <c:v>0.5983590386378963</c:v>
                </c:pt>
                <c:pt idx="227">
                  <c:v>0.59058899677709653</c:v>
                </c:pt>
                <c:pt idx="228">
                  <c:v>0.58327079611522847</c:v>
                </c:pt>
                <c:pt idx="229">
                  <c:v>0.57907721345947061</c:v>
                </c:pt>
                <c:pt idx="230">
                  <c:v>0.57755199348560526</c:v>
                </c:pt>
                <c:pt idx="231">
                  <c:v>0.57496831336277343</c:v>
                </c:pt>
                <c:pt idx="232">
                  <c:v>0.57393619029587073</c:v>
                </c:pt>
                <c:pt idx="233">
                  <c:v>0.57717241063957236</c:v>
                </c:pt>
                <c:pt idx="234">
                  <c:v>0.57885091570373071</c:v>
                </c:pt>
                <c:pt idx="235">
                  <c:v>0.57869230652380677</c:v>
                </c:pt>
                <c:pt idx="236">
                  <c:v>0.58326588310598138</c:v>
                </c:pt>
                <c:pt idx="237">
                  <c:v>0.58905531573125447</c:v>
                </c:pt>
                <c:pt idx="238">
                  <c:v>0.59495008471156929</c:v>
                </c:pt>
                <c:pt idx="239">
                  <c:v>0.59862885503931429</c:v>
                </c:pt>
                <c:pt idx="240">
                  <c:v>0.60499061133561383</c:v>
                </c:pt>
                <c:pt idx="241">
                  <c:v>0.6090720768055331</c:v>
                </c:pt>
                <c:pt idx="242">
                  <c:v>0.61907713876656401</c:v>
                </c:pt>
                <c:pt idx="243">
                  <c:v>0.6263561351312481</c:v>
                </c:pt>
                <c:pt idx="244">
                  <c:v>0.63063582914973071</c:v>
                </c:pt>
                <c:pt idx="245">
                  <c:v>0.63923270133198273</c:v>
                </c:pt>
                <c:pt idx="246">
                  <c:v>0.63863532969504633</c:v>
                </c:pt>
                <c:pt idx="247">
                  <c:v>0.63786529232370381</c:v>
                </c:pt>
                <c:pt idx="248">
                  <c:v>0.63611091299569866</c:v>
                </c:pt>
                <c:pt idx="249">
                  <c:v>0.6296636240420691</c:v>
                </c:pt>
                <c:pt idx="250">
                  <c:v>0.61785223895502295</c:v>
                </c:pt>
                <c:pt idx="251">
                  <c:v>0.60887662205179205</c:v>
                </c:pt>
                <c:pt idx="252">
                  <c:v>0.6067511808158057</c:v>
                </c:pt>
                <c:pt idx="253">
                  <c:v>0.60538455804864943</c:v>
                </c:pt>
                <c:pt idx="254">
                  <c:v>0.60730712911969975</c:v>
                </c:pt>
                <c:pt idx="255">
                  <c:v>0.61200736635294228</c:v>
                </c:pt>
                <c:pt idx="256">
                  <c:v>0.61253471862819686</c:v>
                </c:pt>
                <c:pt idx="257">
                  <c:v>0.61110206757104613</c:v>
                </c:pt>
                <c:pt idx="258">
                  <c:v>0.60970084620343301</c:v>
                </c:pt>
                <c:pt idx="259">
                  <c:v>0.60833001684671784</c:v>
                </c:pt>
                <c:pt idx="260">
                  <c:v>0.60254192921260374</c:v>
                </c:pt>
                <c:pt idx="261">
                  <c:v>0.59809514897793359</c:v>
                </c:pt>
                <c:pt idx="262">
                  <c:v>0.60031988408642745</c:v>
                </c:pt>
                <c:pt idx="263">
                  <c:v>0.59355057551370993</c:v>
                </c:pt>
                <c:pt idx="264">
                  <c:v>0.58828182608290236</c:v>
                </c:pt>
                <c:pt idx="265">
                  <c:v>0.58055020227816456</c:v>
                </c:pt>
                <c:pt idx="266">
                  <c:v>0.57357757254941066</c:v>
                </c:pt>
                <c:pt idx="267">
                  <c:v>0.56732108475993492</c:v>
                </c:pt>
                <c:pt idx="268">
                  <c:v>0.55389238172876776</c:v>
                </c:pt>
                <c:pt idx="269">
                  <c:v>0.53641620917631383</c:v>
                </c:pt>
                <c:pt idx="270">
                  <c:v>0.53363445615671434</c:v>
                </c:pt>
                <c:pt idx="271">
                  <c:v>0.52873289330327888</c:v>
                </c:pt>
                <c:pt idx="272">
                  <c:v>0.52384155956657819</c:v>
                </c:pt>
                <c:pt idx="273">
                  <c:v>0.52185458457171063</c:v>
                </c:pt>
                <c:pt idx="274">
                  <c:v>0.51561028152409571</c:v>
                </c:pt>
                <c:pt idx="275">
                  <c:v>0.51034122877183985</c:v>
                </c:pt>
                <c:pt idx="276">
                  <c:v>0.50512253137106222</c:v>
                </c:pt>
                <c:pt idx="277">
                  <c:v>0.49572936854790883</c:v>
                </c:pt>
                <c:pt idx="278">
                  <c:v>0.49413902226625067</c:v>
                </c:pt>
                <c:pt idx="279">
                  <c:v>0.49127769925042142</c:v>
                </c:pt>
                <c:pt idx="280">
                  <c:v>0.49165144315857634</c:v>
                </c:pt>
                <c:pt idx="281">
                  <c:v>0.48847120956850409</c:v>
                </c:pt>
                <c:pt idx="282">
                  <c:v>0.48858494712944783</c:v>
                </c:pt>
                <c:pt idx="283">
                  <c:v>0.50186852681192218</c:v>
                </c:pt>
                <c:pt idx="284">
                  <c:v>0.51224394426124598</c:v>
                </c:pt>
                <c:pt idx="285">
                  <c:v>0.50094249840368266</c:v>
                </c:pt>
                <c:pt idx="286">
                  <c:v>0.48353692391830483</c:v>
                </c:pt>
                <c:pt idx="287">
                  <c:v>0.49219364621157902</c:v>
                </c:pt>
                <c:pt idx="288">
                  <c:v>0.49244855995131698</c:v>
                </c:pt>
                <c:pt idx="289">
                  <c:v>0.47992957381840406</c:v>
                </c:pt>
                <c:pt idx="290">
                  <c:v>0.46337333730325936</c:v>
                </c:pt>
                <c:pt idx="291">
                  <c:v>0.44016466675868715</c:v>
                </c:pt>
                <c:pt idx="292">
                  <c:v>0.42866330213370102</c:v>
                </c:pt>
                <c:pt idx="293">
                  <c:v>0.41365833132625246</c:v>
                </c:pt>
                <c:pt idx="294">
                  <c:v>0.39425214834512345</c:v>
                </c:pt>
                <c:pt idx="295">
                  <c:v>0.38133448607922521</c:v>
                </c:pt>
                <c:pt idx="296">
                  <c:v>0.37946830386227637</c:v>
                </c:pt>
                <c:pt idx="297">
                  <c:v>0.38316542613540727</c:v>
                </c:pt>
                <c:pt idx="298">
                  <c:v>0.38062922380136682</c:v>
                </c:pt>
                <c:pt idx="299">
                  <c:v>0.37614853941271326</c:v>
                </c:pt>
                <c:pt idx="300">
                  <c:v>0.37615845523032021</c:v>
                </c:pt>
                <c:pt idx="301">
                  <c:v>0.36799365946223639</c:v>
                </c:pt>
                <c:pt idx="302">
                  <c:v>0.35671656013973352</c:v>
                </c:pt>
                <c:pt idx="303">
                  <c:v>0.36976573819540676</c:v>
                </c:pt>
                <c:pt idx="304">
                  <c:v>0.37741929065133384</c:v>
                </c:pt>
                <c:pt idx="305">
                  <c:v>0.3816349279692357</c:v>
                </c:pt>
                <c:pt idx="306">
                  <c:v>0.38276726085959789</c:v>
                </c:pt>
                <c:pt idx="307">
                  <c:v>0.38478316314205524</c:v>
                </c:pt>
                <c:pt idx="308">
                  <c:v>0.39099638771444112</c:v>
                </c:pt>
                <c:pt idx="309">
                  <c:v>0.39460600075198893</c:v>
                </c:pt>
                <c:pt idx="310">
                  <c:v>0.3948928570339757</c:v>
                </c:pt>
                <c:pt idx="311">
                  <c:v>0.38573591576631289</c:v>
                </c:pt>
                <c:pt idx="312">
                  <c:v>0.38524741856946992</c:v>
                </c:pt>
                <c:pt idx="313">
                  <c:v>0.40843101520616654</c:v>
                </c:pt>
                <c:pt idx="314">
                  <c:v>0.41329858211096948</c:v>
                </c:pt>
                <c:pt idx="315">
                  <c:v>0.418129383263389</c:v>
                </c:pt>
                <c:pt idx="316">
                  <c:v>0.42260052699517442</c:v>
                </c:pt>
                <c:pt idx="317">
                  <c:v>0.42839079974103722</c:v>
                </c:pt>
                <c:pt idx="318">
                  <c:v>0.44062157462312557</c:v>
                </c:pt>
                <c:pt idx="319">
                  <c:v>0.45009547083990531</c:v>
                </c:pt>
                <c:pt idx="320">
                  <c:v>0.45497666126791253</c:v>
                </c:pt>
                <c:pt idx="321">
                  <c:v>0.47188555685948819</c:v>
                </c:pt>
                <c:pt idx="322">
                  <c:v>0.48238069448621501</c:v>
                </c:pt>
                <c:pt idx="323">
                  <c:v>0.49272892475520458</c:v>
                </c:pt>
                <c:pt idx="324">
                  <c:v>0.50436440335763422</c:v>
                </c:pt>
                <c:pt idx="325">
                  <c:v>0.5133359453766726</c:v>
                </c:pt>
                <c:pt idx="326">
                  <c:v>0.52100911993655008</c:v>
                </c:pt>
                <c:pt idx="327">
                  <c:v>0.52590274853947083</c:v>
                </c:pt>
                <c:pt idx="328">
                  <c:v>0.52862214904610061</c:v>
                </c:pt>
                <c:pt idx="329">
                  <c:v>0.53067495676844967</c:v>
                </c:pt>
                <c:pt idx="330">
                  <c:v>0.52841351976472017</c:v>
                </c:pt>
                <c:pt idx="331">
                  <c:v>0.5260746200506119</c:v>
                </c:pt>
                <c:pt idx="332">
                  <c:v>0.52425128298599399</c:v>
                </c:pt>
                <c:pt idx="333">
                  <c:v>0.52083955127377313</c:v>
                </c:pt>
                <c:pt idx="334">
                  <c:v>0.51732783922471404</c:v>
                </c:pt>
                <c:pt idx="335">
                  <c:v>0.51197905284228995</c:v>
                </c:pt>
                <c:pt idx="336">
                  <c:v>0.50422195003590031</c:v>
                </c:pt>
                <c:pt idx="337">
                  <c:v>0.49904609279861434</c:v>
                </c:pt>
                <c:pt idx="338">
                  <c:v>0.4941065070052143</c:v>
                </c:pt>
                <c:pt idx="339">
                  <c:v>0.48768073391905065</c:v>
                </c:pt>
                <c:pt idx="340">
                  <c:v>0.4822235101188832</c:v>
                </c:pt>
                <c:pt idx="341">
                  <c:v>0.47605338912071998</c:v>
                </c:pt>
                <c:pt idx="342">
                  <c:v>0.47052889780279922</c:v>
                </c:pt>
                <c:pt idx="343">
                  <c:v>0.46639737631177841</c:v>
                </c:pt>
                <c:pt idx="344">
                  <c:v>0.46253706011512274</c:v>
                </c:pt>
                <c:pt idx="345">
                  <c:v>0.4602388613500813</c:v>
                </c:pt>
                <c:pt idx="346">
                  <c:v>0.45959763182637386</c:v>
                </c:pt>
                <c:pt idx="347">
                  <c:v>0.45798898648102959</c:v>
                </c:pt>
                <c:pt idx="348">
                  <c:v>0.45751636776289439</c:v>
                </c:pt>
                <c:pt idx="349">
                  <c:v>0.45701354461422966</c:v>
                </c:pt>
                <c:pt idx="350">
                  <c:v>0.45457404794270784</c:v>
                </c:pt>
                <c:pt idx="351">
                  <c:v>0.45725506631292101</c:v>
                </c:pt>
                <c:pt idx="352">
                  <c:v>0.45973367748251381</c:v>
                </c:pt>
                <c:pt idx="353">
                  <c:v>0.4633218105722407</c:v>
                </c:pt>
                <c:pt idx="354">
                  <c:v>0.46418548447197439</c:v>
                </c:pt>
                <c:pt idx="355">
                  <c:v>0.46366357601850133</c:v>
                </c:pt>
                <c:pt idx="356">
                  <c:v>0.46918023485823557</c:v>
                </c:pt>
                <c:pt idx="357">
                  <c:v>0.47425113888336151</c:v>
                </c:pt>
                <c:pt idx="358">
                  <c:v>0.47229238675193058</c:v>
                </c:pt>
                <c:pt idx="359">
                  <c:v>0.47906046208349656</c:v>
                </c:pt>
                <c:pt idx="360">
                  <c:v>0.4925880997907191</c:v>
                </c:pt>
                <c:pt idx="361">
                  <c:v>0.49801652002651997</c:v>
                </c:pt>
                <c:pt idx="362">
                  <c:v>0.50305417044234746</c:v>
                </c:pt>
                <c:pt idx="363">
                  <c:v>0.50604189468958438</c:v>
                </c:pt>
                <c:pt idx="364">
                  <c:v>0.51252034992201967</c:v>
                </c:pt>
                <c:pt idx="365">
                  <c:v>0.5164247475054613</c:v>
                </c:pt>
                <c:pt idx="366">
                  <c:v>0.51747247566266097</c:v>
                </c:pt>
                <c:pt idx="367">
                  <c:v>0.52062711451000276</c:v>
                </c:pt>
                <c:pt idx="368">
                  <c:v>0.52634056910356497</c:v>
                </c:pt>
                <c:pt idx="369">
                  <c:v>0.52786696245250619</c:v>
                </c:pt>
                <c:pt idx="370">
                  <c:v>0.53030576268201868</c:v>
                </c:pt>
                <c:pt idx="371">
                  <c:v>0.53196306717337405</c:v>
                </c:pt>
                <c:pt idx="372">
                  <c:v>0.53226724271094805</c:v>
                </c:pt>
                <c:pt idx="373">
                  <c:v>0.53238019003969783</c:v>
                </c:pt>
                <c:pt idx="374">
                  <c:v>0.53084699191352969</c:v>
                </c:pt>
                <c:pt idx="375">
                  <c:v>0.53569232056689131</c:v>
                </c:pt>
                <c:pt idx="376">
                  <c:v>0.53451983150874727</c:v>
                </c:pt>
                <c:pt idx="377">
                  <c:v>0.5343186934689238</c:v>
                </c:pt>
                <c:pt idx="378">
                  <c:v>0.53525467161887974</c:v>
                </c:pt>
                <c:pt idx="379">
                  <c:v>0.53267276752294856</c:v>
                </c:pt>
                <c:pt idx="380">
                  <c:v>0.53000575382328619</c:v>
                </c:pt>
                <c:pt idx="381">
                  <c:v>0.52562579211080407</c:v>
                </c:pt>
                <c:pt idx="382">
                  <c:v>0.52286688797661407</c:v>
                </c:pt>
                <c:pt idx="383">
                  <c:v>0.51484259090290507</c:v>
                </c:pt>
                <c:pt idx="384">
                  <c:v>0.50618752889545271</c:v>
                </c:pt>
                <c:pt idx="385">
                  <c:v>0.4996674467853191</c:v>
                </c:pt>
                <c:pt idx="386">
                  <c:v>0.49577167390779392</c:v>
                </c:pt>
                <c:pt idx="387">
                  <c:v>0.492188621452325</c:v>
                </c:pt>
                <c:pt idx="388">
                  <c:v>0.48677411010135441</c:v>
                </c:pt>
                <c:pt idx="389">
                  <c:v>0.48159453917186307</c:v>
                </c:pt>
                <c:pt idx="390">
                  <c:v>0.47493906594134627</c:v>
                </c:pt>
                <c:pt idx="391">
                  <c:v>0.46671649242621338</c:v>
                </c:pt>
                <c:pt idx="392">
                  <c:v>0.46526055745683947</c:v>
                </c:pt>
                <c:pt idx="393">
                  <c:v>0.46341481451576916</c:v>
                </c:pt>
                <c:pt idx="394">
                  <c:v>0.46019554624905956</c:v>
                </c:pt>
                <c:pt idx="395">
                  <c:v>0.45529383572597182</c:v>
                </c:pt>
                <c:pt idx="396">
                  <c:v>0.44961775153215355</c:v>
                </c:pt>
                <c:pt idx="397">
                  <c:v>0.44422748195061168</c:v>
                </c:pt>
                <c:pt idx="398">
                  <c:v>0.43916426073848347</c:v>
                </c:pt>
                <c:pt idx="399">
                  <c:v>0.4323165535490775</c:v>
                </c:pt>
                <c:pt idx="400">
                  <c:v>0.42883660444404142</c:v>
                </c:pt>
                <c:pt idx="401">
                  <c:v>0.42348092747634924</c:v>
                </c:pt>
                <c:pt idx="402">
                  <c:v>0.41707071557869446</c:v>
                </c:pt>
                <c:pt idx="403">
                  <c:v>0.41518658451460022</c:v>
                </c:pt>
                <c:pt idx="404">
                  <c:v>0.41460939373165095</c:v>
                </c:pt>
                <c:pt idx="405">
                  <c:v>0.40799505448147849</c:v>
                </c:pt>
                <c:pt idx="406">
                  <c:v>0.40332472035285344</c:v>
                </c:pt>
                <c:pt idx="407">
                  <c:v>0.39521789988986689</c:v>
                </c:pt>
                <c:pt idx="408">
                  <c:v>0.39021589772634946</c:v>
                </c:pt>
                <c:pt idx="409">
                  <c:v>0.3901297344796929</c:v>
                </c:pt>
                <c:pt idx="410">
                  <c:v>0.38788304648138328</c:v>
                </c:pt>
                <c:pt idx="411">
                  <c:v>0.38093940789736619</c:v>
                </c:pt>
                <c:pt idx="412">
                  <c:v>0.377562452388292</c:v>
                </c:pt>
                <c:pt idx="413">
                  <c:v>0.37441256092072234</c:v>
                </c:pt>
                <c:pt idx="414">
                  <c:v>0.37035591792116251</c:v>
                </c:pt>
                <c:pt idx="415">
                  <c:v>0.3654535748132125</c:v>
                </c:pt>
                <c:pt idx="416">
                  <c:v>0.3611403518014849</c:v>
                </c:pt>
                <c:pt idx="417">
                  <c:v>0.35854172411741625</c:v>
                </c:pt>
                <c:pt idx="418">
                  <c:v>0.34664728482855789</c:v>
                </c:pt>
                <c:pt idx="419">
                  <c:v>0.34118405147219705</c:v>
                </c:pt>
                <c:pt idx="420">
                  <c:v>0.3391069999848832</c:v>
                </c:pt>
                <c:pt idx="421">
                  <c:v>0.3381782077595003</c:v>
                </c:pt>
                <c:pt idx="422">
                  <c:v>0.33245504887513033</c:v>
                </c:pt>
                <c:pt idx="423">
                  <c:v>0.32635866791522905</c:v>
                </c:pt>
                <c:pt idx="424">
                  <c:v>0.32513556707925095</c:v>
                </c:pt>
                <c:pt idx="425">
                  <c:v>0.32023512871026372</c:v>
                </c:pt>
                <c:pt idx="426">
                  <c:v>0.3149592532209583</c:v>
                </c:pt>
                <c:pt idx="427">
                  <c:v>0.309995460081123</c:v>
                </c:pt>
                <c:pt idx="428">
                  <c:v>0.30606211575361797</c:v>
                </c:pt>
                <c:pt idx="429">
                  <c:v>0.30336673201975051</c:v>
                </c:pt>
                <c:pt idx="430">
                  <c:v>0.29902896740933421</c:v>
                </c:pt>
                <c:pt idx="431">
                  <c:v>0.29640481382852146</c:v>
                </c:pt>
                <c:pt idx="432">
                  <c:v>0.29569718659124661</c:v>
                </c:pt>
                <c:pt idx="433">
                  <c:v>0.29685425364950696</c:v>
                </c:pt>
                <c:pt idx="434">
                  <c:v>0.29909659911237885</c:v>
                </c:pt>
                <c:pt idx="435">
                  <c:v>0.3052996564296413</c:v>
                </c:pt>
                <c:pt idx="436">
                  <c:v>0.30598320846237032</c:v>
                </c:pt>
                <c:pt idx="437">
                  <c:v>0.3174481418990297</c:v>
                </c:pt>
                <c:pt idx="438">
                  <c:v>0.31093338263131681</c:v>
                </c:pt>
                <c:pt idx="439">
                  <c:v>0.30512293302253896</c:v>
                </c:pt>
                <c:pt idx="440">
                  <c:v>0.31606709190660803</c:v>
                </c:pt>
                <c:pt idx="441">
                  <c:v>0.31770062308057445</c:v>
                </c:pt>
                <c:pt idx="442">
                  <c:v>0.31667909730676935</c:v>
                </c:pt>
                <c:pt idx="443">
                  <c:v>0.32006375708085172</c:v>
                </c:pt>
                <c:pt idx="444">
                  <c:v>0.32756461412732735</c:v>
                </c:pt>
                <c:pt idx="445">
                  <c:v>0.3395591115789216</c:v>
                </c:pt>
                <c:pt idx="446">
                  <c:v>0.35041134735156348</c:v>
                </c:pt>
                <c:pt idx="447">
                  <c:v>0.3484250079348617</c:v>
                </c:pt>
                <c:pt idx="448">
                  <c:v>0.34633169981479767</c:v>
                </c:pt>
                <c:pt idx="449">
                  <c:v>0.34574396362268278</c:v>
                </c:pt>
                <c:pt idx="450">
                  <c:v>0.33993853977092697</c:v>
                </c:pt>
                <c:pt idx="451">
                  <c:v>0.34087464613406115</c:v>
                </c:pt>
                <c:pt idx="452">
                  <c:v>0.33623447303306042</c:v>
                </c:pt>
                <c:pt idx="453">
                  <c:v>0.34223787599139938</c:v>
                </c:pt>
                <c:pt idx="454">
                  <c:v>0.33943674631875786</c:v>
                </c:pt>
                <c:pt idx="455">
                  <c:v>0.34518090522457817</c:v>
                </c:pt>
                <c:pt idx="456">
                  <c:v>0.35672551909790329</c:v>
                </c:pt>
                <c:pt idx="457">
                  <c:v>0.35918049813426794</c:v>
                </c:pt>
                <c:pt idx="458">
                  <c:v>0.35452756208489566</c:v>
                </c:pt>
                <c:pt idx="459">
                  <c:v>0.3502262244846529</c:v>
                </c:pt>
                <c:pt idx="460">
                  <c:v>0.35383321039926241</c:v>
                </c:pt>
                <c:pt idx="461">
                  <c:v>0.35502319432014773</c:v>
                </c:pt>
                <c:pt idx="462">
                  <c:v>0.35330046019955064</c:v>
                </c:pt>
                <c:pt idx="463">
                  <c:v>0.35407060932090056</c:v>
                </c:pt>
                <c:pt idx="464">
                  <c:v>0.35279487722481456</c:v>
                </c:pt>
                <c:pt idx="465">
                  <c:v>0.35651835952867161</c:v>
                </c:pt>
                <c:pt idx="466">
                  <c:v>0.35816030338287086</c:v>
                </c:pt>
                <c:pt idx="467">
                  <c:v>0.35709963916456466</c:v>
                </c:pt>
                <c:pt idx="468">
                  <c:v>0.35955554911840037</c:v>
                </c:pt>
                <c:pt idx="469">
                  <c:v>0.3597453784565981</c:v>
                </c:pt>
                <c:pt idx="470">
                  <c:v>0.35928358951148637</c:v>
                </c:pt>
                <c:pt idx="471">
                  <c:v>0.35977751257028839</c:v>
                </c:pt>
                <c:pt idx="472">
                  <c:v>0.35755683039509301</c:v>
                </c:pt>
                <c:pt idx="473">
                  <c:v>0.35770563850072101</c:v>
                </c:pt>
                <c:pt idx="474">
                  <c:v>0.36133231137419575</c:v>
                </c:pt>
                <c:pt idx="475">
                  <c:v>0.36371420391028714</c:v>
                </c:pt>
                <c:pt idx="476">
                  <c:v>0.36700181129749826</c:v>
                </c:pt>
                <c:pt idx="477">
                  <c:v>0.36669437704989138</c:v>
                </c:pt>
                <c:pt idx="478">
                  <c:v>0.36805359538129989</c:v>
                </c:pt>
                <c:pt idx="479">
                  <c:v>0.37073664820030572</c:v>
                </c:pt>
                <c:pt idx="480">
                  <c:v>0.37231735803937482</c:v>
                </c:pt>
                <c:pt idx="481">
                  <c:v>0.37253148103093309</c:v>
                </c:pt>
                <c:pt idx="482">
                  <c:v>0.37312438266757919</c:v>
                </c:pt>
                <c:pt idx="483">
                  <c:v>0.37411407864691049</c:v>
                </c:pt>
                <c:pt idx="484">
                  <c:v>0.37468994838513137</c:v>
                </c:pt>
                <c:pt idx="485">
                  <c:v>0.37431560781175921</c:v>
                </c:pt>
                <c:pt idx="486">
                  <c:v>0.37617483259298906</c:v>
                </c:pt>
                <c:pt idx="487">
                  <c:v>0.3787085624581189</c:v>
                </c:pt>
                <c:pt idx="488">
                  <c:v>0.37916916006833212</c:v>
                </c:pt>
                <c:pt idx="489">
                  <c:v>0.38012946579575835</c:v>
                </c:pt>
                <c:pt idx="490">
                  <c:v>0.38320482799063982</c:v>
                </c:pt>
                <c:pt idx="491">
                  <c:v>0.38391669748767643</c:v>
                </c:pt>
                <c:pt idx="492">
                  <c:v>0.38878091388779756</c:v>
                </c:pt>
                <c:pt idx="493">
                  <c:v>0.39064170117359315</c:v>
                </c:pt>
                <c:pt idx="494">
                  <c:v>0.39445858652814769</c:v>
                </c:pt>
                <c:pt idx="495">
                  <c:v>0.39647793510100693</c:v>
                </c:pt>
                <c:pt idx="496">
                  <c:v>0.39785186751595836</c:v>
                </c:pt>
                <c:pt idx="497">
                  <c:v>0.40059549183219395</c:v>
                </c:pt>
                <c:pt idx="498">
                  <c:v>0.40378875627132532</c:v>
                </c:pt>
                <c:pt idx="499">
                  <c:v>0.4070571486438978</c:v>
                </c:pt>
                <c:pt idx="500">
                  <c:v>0.41119766601050134</c:v>
                </c:pt>
                <c:pt idx="501">
                  <c:v>0.41480536532917522</c:v>
                </c:pt>
                <c:pt idx="502">
                  <c:v>0.42080402789211757</c:v>
                </c:pt>
                <c:pt idx="503">
                  <c:v>0.42648641598366605</c:v>
                </c:pt>
                <c:pt idx="504">
                  <c:v>0.42978933511740502</c:v>
                </c:pt>
                <c:pt idx="505">
                  <c:v>0.43595682599932684</c:v>
                </c:pt>
                <c:pt idx="506">
                  <c:v>0.44258113893764539</c:v>
                </c:pt>
                <c:pt idx="507">
                  <c:v>0.44787373302624861</c:v>
                </c:pt>
                <c:pt idx="508">
                  <c:v>0.45239688640872655</c:v>
                </c:pt>
                <c:pt idx="509">
                  <c:v>0.45783777076140614</c:v>
                </c:pt>
                <c:pt idx="510">
                  <c:v>0.46170782716851466</c:v>
                </c:pt>
                <c:pt idx="511">
                  <c:v>0.46865251141331421</c:v>
                </c:pt>
                <c:pt idx="512">
                  <c:v>0.47458503792732676</c:v>
                </c:pt>
                <c:pt idx="513">
                  <c:v>0.48087169821875853</c:v>
                </c:pt>
                <c:pt idx="514">
                  <c:v>0.48830531668275062</c:v>
                </c:pt>
                <c:pt idx="515">
                  <c:v>0.49340820515637884</c:v>
                </c:pt>
                <c:pt idx="516">
                  <c:v>0.50105203336613957</c:v>
                </c:pt>
                <c:pt idx="517">
                  <c:v>0.51057841816221439</c:v>
                </c:pt>
                <c:pt idx="518">
                  <c:v>0.51737673384395477</c:v>
                </c:pt>
                <c:pt idx="519">
                  <c:v>0.52691743860524365</c:v>
                </c:pt>
                <c:pt idx="520">
                  <c:v>0.5357654809019905</c:v>
                </c:pt>
                <c:pt idx="521">
                  <c:v>0.54164080538104553</c:v>
                </c:pt>
                <c:pt idx="522">
                  <c:v>0.54969892678730381</c:v>
                </c:pt>
                <c:pt idx="523">
                  <c:v>0.56007586084386829</c:v>
                </c:pt>
                <c:pt idx="524">
                  <c:v>0.5669901131670525</c:v>
                </c:pt>
                <c:pt idx="525">
                  <c:v>0.57381183648423861</c:v>
                </c:pt>
                <c:pt idx="526">
                  <c:v>0.58254781747015083</c:v>
                </c:pt>
                <c:pt idx="527">
                  <c:v>0.58832406359456879</c:v>
                </c:pt>
                <c:pt idx="528">
                  <c:v>0.59299621565634775</c:v>
                </c:pt>
                <c:pt idx="529">
                  <c:v>0.6012916062744148</c:v>
                </c:pt>
                <c:pt idx="530">
                  <c:v>0.60086763073800376</c:v>
                </c:pt>
                <c:pt idx="531">
                  <c:v>0.60076188729364932</c:v>
                </c:pt>
                <c:pt idx="532">
                  <c:v>0.60899045539845631</c:v>
                </c:pt>
                <c:pt idx="533">
                  <c:v>0.60899901225615394</c:v>
                </c:pt>
                <c:pt idx="534">
                  <c:v>0.61015994716176325</c:v>
                </c:pt>
                <c:pt idx="535">
                  <c:v>0.6150618492562917</c:v>
                </c:pt>
                <c:pt idx="536">
                  <c:v>0.62054582520997903</c:v>
                </c:pt>
                <c:pt idx="537">
                  <c:v>0.62147477109162241</c:v>
                </c:pt>
                <c:pt idx="538">
                  <c:v>0.6264575043610332</c:v>
                </c:pt>
                <c:pt idx="539">
                  <c:v>0.63068463995646584</c:v>
                </c:pt>
                <c:pt idx="540">
                  <c:v>0.63171528632684404</c:v>
                </c:pt>
                <c:pt idx="541">
                  <c:v>0.62878646630663992</c:v>
                </c:pt>
                <c:pt idx="542">
                  <c:v>0.62874739371482158</c:v>
                </c:pt>
                <c:pt idx="543">
                  <c:v>0.62730299693369551</c:v>
                </c:pt>
                <c:pt idx="544">
                  <c:v>0.62380653077848192</c:v>
                </c:pt>
                <c:pt idx="545">
                  <c:v>0.61747009384096641</c:v>
                </c:pt>
                <c:pt idx="546">
                  <c:v>0.60863863843815158</c:v>
                </c:pt>
                <c:pt idx="547">
                  <c:v>0.60451936554613883</c:v>
                </c:pt>
                <c:pt idx="548">
                  <c:v>0.6020693464141138</c:v>
                </c:pt>
                <c:pt idx="549">
                  <c:v>0.59031375650925555</c:v>
                </c:pt>
                <c:pt idx="550">
                  <c:v>0.58432631883543351</c:v>
                </c:pt>
                <c:pt idx="551">
                  <c:v>0.58234448434089903</c:v>
                </c:pt>
                <c:pt idx="552">
                  <c:v>0.57854243779087788</c:v>
                </c:pt>
                <c:pt idx="553">
                  <c:v>0.57261123032605821</c:v>
                </c:pt>
                <c:pt idx="554">
                  <c:v>0.56810430863213224</c:v>
                </c:pt>
                <c:pt idx="555">
                  <c:v>0.56362745567229822</c:v>
                </c:pt>
                <c:pt idx="556">
                  <c:v>0.56302221364199478</c:v>
                </c:pt>
                <c:pt idx="557">
                  <c:v>0.55968070084503974</c:v>
                </c:pt>
                <c:pt idx="558">
                  <c:v>0.5527875772553682</c:v>
                </c:pt>
                <c:pt idx="559">
                  <c:v>0.55061505334668737</c:v>
                </c:pt>
                <c:pt idx="560">
                  <c:v>0.54455526951639055</c:v>
                </c:pt>
                <c:pt idx="561">
                  <c:v>0.53758699803791909</c:v>
                </c:pt>
                <c:pt idx="562">
                  <c:v>0.52537211560328934</c:v>
                </c:pt>
                <c:pt idx="563">
                  <c:v>0.50901117619455394</c:v>
                </c:pt>
                <c:pt idx="564">
                  <c:v>0.49612367844846811</c:v>
                </c:pt>
                <c:pt idx="565">
                  <c:v>0.48855242388626818</c:v>
                </c:pt>
                <c:pt idx="566">
                  <c:v>0.48210898631681681</c:v>
                </c:pt>
                <c:pt idx="567">
                  <c:v>0.48532089704287129</c:v>
                </c:pt>
                <c:pt idx="568">
                  <c:v>0.47037868384216958</c:v>
                </c:pt>
                <c:pt idx="569">
                  <c:v>0.46836900763154443</c:v>
                </c:pt>
                <c:pt idx="570">
                  <c:v>0.4656873906005784</c:v>
                </c:pt>
                <c:pt idx="571">
                  <c:v>0.45314868458245816</c:v>
                </c:pt>
                <c:pt idx="572">
                  <c:v>0.43373214676583655</c:v>
                </c:pt>
                <c:pt idx="573">
                  <c:v>0.42098842139067699</c:v>
                </c:pt>
                <c:pt idx="574">
                  <c:v>0.41863946617145265</c:v>
                </c:pt>
                <c:pt idx="575">
                  <c:v>0.41081632310185401</c:v>
                </c:pt>
                <c:pt idx="576">
                  <c:v>0.39013655123013502</c:v>
                </c:pt>
                <c:pt idx="577">
                  <c:v>0.3882778233373303</c:v>
                </c:pt>
                <c:pt idx="578">
                  <c:v>0.37136568699554462</c:v>
                </c:pt>
                <c:pt idx="579">
                  <c:v>0.38075577070689126</c:v>
                </c:pt>
                <c:pt idx="580">
                  <c:v>0.37708332523000265</c:v>
                </c:pt>
                <c:pt idx="581">
                  <c:v>0.36460412708850798</c:v>
                </c:pt>
                <c:pt idx="582">
                  <c:v>0.31761031385876037</c:v>
                </c:pt>
                <c:pt idx="583">
                  <c:v>0.2851088936097092</c:v>
                </c:pt>
                <c:pt idx="584">
                  <c:v>0.3787628524762171</c:v>
                </c:pt>
                <c:pt idx="585">
                  <c:v>0.40712595272425023</c:v>
                </c:pt>
                <c:pt idx="586">
                  <c:v>0.34007990253232218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3EE-8743-9942-47F0944A1E12}"/>
            </c:ext>
          </c:extLst>
        </c:ser>
        <c:ser>
          <c:idx val="1"/>
          <c:order val="1"/>
          <c:tx>
            <c:strRef>
              <c:f>'Fig 2d'!$Q$4</c:f>
              <c:strCache>
                <c:ptCount val="1"/>
                <c:pt idx="0">
                  <c:v>modified (60 min ox)</c:v>
                </c:pt>
              </c:strCache>
            </c:strRef>
          </c:tx>
          <c:spPr>
            <a:ln w="19050" cap="rnd">
              <a:solidFill>
                <a:srgbClr val="DF601E"/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2d'!$Q$5:$Q$591</c:f>
              <c:numCache>
                <c:formatCode>General</c:formatCode>
                <c:ptCount val="587"/>
                <c:pt idx="0">
                  <c:v>0.11121442155587445</c:v>
                </c:pt>
                <c:pt idx="1">
                  <c:v>0.14610698024759528</c:v>
                </c:pt>
                <c:pt idx="2">
                  <c:v>0.18818998660691175</c:v>
                </c:pt>
                <c:pt idx="3">
                  <c:v>0.24356403799183163</c:v>
                </c:pt>
                <c:pt idx="4">
                  <c:v>0.21208172114610913</c:v>
                </c:pt>
                <c:pt idx="5">
                  <c:v>0.21184088884942207</c:v>
                </c:pt>
                <c:pt idx="6">
                  <c:v>0.25897853933744691</c:v>
                </c:pt>
                <c:pt idx="7">
                  <c:v>0.2777284095211684</c:v>
                </c:pt>
                <c:pt idx="8">
                  <c:v>0.29413770142515039</c:v>
                </c:pt>
                <c:pt idx="9">
                  <c:v>0.30932868469154778</c:v>
                </c:pt>
                <c:pt idx="10">
                  <c:v>0.30974417991611231</c:v>
                </c:pt>
                <c:pt idx="11">
                  <c:v>0.32848608266156082</c:v>
                </c:pt>
                <c:pt idx="12">
                  <c:v>0.37594230583776056</c:v>
                </c:pt>
                <c:pt idx="13">
                  <c:v>0.37723037885811983</c:v>
                </c:pt>
                <c:pt idx="14">
                  <c:v>0.38109179845634022</c:v>
                </c:pt>
                <c:pt idx="15">
                  <c:v>0.39151449006953004</c:v>
                </c:pt>
                <c:pt idx="16">
                  <c:v>0.40063965296715409</c:v>
                </c:pt>
                <c:pt idx="17">
                  <c:v>0.41845297566115824</c:v>
                </c:pt>
                <c:pt idx="18">
                  <c:v>0.44729505664323671</c:v>
                </c:pt>
                <c:pt idx="19">
                  <c:v>0.4763974640309257</c:v>
                </c:pt>
                <c:pt idx="20">
                  <c:v>0.48380528655765398</c:v>
                </c:pt>
                <c:pt idx="21">
                  <c:v>0.49121406261727019</c:v>
                </c:pt>
                <c:pt idx="22">
                  <c:v>0.50945217946341081</c:v>
                </c:pt>
                <c:pt idx="23">
                  <c:v>0.54223018409415302</c:v>
                </c:pt>
                <c:pt idx="24">
                  <c:v>0.59616668491196723</c:v>
                </c:pt>
                <c:pt idx="25">
                  <c:v>0.61769645142397933</c:v>
                </c:pt>
                <c:pt idx="26">
                  <c:v>0.62106863973005022</c:v>
                </c:pt>
                <c:pt idx="27">
                  <c:v>0.64216570935847606</c:v>
                </c:pt>
                <c:pt idx="28">
                  <c:v>0.65718332269073454</c:v>
                </c:pt>
                <c:pt idx="29">
                  <c:v>0.66455459300439024</c:v>
                </c:pt>
                <c:pt idx="30">
                  <c:v>0.66939296828926842</c:v>
                </c:pt>
                <c:pt idx="31">
                  <c:v>0.69631827768619692</c:v>
                </c:pt>
                <c:pt idx="32">
                  <c:v>0.72385304065312006</c:v>
                </c:pt>
                <c:pt idx="33">
                  <c:v>0.73360963172930482</c:v>
                </c:pt>
                <c:pt idx="34">
                  <c:v>0.75134178057065304</c:v>
                </c:pt>
                <c:pt idx="35">
                  <c:v>0.75513265859001688</c:v>
                </c:pt>
                <c:pt idx="36">
                  <c:v>0.77417923791196741</c:v>
                </c:pt>
                <c:pt idx="37">
                  <c:v>0.78109595771951734</c:v>
                </c:pt>
                <c:pt idx="38">
                  <c:v>0.77436866685119377</c:v>
                </c:pt>
                <c:pt idx="39">
                  <c:v>0.81070148108377516</c:v>
                </c:pt>
                <c:pt idx="40">
                  <c:v>0.83517658298715491</c:v>
                </c:pt>
                <c:pt idx="41">
                  <c:v>0.83291573986885026</c:v>
                </c:pt>
                <c:pt idx="42">
                  <c:v>0.86694558719832737</c:v>
                </c:pt>
                <c:pt idx="43">
                  <c:v>0.89568190959163307</c:v>
                </c:pt>
                <c:pt idx="44">
                  <c:v>0.89235119421685183</c:v>
                </c:pt>
                <c:pt idx="45">
                  <c:v>0.90773075644907308</c:v>
                </c:pt>
                <c:pt idx="46">
                  <c:v>0.93831681972948333</c:v>
                </c:pt>
                <c:pt idx="47">
                  <c:v>0.94451274087968939</c:v>
                </c:pt>
                <c:pt idx="48">
                  <c:v>0.95547374462462664</c:v>
                </c:pt>
                <c:pt idx="49">
                  <c:v>0.97791133551036813</c:v>
                </c:pt>
                <c:pt idx="50">
                  <c:v>0.98334691434944088</c:v>
                </c:pt>
                <c:pt idx="51">
                  <c:v>0.97563188053853378</c:v>
                </c:pt>
                <c:pt idx="52">
                  <c:v>0.97121428572582524</c:v>
                </c:pt>
                <c:pt idx="53">
                  <c:v>0.98846133594126839</c:v>
                </c:pt>
                <c:pt idx="54">
                  <c:v>0.97736119681398503</c:v>
                </c:pt>
                <c:pt idx="55">
                  <c:v>0.96903403931245213</c:v>
                </c:pt>
                <c:pt idx="56">
                  <c:v>1.0026219199702677</c:v>
                </c:pt>
                <c:pt idx="57">
                  <c:v>0.99844362898766414</c:v>
                </c:pt>
                <c:pt idx="58">
                  <c:v>0.99682999008564188</c:v>
                </c:pt>
                <c:pt idx="59">
                  <c:v>1.0174861114249578</c:v>
                </c:pt>
                <c:pt idx="60">
                  <c:v>1.0228009791854153</c:v>
                </c:pt>
                <c:pt idx="61">
                  <c:v>1.0210850849334556</c:v>
                </c:pt>
                <c:pt idx="62">
                  <c:v>1.0157002795244916</c:v>
                </c:pt>
                <c:pt idx="63">
                  <c:v>1.0236699589675908</c:v>
                </c:pt>
                <c:pt idx="64">
                  <c:v>1.0271163450737102</c:v>
                </c:pt>
                <c:pt idx="65">
                  <c:v>1.0089877586670559</c:v>
                </c:pt>
                <c:pt idx="66">
                  <c:v>1.0059421999056919</c:v>
                </c:pt>
                <c:pt idx="67">
                  <c:v>1.0103744044620573</c:v>
                </c:pt>
                <c:pt idx="68">
                  <c:v>0.98652151037203439</c:v>
                </c:pt>
                <c:pt idx="69">
                  <c:v>0.96732358657578965</c:v>
                </c:pt>
                <c:pt idx="70">
                  <c:v>0.96637574374588597</c:v>
                </c:pt>
                <c:pt idx="71">
                  <c:v>0.94292622742076881</c:v>
                </c:pt>
                <c:pt idx="72">
                  <c:v>0.93073571118750942</c:v>
                </c:pt>
                <c:pt idx="73">
                  <c:v>0.94013572710113125</c:v>
                </c:pt>
                <c:pt idx="74">
                  <c:v>0.93757020654928036</c:v>
                </c:pt>
                <c:pt idx="75">
                  <c:v>0.92706925617581382</c:v>
                </c:pt>
                <c:pt idx="76">
                  <c:v>0.92383382574056871</c:v>
                </c:pt>
                <c:pt idx="77">
                  <c:v>0.92265395324164423</c:v>
                </c:pt>
                <c:pt idx="78">
                  <c:v>0.91275705248997085</c:v>
                </c:pt>
                <c:pt idx="79">
                  <c:v>0.90091049301738835</c:v>
                </c:pt>
                <c:pt idx="80">
                  <c:v>0.92227873294367591</c:v>
                </c:pt>
                <c:pt idx="81">
                  <c:v>0.91966444730152674</c:v>
                </c:pt>
                <c:pt idx="82">
                  <c:v>0.92192988174746504</c:v>
                </c:pt>
                <c:pt idx="83">
                  <c:v>0.93335494125942664</c:v>
                </c:pt>
                <c:pt idx="84">
                  <c:v>0.93192448908796188</c:v>
                </c:pt>
                <c:pt idx="85">
                  <c:v>0.93875279302092185</c:v>
                </c:pt>
                <c:pt idx="86">
                  <c:v>0.92713145900207738</c:v>
                </c:pt>
                <c:pt idx="87">
                  <c:v>0.9099642702906412</c:v>
                </c:pt>
                <c:pt idx="88">
                  <c:v>0.8898637637304474</c:v>
                </c:pt>
                <c:pt idx="89">
                  <c:v>0.8729158671570274</c:v>
                </c:pt>
                <c:pt idx="90">
                  <c:v>0.863678502056618</c:v>
                </c:pt>
                <c:pt idx="91">
                  <c:v>0.84060177152452198</c:v>
                </c:pt>
                <c:pt idx="92">
                  <c:v>0.81790937859605539</c:v>
                </c:pt>
                <c:pt idx="93">
                  <c:v>0.80563736304767475</c:v>
                </c:pt>
                <c:pt idx="94">
                  <c:v>0.78746911185834345</c:v>
                </c:pt>
                <c:pt idx="95">
                  <c:v>0.75758022667367819</c:v>
                </c:pt>
                <c:pt idx="96">
                  <c:v>0.7325171228691798</c:v>
                </c:pt>
                <c:pt idx="97">
                  <c:v>0.7231602216975006</c:v>
                </c:pt>
                <c:pt idx="98">
                  <c:v>0.71347725598738188</c:v>
                </c:pt>
                <c:pt idx="99">
                  <c:v>0.6914488945488253</c:v>
                </c:pt>
                <c:pt idx="100">
                  <c:v>0.670958016009507</c:v>
                </c:pt>
                <c:pt idx="101">
                  <c:v>0.66179257689972104</c:v>
                </c:pt>
                <c:pt idx="102">
                  <c:v>0.64511512813605731</c:v>
                </c:pt>
                <c:pt idx="103">
                  <c:v>0.6296715474298249</c:v>
                </c:pt>
                <c:pt idx="104">
                  <c:v>0.62918311475985766</c:v>
                </c:pt>
                <c:pt idx="105">
                  <c:v>0.63676385934380619</c:v>
                </c:pt>
                <c:pt idx="106">
                  <c:v>0.63795089365962876</c:v>
                </c:pt>
                <c:pt idx="107">
                  <c:v>0.64422873221959498</c:v>
                </c:pt>
                <c:pt idx="108">
                  <c:v>0.65572544882462003</c:v>
                </c:pt>
                <c:pt idx="109">
                  <c:v>0.66717897919594749</c:v>
                </c:pt>
                <c:pt idx="110">
                  <c:v>0.66716120881680085</c:v>
                </c:pt>
                <c:pt idx="111">
                  <c:v>0.66856742335497543</c:v>
                </c:pt>
                <c:pt idx="112">
                  <c:v>0.67494207253566696</c:v>
                </c:pt>
                <c:pt idx="113">
                  <c:v>0.67483265101219092</c:v>
                </c:pt>
                <c:pt idx="114">
                  <c:v>0.66715698594667372</c:v>
                </c:pt>
                <c:pt idx="115">
                  <c:v>0.66137339681441032</c:v>
                </c:pt>
                <c:pt idx="116">
                  <c:v>0.64064289776722305</c:v>
                </c:pt>
                <c:pt idx="117">
                  <c:v>0.60019350886298217</c:v>
                </c:pt>
                <c:pt idx="118">
                  <c:v>0.5802285584550636</c:v>
                </c:pt>
                <c:pt idx="119">
                  <c:v>0.55479651384268069</c:v>
                </c:pt>
                <c:pt idx="120">
                  <c:v>0.52650696378109441</c:v>
                </c:pt>
                <c:pt idx="121">
                  <c:v>0.50693264789345049</c:v>
                </c:pt>
                <c:pt idx="122">
                  <c:v>0.48186574859810771</c:v>
                </c:pt>
                <c:pt idx="123">
                  <c:v>0.46473792970336636</c:v>
                </c:pt>
                <c:pt idx="124">
                  <c:v>0.45488691194580672</c:v>
                </c:pt>
                <c:pt idx="125">
                  <c:v>0.43714886807003628</c:v>
                </c:pt>
                <c:pt idx="126">
                  <c:v>0.44011727980005277</c:v>
                </c:pt>
                <c:pt idx="127">
                  <c:v>0.43709220931867054</c:v>
                </c:pt>
                <c:pt idx="128">
                  <c:v>0.42559942276040053</c:v>
                </c:pt>
                <c:pt idx="129">
                  <c:v>0.43294572673909154</c:v>
                </c:pt>
                <c:pt idx="130">
                  <c:v>0.43904864747200595</c:v>
                </c:pt>
                <c:pt idx="131">
                  <c:v>0.4517181426797956</c:v>
                </c:pt>
                <c:pt idx="132">
                  <c:v>0.46528245583275052</c:v>
                </c:pt>
                <c:pt idx="133">
                  <c:v>0.47008810003530088</c:v>
                </c:pt>
                <c:pt idx="134">
                  <c:v>0.46121148533021822</c:v>
                </c:pt>
                <c:pt idx="135">
                  <c:v>0.44235644641826799</c:v>
                </c:pt>
                <c:pt idx="136">
                  <c:v>0.42754473148298688</c:v>
                </c:pt>
                <c:pt idx="137">
                  <c:v>0.41370729875697648</c:v>
                </c:pt>
                <c:pt idx="138">
                  <c:v>0.41031654144957674</c:v>
                </c:pt>
                <c:pt idx="139">
                  <c:v>0.41487218826957523</c:v>
                </c:pt>
                <c:pt idx="140">
                  <c:v>0.41904857018663344</c:v>
                </c:pt>
                <c:pt idx="141">
                  <c:v>0.42289113653059318</c:v>
                </c:pt>
                <c:pt idx="142">
                  <c:v>0.41878821478436701</c:v>
                </c:pt>
                <c:pt idx="143">
                  <c:v>0.43175699640458193</c:v>
                </c:pt>
                <c:pt idx="144">
                  <c:v>0.43372455041880292</c:v>
                </c:pt>
                <c:pt idx="145">
                  <c:v>0.44064866037406086</c:v>
                </c:pt>
                <c:pt idx="146">
                  <c:v>0.44924411657606006</c:v>
                </c:pt>
                <c:pt idx="147">
                  <c:v>0.45000584765560075</c:v>
                </c:pt>
                <c:pt idx="148">
                  <c:v>0.4380282723642579</c:v>
                </c:pt>
                <c:pt idx="149">
                  <c:v>0.43675308092971782</c:v>
                </c:pt>
                <c:pt idx="150">
                  <c:v>0.45132110911179674</c:v>
                </c:pt>
                <c:pt idx="151">
                  <c:v>0.45423738135496344</c:v>
                </c:pt>
                <c:pt idx="152">
                  <c:v>0.44461345147920872</c:v>
                </c:pt>
                <c:pt idx="153">
                  <c:v>0.4471996984978574</c:v>
                </c:pt>
                <c:pt idx="154">
                  <c:v>0.45276139993430248</c:v>
                </c:pt>
                <c:pt idx="155">
                  <c:v>0.46295723006814826</c:v>
                </c:pt>
                <c:pt idx="156">
                  <c:v>0.47012136919843006</c:v>
                </c:pt>
                <c:pt idx="157">
                  <c:v>0.46485810948611234</c:v>
                </c:pt>
                <c:pt idx="158">
                  <c:v>0.4691190777194163</c:v>
                </c:pt>
                <c:pt idx="159">
                  <c:v>0.46200726198334613</c:v>
                </c:pt>
                <c:pt idx="160">
                  <c:v>0.47220381410535489</c:v>
                </c:pt>
                <c:pt idx="161">
                  <c:v>0.47861104445709185</c:v>
                </c:pt>
                <c:pt idx="162">
                  <c:v>0.46683639447703545</c:v>
                </c:pt>
                <c:pt idx="163">
                  <c:v>0.47820457069209915</c:v>
                </c:pt>
                <c:pt idx="164">
                  <c:v>0.48999661295205055</c:v>
                </c:pt>
                <c:pt idx="165">
                  <c:v>0.48867718983295422</c:v>
                </c:pt>
                <c:pt idx="166">
                  <c:v>0.48802131461668197</c:v>
                </c:pt>
                <c:pt idx="167">
                  <c:v>0.48340062451229043</c:v>
                </c:pt>
                <c:pt idx="168">
                  <c:v>0.48436785889151723</c:v>
                </c:pt>
                <c:pt idx="169">
                  <c:v>0.48865527486036731</c:v>
                </c:pt>
                <c:pt idx="170">
                  <c:v>0.47884705166739006</c:v>
                </c:pt>
                <c:pt idx="171">
                  <c:v>0.4840013019515626</c:v>
                </c:pt>
                <c:pt idx="172">
                  <c:v>0.4864162819364059</c:v>
                </c:pt>
                <c:pt idx="173">
                  <c:v>0.48731601417195813</c:v>
                </c:pt>
                <c:pt idx="174">
                  <c:v>0.49464311065152861</c:v>
                </c:pt>
                <c:pt idx="175">
                  <c:v>0.48725806128412846</c:v>
                </c:pt>
                <c:pt idx="176">
                  <c:v>0.47849375605517397</c:v>
                </c:pt>
                <c:pt idx="177">
                  <c:v>0.48390451175705312</c:v>
                </c:pt>
                <c:pt idx="178">
                  <c:v>0.48383462567402818</c:v>
                </c:pt>
                <c:pt idx="179">
                  <c:v>0.48607908796721738</c:v>
                </c:pt>
                <c:pt idx="180">
                  <c:v>0.48582467359406878</c:v>
                </c:pt>
                <c:pt idx="181">
                  <c:v>0.48684871313634731</c:v>
                </c:pt>
                <c:pt idx="182">
                  <c:v>0.49663592046733063</c:v>
                </c:pt>
                <c:pt idx="183">
                  <c:v>0.49846595348445</c:v>
                </c:pt>
                <c:pt idx="184">
                  <c:v>0.51447750104526269</c:v>
                </c:pt>
                <c:pt idx="185">
                  <c:v>0.52927061805397957</c:v>
                </c:pt>
                <c:pt idx="186">
                  <c:v>0.52823729143990472</c:v>
                </c:pt>
                <c:pt idx="187">
                  <c:v>0.5454675827309805</c:v>
                </c:pt>
                <c:pt idx="188">
                  <c:v>0.5592532215731405</c:v>
                </c:pt>
                <c:pt idx="189">
                  <c:v>0.56320168970364393</c:v>
                </c:pt>
                <c:pt idx="190">
                  <c:v>0.57036745671761346</c:v>
                </c:pt>
                <c:pt idx="191">
                  <c:v>0.56959337363403506</c:v>
                </c:pt>
                <c:pt idx="192">
                  <c:v>0.5668141115897366</c:v>
                </c:pt>
                <c:pt idx="193">
                  <c:v>0.55757515945807068</c:v>
                </c:pt>
                <c:pt idx="194">
                  <c:v>0.55699392799041636</c:v>
                </c:pt>
                <c:pt idx="195">
                  <c:v>0.55996294586481321</c:v>
                </c:pt>
                <c:pt idx="196">
                  <c:v>0.55469731249767329</c:v>
                </c:pt>
                <c:pt idx="197">
                  <c:v>0.55707823326764538</c:v>
                </c:pt>
                <c:pt idx="198">
                  <c:v>0.562068647518152</c:v>
                </c:pt>
                <c:pt idx="199">
                  <c:v>0.56626988178332094</c:v>
                </c:pt>
                <c:pt idx="200">
                  <c:v>0.56652407475343192</c:v>
                </c:pt>
                <c:pt idx="201">
                  <c:v>0.56310372464462932</c:v>
                </c:pt>
                <c:pt idx="202">
                  <c:v>0.55882232626749584</c:v>
                </c:pt>
                <c:pt idx="203">
                  <c:v>0.54155455308485112</c:v>
                </c:pt>
                <c:pt idx="204">
                  <c:v>0.53188318682270397</c:v>
                </c:pt>
                <c:pt idx="205">
                  <c:v>0.53368989838658609</c:v>
                </c:pt>
                <c:pt idx="206">
                  <c:v>0.52425901417580478</c:v>
                </c:pt>
                <c:pt idx="207">
                  <c:v>0.52206335739682341</c:v>
                </c:pt>
                <c:pt idx="208">
                  <c:v>0.52680739449012148</c:v>
                </c:pt>
                <c:pt idx="209">
                  <c:v>0.53306451679639766</c:v>
                </c:pt>
                <c:pt idx="210">
                  <c:v>0.52839594414278301</c:v>
                </c:pt>
                <c:pt idx="211">
                  <c:v>0.52889045918271038</c:v>
                </c:pt>
                <c:pt idx="212">
                  <c:v>0.54769991435174914</c:v>
                </c:pt>
                <c:pt idx="213">
                  <c:v>0.55133640689038954</c:v>
                </c:pt>
                <c:pt idx="214">
                  <c:v>0.55041329527970873</c:v>
                </c:pt>
                <c:pt idx="215">
                  <c:v>0.57088782363323487</c:v>
                </c:pt>
                <c:pt idx="216">
                  <c:v>0.56822591126950139</c:v>
                </c:pt>
                <c:pt idx="217">
                  <c:v>0.56413404746226936</c:v>
                </c:pt>
                <c:pt idx="218">
                  <c:v>0.565612617084438</c:v>
                </c:pt>
                <c:pt idx="219">
                  <c:v>0.55515068806785361</c:v>
                </c:pt>
                <c:pt idx="220">
                  <c:v>0.54370055651883198</c:v>
                </c:pt>
                <c:pt idx="221">
                  <c:v>0.53230021794156523</c:v>
                </c:pt>
                <c:pt idx="222">
                  <c:v>0.52147235184211072</c:v>
                </c:pt>
                <c:pt idx="223">
                  <c:v>0.52388973276434414</c:v>
                </c:pt>
                <c:pt idx="224">
                  <c:v>0.5044223182622477</c:v>
                </c:pt>
                <c:pt idx="225">
                  <c:v>0.48903266155134678</c:v>
                </c:pt>
                <c:pt idx="226">
                  <c:v>0.48468150321949932</c:v>
                </c:pt>
                <c:pt idx="227">
                  <c:v>0.4705248971602996</c:v>
                </c:pt>
                <c:pt idx="228">
                  <c:v>0.46327503598761033</c:v>
                </c:pt>
                <c:pt idx="229">
                  <c:v>0.46028229477775323</c:v>
                </c:pt>
                <c:pt idx="230">
                  <c:v>0.46521206573642387</c:v>
                </c:pt>
                <c:pt idx="231">
                  <c:v>0.46027494891065279</c:v>
                </c:pt>
                <c:pt idx="232">
                  <c:v>0.45681732802879066</c:v>
                </c:pt>
                <c:pt idx="233">
                  <c:v>0.46909518754605428</c:v>
                </c:pt>
                <c:pt idx="234">
                  <c:v>0.46745279895967973</c:v>
                </c:pt>
                <c:pt idx="235">
                  <c:v>0.46056943002012191</c:v>
                </c:pt>
                <c:pt idx="236">
                  <c:v>0.47333501043229759</c:v>
                </c:pt>
                <c:pt idx="237">
                  <c:v>0.46842302342263714</c:v>
                </c:pt>
                <c:pt idx="238">
                  <c:v>0.46969013336062976</c:v>
                </c:pt>
                <c:pt idx="239">
                  <c:v>0.47674156798891248</c:v>
                </c:pt>
                <c:pt idx="240">
                  <c:v>0.48084058011459935</c:v>
                </c:pt>
                <c:pt idx="241">
                  <c:v>0.48738083612473415</c:v>
                </c:pt>
                <c:pt idx="242">
                  <c:v>0.49179142196006087</c:v>
                </c:pt>
                <c:pt idx="243">
                  <c:v>0.50429444529531375</c:v>
                </c:pt>
                <c:pt idx="244">
                  <c:v>0.51247513847401938</c:v>
                </c:pt>
                <c:pt idx="245">
                  <c:v>0.51317958073200198</c:v>
                </c:pt>
                <c:pt idx="246">
                  <c:v>0.520061890507997</c:v>
                </c:pt>
                <c:pt idx="247">
                  <c:v>0.51556295014814779</c:v>
                </c:pt>
                <c:pt idx="248">
                  <c:v>0.50845194496145552</c:v>
                </c:pt>
                <c:pt idx="249">
                  <c:v>0.50383261020075465</c:v>
                </c:pt>
                <c:pt idx="250">
                  <c:v>0.48918859656765101</c:v>
                </c:pt>
                <c:pt idx="251">
                  <c:v>0.49175724354465117</c:v>
                </c:pt>
                <c:pt idx="252">
                  <c:v>0.48343201717754691</c:v>
                </c:pt>
                <c:pt idx="253">
                  <c:v>0.47609151631530755</c:v>
                </c:pt>
                <c:pt idx="254">
                  <c:v>0.47971230230821194</c:v>
                </c:pt>
                <c:pt idx="255">
                  <c:v>0.47205615806282347</c:v>
                </c:pt>
                <c:pt idx="256">
                  <c:v>0.4743706085701162</c:v>
                </c:pt>
                <c:pt idx="257">
                  <c:v>0.46506697754060461</c:v>
                </c:pt>
                <c:pt idx="258">
                  <c:v>0.45596743654519706</c:v>
                </c:pt>
                <c:pt idx="259">
                  <c:v>0.4470653310656324</c:v>
                </c:pt>
                <c:pt idx="260">
                  <c:v>0.43941983266390716</c:v>
                </c:pt>
                <c:pt idx="261">
                  <c:v>0.42352442585165473</c:v>
                </c:pt>
                <c:pt idx="262">
                  <c:v>0.42362884623761698</c:v>
                </c:pt>
                <c:pt idx="263">
                  <c:v>0.44080082875333571</c:v>
                </c:pt>
                <c:pt idx="264">
                  <c:v>0.42979367547359593</c:v>
                </c:pt>
                <c:pt idx="265">
                  <c:v>0.42438062789317765</c:v>
                </c:pt>
                <c:pt idx="266">
                  <c:v>0.42453252730347224</c:v>
                </c:pt>
                <c:pt idx="267">
                  <c:v>0.42188506313059859</c:v>
                </c:pt>
                <c:pt idx="268">
                  <c:v>0.41338802329270852</c:v>
                </c:pt>
                <c:pt idx="269">
                  <c:v>0.40247951277953881</c:v>
                </c:pt>
                <c:pt idx="270">
                  <c:v>0.40538273824165227</c:v>
                </c:pt>
                <c:pt idx="271">
                  <c:v>0.39973408526173865</c:v>
                </c:pt>
                <c:pt idx="272">
                  <c:v>0.38679624514452621</c:v>
                </c:pt>
                <c:pt idx="273">
                  <c:v>0.3926968825635424</c:v>
                </c:pt>
                <c:pt idx="274">
                  <c:v>0.38293300011397247</c:v>
                </c:pt>
                <c:pt idx="275">
                  <c:v>0.37310801628253987</c:v>
                </c:pt>
                <c:pt idx="276">
                  <c:v>0.3602371692248566</c:v>
                </c:pt>
                <c:pt idx="277">
                  <c:v>0.3469758085615251</c:v>
                </c:pt>
                <c:pt idx="278">
                  <c:v>0.35295381748600074</c:v>
                </c:pt>
                <c:pt idx="279">
                  <c:v>0.36235167943374968</c:v>
                </c:pt>
                <c:pt idx="280">
                  <c:v>0.36534270255603635</c:v>
                </c:pt>
                <c:pt idx="281">
                  <c:v>0.37039230255218952</c:v>
                </c:pt>
                <c:pt idx="282">
                  <c:v>0.35714946482407084</c:v>
                </c:pt>
                <c:pt idx="283">
                  <c:v>0.35874381930727212</c:v>
                </c:pt>
                <c:pt idx="284">
                  <c:v>0.37088934451497735</c:v>
                </c:pt>
                <c:pt idx="285">
                  <c:v>0.32222805531680387</c:v>
                </c:pt>
                <c:pt idx="286">
                  <c:v>0.29721445387471862</c:v>
                </c:pt>
                <c:pt idx="287">
                  <c:v>0.3231723036326849</c:v>
                </c:pt>
                <c:pt idx="288">
                  <c:v>0.33636489022760196</c:v>
                </c:pt>
                <c:pt idx="289">
                  <c:v>0.34021777373884488</c:v>
                </c:pt>
                <c:pt idx="290">
                  <c:v>0.33739217018188411</c:v>
                </c:pt>
                <c:pt idx="291">
                  <c:v>0.32051822500835792</c:v>
                </c:pt>
                <c:pt idx="292">
                  <c:v>0.28938925498323143</c:v>
                </c:pt>
                <c:pt idx="293">
                  <c:v>0.27756650447909048</c:v>
                </c:pt>
                <c:pt idx="294">
                  <c:v>0.27978150245605882</c:v>
                </c:pt>
                <c:pt idx="295">
                  <c:v>0.28061399137522924</c:v>
                </c:pt>
                <c:pt idx="296">
                  <c:v>0.29596076153215678</c:v>
                </c:pt>
                <c:pt idx="297">
                  <c:v>0.2887479667989496</c:v>
                </c:pt>
                <c:pt idx="298">
                  <c:v>0.27572339404159435</c:v>
                </c:pt>
                <c:pt idx="299">
                  <c:v>0.26951898844131261</c:v>
                </c:pt>
                <c:pt idx="300">
                  <c:v>0.28673169068947163</c:v>
                </c:pt>
                <c:pt idx="301">
                  <c:v>0.27962836347443604</c:v>
                </c:pt>
                <c:pt idx="302">
                  <c:v>0.26226444802255783</c:v>
                </c:pt>
                <c:pt idx="303">
                  <c:v>0.26458583908655187</c:v>
                </c:pt>
                <c:pt idx="304">
                  <c:v>0.29000808590032529</c:v>
                </c:pt>
                <c:pt idx="305">
                  <c:v>0.30484752913775282</c:v>
                </c:pt>
                <c:pt idx="306">
                  <c:v>0.30282170127271824</c:v>
                </c:pt>
                <c:pt idx="307">
                  <c:v>0.30379556117355017</c:v>
                </c:pt>
                <c:pt idx="308">
                  <c:v>0.30913117596986184</c:v>
                </c:pt>
                <c:pt idx="309">
                  <c:v>0.3110846103981828</c:v>
                </c:pt>
                <c:pt idx="310">
                  <c:v>0.31751727545943909</c:v>
                </c:pt>
                <c:pt idx="311">
                  <c:v>0.3146611322816989</c:v>
                </c:pt>
                <c:pt idx="312">
                  <c:v>0.33131587937778939</c:v>
                </c:pt>
                <c:pt idx="313">
                  <c:v>0.33371864184308514</c:v>
                </c:pt>
                <c:pt idx="314">
                  <c:v>0.33935496145966837</c:v>
                </c:pt>
                <c:pt idx="315">
                  <c:v>0.35282506419202186</c:v>
                </c:pt>
                <c:pt idx="316">
                  <c:v>0.35999925316327414</c:v>
                </c:pt>
                <c:pt idx="317">
                  <c:v>0.37280279226917279</c:v>
                </c:pt>
                <c:pt idx="318">
                  <c:v>0.37296222145392954</c:v>
                </c:pt>
                <c:pt idx="319">
                  <c:v>0.37506250651766793</c:v>
                </c:pt>
                <c:pt idx="320">
                  <c:v>0.38266594248466146</c:v>
                </c:pt>
                <c:pt idx="321">
                  <c:v>0.38296400796646579</c:v>
                </c:pt>
                <c:pt idx="322">
                  <c:v>0.39947268947945735</c:v>
                </c:pt>
                <c:pt idx="323">
                  <c:v>0.41293352728031818</c:v>
                </c:pt>
                <c:pt idx="324">
                  <c:v>0.41859876199074875</c:v>
                </c:pt>
                <c:pt idx="325">
                  <c:v>0.4273994048146702</c:v>
                </c:pt>
                <c:pt idx="326">
                  <c:v>0.4342941858666618</c:v>
                </c:pt>
                <c:pt idx="327">
                  <c:v>0.43703126634711026</c:v>
                </c:pt>
                <c:pt idx="328">
                  <c:v>0.43424587765224415</c:v>
                </c:pt>
                <c:pt idx="329">
                  <c:v>0.43224970986656769</c:v>
                </c:pt>
                <c:pt idx="330">
                  <c:v>0.4364500382362117</c:v>
                </c:pt>
                <c:pt idx="331">
                  <c:v>0.43520480920330634</c:v>
                </c:pt>
                <c:pt idx="332">
                  <c:v>0.43313207024844069</c:v>
                </c:pt>
                <c:pt idx="333">
                  <c:v>0.43413022049076977</c:v>
                </c:pt>
                <c:pt idx="334">
                  <c:v>0.43092336997374148</c:v>
                </c:pt>
                <c:pt idx="335">
                  <c:v>0.42537575398427652</c:v>
                </c:pt>
                <c:pt idx="336">
                  <c:v>0.42236000121401429</c:v>
                </c:pt>
                <c:pt idx="337">
                  <c:v>0.41951157164667774</c:v>
                </c:pt>
                <c:pt idx="338">
                  <c:v>0.41166439100459074</c:v>
                </c:pt>
                <c:pt idx="339">
                  <c:v>0.40360272645567719</c:v>
                </c:pt>
                <c:pt idx="340">
                  <c:v>0.39881667806460691</c:v>
                </c:pt>
                <c:pt idx="341">
                  <c:v>0.39115368853724358</c:v>
                </c:pt>
                <c:pt idx="342">
                  <c:v>0.38929869597009137</c:v>
                </c:pt>
                <c:pt idx="343">
                  <c:v>0.38502344474116157</c:v>
                </c:pt>
                <c:pt idx="344">
                  <c:v>0.38508156111013725</c:v>
                </c:pt>
                <c:pt idx="345">
                  <c:v>0.38447011519848723</c:v>
                </c:pt>
                <c:pt idx="346">
                  <c:v>0.38660307513675018</c:v>
                </c:pt>
                <c:pt idx="347">
                  <c:v>0.38839792678270035</c:v>
                </c:pt>
                <c:pt idx="348">
                  <c:v>0.38241277968145737</c:v>
                </c:pt>
                <c:pt idx="349">
                  <c:v>0.37777380325742171</c:v>
                </c:pt>
                <c:pt idx="350">
                  <c:v>0.37611114293752002</c:v>
                </c:pt>
                <c:pt idx="351">
                  <c:v>0.38669725327536036</c:v>
                </c:pt>
                <c:pt idx="352">
                  <c:v>0.38602000802365466</c:v>
                </c:pt>
                <c:pt idx="353">
                  <c:v>0.39086652944048317</c:v>
                </c:pt>
                <c:pt idx="354">
                  <c:v>0.38953169602719889</c:v>
                </c:pt>
                <c:pt idx="355">
                  <c:v>0.38624747736146692</c:v>
                </c:pt>
                <c:pt idx="356">
                  <c:v>0.38515267483729454</c:v>
                </c:pt>
                <c:pt idx="357">
                  <c:v>0.3902132254990992</c:v>
                </c:pt>
                <c:pt idx="358">
                  <c:v>0.38820211229419299</c:v>
                </c:pt>
                <c:pt idx="359">
                  <c:v>0.38096753543022144</c:v>
                </c:pt>
                <c:pt idx="360">
                  <c:v>0.39961630648780305</c:v>
                </c:pt>
                <c:pt idx="361">
                  <c:v>0.41487251858862295</c:v>
                </c:pt>
                <c:pt idx="362">
                  <c:v>0.4179168919866928</c:v>
                </c:pt>
                <c:pt idx="363">
                  <c:v>0.41880707832315583</c:v>
                </c:pt>
                <c:pt idx="364">
                  <c:v>0.42301492961091003</c:v>
                </c:pt>
                <c:pt idx="365">
                  <c:v>0.43077605789154177</c:v>
                </c:pt>
                <c:pt idx="366">
                  <c:v>0.43496247443703923</c:v>
                </c:pt>
                <c:pt idx="367">
                  <c:v>0.43056373659244862</c:v>
                </c:pt>
                <c:pt idx="368">
                  <c:v>0.4373493753744726</c:v>
                </c:pt>
                <c:pt idx="369">
                  <c:v>0.43779285430030029</c:v>
                </c:pt>
                <c:pt idx="370">
                  <c:v>0.43689179736038092</c:v>
                </c:pt>
                <c:pt idx="371">
                  <c:v>0.44663145924612069</c:v>
                </c:pt>
                <c:pt idx="372">
                  <c:v>0.44632948928604116</c:v>
                </c:pt>
                <c:pt idx="373">
                  <c:v>0.43654287452957441</c:v>
                </c:pt>
                <c:pt idx="374">
                  <c:v>0.42285679456261716</c:v>
                </c:pt>
                <c:pt idx="375">
                  <c:v>0.42826132483960588</c:v>
                </c:pt>
                <c:pt idx="376">
                  <c:v>0.43986775243472326</c:v>
                </c:pt>
                <c:pt idx="377">
                  <c:v>0.43879225789808224</c:v>
                </c:pt>
                <c:pt idx="378">
                  <c:v>0.43692105134371623</c:v>
                </c:pt>
                <c:pt idx="379">
                  <c:v>0.43590384679888439</c:v>
                </c:pt>
                <c:pt idx="380">
                  <c:v>0.4290781855611473</c:v>
                </c:pt>
                <c:pt idx="381">
                  <c:v>0.42420437514865078</c:v>
                </c:pt>
                <c:pt idx="382">
                  <c:v>0.42047941902663688</c:v>
                </c:pt>
                <c:pt idx="383">
                  <c:v>0.42178828829146103</c:v>
                </c:pt>
                <c:pt idx="384">
                  <c:v>0.41826617920404674</c:v>
                </c:pt>
                <c:pt idx="385">
                  <c:v>0.4147784018000803</c:v>
                </c:pt>
                <c:pt idx="386">
                  <c:v>0.42080605571337726</c:v>
                </c:pt>
                <c:pt idx="387">
                  <c:v>0.4171054087164085</c:v>
                </c:pt>
                <c:pt idx="388">
                  <c:v>0.41093841865820468</c:v>
                </c:pt>
                <c:pt idx="389">
                  <c:v>0.41056293903300106</c:v>
                </c:pt>
                <c:pt idx="390">
                  <c:v>0.40916477192387435</c:v>
                </c:pt>
                <c:pt idx="391">
                  <c:v>0.40342697772445202</c:v>
                </c:pt>
                <c:pt idx="392">
                  <c:v>0.40254073164785187</c:v>
                </c:pt>
                <c:pt idx="393">
                  <c:v>0.40559260410964004</c:v>
                </c:pt>
                <c:pt idx="394">
                  <c:v>0.40110023306359266</c:v>
                </c:pt>
                <c:pt idx="395">
                  <c:v>0.39915497883472167</c:v>
                </c:pt>
                <c:pt idx="396">
                  <c:v>0.39427630869697394</c:v>
                </c:pt>
                <c:pt idx="397">
                  <c:v>0.38927995163184104</c:v>
                </c:pt>
                <c:pt idx="398">
                  <c:v>0.38045607584447699</c:v>
                </c:pt>
                <c:pt idx="399">
                  <c:v>0.36847128752785607</c:v>
                </c:pt>
                <c:pt idx="400">
                  <c:v>0.36676687645156303</c:v>
                </c:pt>
                <c:pt idx="401">
                  <c:v>0.3675389689789943</c:v>
                </c:pt>
                <c:pt idx="402">
                  <c:v>0.36159521681803553</c:v>
                </c:pt>
                <c:pt idx="403">
                  <c:v>0.35639240120624049</c:v>
                </c:pt>
                <c:pt idx="404">
                  <c:v>0.34661376060155824</c:v>
                </c:pt>
                <c:pt idx="405">
                  <c:v>0.33533048745192451</c:v>
                </c:pt>
                <c:pt idx="406">
                  <c:v>0.33317112227321455</c:v>
                </c:pt>
                <c:pt idx="407">
                  <c:v>0.32913711429357745</c:v>
                </c:pt>
                <c:pt idx="408">
                  <c:v>0.31925324446764303</c:v>
                </c:pt>
                <c:pt idx="409">
                  <c:v>0.31713731756499164</c:v>
                </c:pt>
                <c:pt idx="410">
                  <c:v>0.30905942367349237</c:v>
                </c:pt>
                <c:pt idx="411">
                  <c:v>0.29899823515453633</c:v>
                </c:pt>
                <c:pt idx="412">
                  <c:v>0.29780484428608889</c:v>
                </c:pt>
                <c:pt idx="413">
                  <c:v>0.29770415982641207</c:v>
                </c:pt>
                <c:pt idx="414">
                  <c:v>0.29338322093798375</c:v>
                </c:pt>
                <c:pt idx="415">
                  <c:v>0.28045710875392488</c:v>
                </c:pt>
                <c:pt idx="416">
                  <c:v>0.26725449702947307</c:v>
                </c:pt>
                <c:pt idx="417">
                  <c:v>0.26811256621280488</c:v>
                </c:pt>
                <c:pt idx="418">
                  <c:v>0.26396082195433124</c:v>
                </c:pt>
                <c:pt idx="419">
                  <c:v>0.25073664178875626</c:v>
                </c:pt>
                <c:pt idx="420">
                  <c:v>0.24682309791621737</c:v>
                </c:pt>
                <c:pt idx="421">
                  <c:v>0.24559992691082924</c:v>
                </c:pt>
                <c:pt idx="422">
                  <c:v>0.2383490810659861</c:v>
                </c:pt>
                <c:pt idx="423">
                  <c:v>0.23094814938740627</c:v>
                </c:pt>
                <c:pt idx="424">
                  <c:v>0.22418614045162455</c:v>
                </c:pt>
                <c:pt idx="425">
                  <c:v>0.22848973191212807</c:v>
                </c:pt>
                <c:pt idx="426">
                  <c:v>0.23165984066651563</c:v>
                </c:pt>
                <c:pt idx="427">
                  <c:v>0.22397233153838086</c:v>
                </c:pt>
                <c:pt idx="428">
                  <c:v>0.20018147586501123</c:v>
                </c:pt>
                <c:pt idx="429">
                  <c:v>0.19928389473851846</c:v>
                </c:pt>
                <c:pt idx="430">
                  <c:v>0.21741142255297247</c:v>
                </c:pt>
                <c:pt idx="431">
                  <c:v>0.21220538109892212</c:v>
                </c:pt>
                <c:pt idx="432">
                  <c:v>0.20406124884656998</c:v>
                </c:pt>
                <c:pt idx="433">
                  <c:v>0.20660549049533422</c:v>
                </c:pt>
                <c:pt idx="434">
                  <c:v>0.21153611492700397</c:v>
                </c:pt>
                <c:pt idx="435">
                  <c:v>0.22517582167067038</c:v>
                </c:pt>
                <c:pt idx="436">
                  <c:v>0.22156014815958158</c:v>
                </c:pt>
                <c:pt idx="437">
                  <c:v>0.20490389752260596</c:v>
                </c:pt>
                <c:pt idx="438">
                  <c:v>0.18399142581913006</c:v>
                </c:pt>
                <c:pt idx="439">
                  <c:v>0.18782675228376594</c:v>
                </c:pt>
                <c:pt idx="440">
                  <c:v>0.23037762897018074</c:v>
                </c:pt>
                <c:pt idx="441">
                  <c:v>0.21741754234718796</c:v>
                </c:pt>
                <c:pt idx="442">
                  <c:v>0.21519281670637877</c:v>
                </c:pt>
                <c:pt idx="443">
                  <c:v>0.22019475184248882</c:v>
                </c:pt>
                <c:pt idx="444">
                  <c:v>0.2276731398738856</c:v>
                </c:pt>
                <c:pt idx="445">
                  <c:v>0.2206339436198882</c:v>
                </c:pt>
                <c:pt idx="446">
                  <c:v>0.22879363372083972</c:v>
                </c:pt>
                <c:pt idx="447">
                  <c:v>0.21048834683558065</c:v>
                </c:pt>
                <c:pt idx="448">
                  <c:v>0.22233447007275908</c:v>
                </c:pt>
                <c:pt idx="449">
                  <c:v>0.25235240208897869</c:v>
                </c:pt>
                <c:pt idx="450">
                  <c:v>0.26470275888812256</c:v>
                </c:pt>
                <c:pt idx="451">
                  <c:v>0.27441615094636995</c:v>
                </c:pt>
                <c:pt idx="452">
                  <c:v>0.26765819275770875</c:v>
                </c:pt>
                <c:pt idx="453">
                  <c:v>0.24727636964123112</c:v>
                </c:pt>
                <c:pt idx="454">
                  <c:v>0.23596712884354085</c:v>
                </c:pt>
                <c:pt idx="455">
                  <c:v>0.24346206882317503</c:v>
                </c:pt>
                <c:pt idx="456">
                  <c:v>0.25556098090668528</c:v>
                </c:pt>
                <c:pt idx="457">
                  <c:v>0.25469188792327929</c:v>
                </c:pt>
                <c:pt idx="458">
                  <c:v>0.26332376692470472</c:v>
                </c:pt>
                <c:pt idx="459">
                  <c:v>0.27023933393663296</c:v>
                </c:pt>
                <c:pt idx="460">
                  <c:v>0.26076151820980481</c:v>
                </c:pt>
                <c:pt idx="461">
                  <c:v>0.259368557357393</c:v>
                </c:pt>
                <c:pt idx="462">
                  <c:v>0.26811347889326143</c:v>
                </c:pt>
                <c:pt idx="463">
                  <c:v>0.27342282043390459</c:v>
                </c:pt>
                <c:pt idx="464">
                  <c:v>0.27269985945450881</c:v>
                </c:pt>
                <c:pt idx="465">
                  <c:v>0.26123484540757241</c:v>
                </c:pt>
                <c:pt idx="466">
                  <c:v>0.26966086522178412</c:v>
                </c:pt>
                <c:pt idx="467">
                  <c:v>0.27107107701324862</c:v>
                </c:pt>
                <c:pt idx="468">
                  <c:v>0.27394484244436129</c:v>
                </c:pt>
                <c:pt idx="469">
                  <c:v>0.27323357533061948</c:v>
                </c:pt>
                <c:pt idx="470">
                  <c:v>0.26908091589197758</c:v>
                </c:pt>
                <c:pt idx="471">
                  <c:v>0.27011508283771002</c:v>
                </c:pt>
                <c:pt idx="472">
                  <c:v>0.2788478625595856</c:v>
                </c:pt>
                <c:pt idx="473">
                  <c:v>0.28699683268256654</c:v>
                </c:pt>
                <c:pt idx="474">
                  <c:v>0.28456145576434938</c:v>
                </c:pt>
                <c:pt idx="475">
                  <c:v>0.27677656750962559</c:v>
                </c:pt>
                <c:pt idx="476">
                  <c:v>0.27570219848603839</c:v>
                </c:pt>
                <c:pt idx="477">
                  <c:v>0.28484598145053042</c:v>
                </c:pt>
                <c:pt idx="478">
                  <c:v>0.29183859650522243</c:v>
                </c:pt>
                <c:pt idx="479">
                  <c:v>0.29333522940133</c:v>
                </c:pt>
                <c:pt idx="480">
                  <c:v>0.28692329759180346</c:v>
                </c:pt>
                <c:pt idx="481">
                  <c:v>0.27615872426433963</c:v>
                </c:pt>
                <c:pt idx="482">
                  <c:v>0.27440140728958562</c:v>
                </c:pt>
                <c:pt idx="483">
                  <c:v>0.28371553775107433</c:v>
                </c:pt>
                <c:pt idx="484">
                  <c:v>0.28517585426405434</c:v>
                </c:pt>
                <c:pt idx="485">
                  <c:v>0.27834516210652382</c:v>
                </c:pt>
                <c:pt idx="486">
                  <c:v>0.28197089217209459</c:v>
                </c:pt>
                <c:pt idx="487">
                  <c:v>0.29665791748759801</c:v>
                </c:pt>
                <c:pt idx="488">
                  <c:v>0.29938400816405158</c:v>
                </c:pt>
                <c:pt idx="489">
                  <c:v>0.29266840180531828</c:v>
                </c:pt>
                <c:pt idx="490">
                  <c:v>0.29354698198029833</c:v>
                </c:pt>
                <c:pt idx="491">
                  <c:v>0.29607929464766697</c:v>
                </c:pt>
                <c:pt idx="492">
                  <c:v>0.29476561508046317</c:v>
                </c:pt>
                <c:pt idx="493">
                  <c:v>0.29751964682024012</c:v>
                </c:pt>
                <c:pt idx="494">
                  <c:v>0.30066987943833412</c:v>
                </c:pt>
                <c:pt idx="495">
                  <c:v>0.30345799260470629</c:v>
                </c:pt>
                <c:pt idx="496">
                  <c:v>0.30448279841575532</c:v>
                </c:pt>
                <c:pt idx="497">
                  <c:v>0.3120765097899823</c:v>
                </c:pt>
                <c:pt idx="498">
                  <c:v>0.31360157076467521</c:v>
                </c:pt>
                <c:pt idx="499">
                  <c:v>0.31504625993707025</c:v>
                </c:pt>
                <c:pt idx="500">
                  <c:v>0.32073181580389953</c:v>
                </c:pt>
                <c:pt idx="501">
                  <c:v>0.32254226836491084</c:v>
                </c:pt>
                <c:pt idx="502">
                  <c:v>0.33132316053806676</c:v>
                </c:pt>
                <c:pt idx="503">
                  <c:v>0.33472360501397758</c:v>
                </c:pt>
                <c:pt idx="504">
                  <c:v>0.33497218220317482</c:v>
                </c:pt>
                <c:pt idx="505">
                  <c:v>0.34567262664079013</c:v>
                </c:pt>
                <c:pt idx="506">
                  <c:v>0.35407566381983213</c:v>
                </c:pt>
                <c:pt idx="507">
                  <c:v>0.35501756569203852</c:v>
                </c:pt>
                <c:pt idx="508">
                  <c:v>0.35502186698169302</c:v>
                </c:pt>
                <c:pt idx="509">
                  <c:v>0.35438226710270215</c:v>
                </c:pt>
                <c:pt idx="510">
                  <c:v>0.3607545664115428</c:v>
                </c:pt>
                <c:pt idx="511">
                  <c:v>0.36891056572386038</c:v>
                </c:pt>
                <c:pt idx="512">
                  <c:v>0.37779043955307429</c:v>
                </c:pt>
                <c:pt idx="513">
                  <c:v>0.37962087266690836</c:v>
                </c:pt>
                <c:pt idx="514">
                  <c:v>0.3824585133356514</c:v>
                </c:pt>
                <c:pt idx="515">
                  <c:v>0.38996339159769333</c:v>
                </c:pt>
                <c:pt idx="516">
                  <c:v>0.38882470977689587</c:v>
                </c:pt>
                <c:pt idx="517">
                  <c:v>0.39343772712331521</c:v>
                </c:pt>
                <c:pt idx="518">
                  <c:v>0.4062158844421625</c:v>
                </c:pt>
                <c:pt idx="519">
                  <c:v>0.41233029563561774</c:v>
                </c:pt>
                <c:pt idx="520">
                  <c:v>0.41809489517220177</c:v>
                </c:pt>
                <c:pt idx="521">
                  <c:v>0.42735298666798882</c:v>
                </c:pt>
                <c:pt idx="522">
                  <c:v>0.43890489769325813</c:v>
                </c:pt>
                <c:pt idx="523">
                  <c:v>0.44875492785043014</c:v>
                </c:pt>
                <c:pt idx="524">
                  <c:v>0.45205665121166383</c:v>
                </c:pt>
                <c:pt idx="525">
                  <c:v>0.46213903100095571</c:v>
                </c:pt>
                <c:pt idx="526">
                  <c:v>0.47018858866042007</c:v>
                </c:pt>
                <c:pt idx="527">
                  <c:v>0.46218017725563459</c:v>
                </c:pt>
                <c:pt idx="528">
                  <c:v>0.46477190385661887</c:v>
                </c:pt>
                <c:pt idx="529">
                  <c:v>0.4661751385241707</c:v>
                </c:pt>
                <c:pt idx="530">
                  <c:v>0.4761118578979221</c:v>
                </c:pt>
                <c:pt idx="531">
                  <c:v>0.48888705570094199</c:v>
                </c:pt>
                <c:pt idx="532">
                  <c:v>0.48590334266416818</c:v>
                </c:pt>
                <c:pt idx="533">
                  <c:v>0.48739520089664312</c:v>
                </c:pt>
                <c:pt idx="534">
                  <c:v>0.48600335455855359</c:v>
                </c:pt>
                <c:pt idx="535">
                  <c:v>0.48899288770981864</c:v>
                </c:pt>
                <c:pt idx="536">
                  <c:v>0.49097530715249454</c:v>
                </c:pt>
                <c:pt idx="537">
                  <c:v>0.48405299534700219</c:v>
                </c:pt>
                <c:pt idx="538">
                  <c:v>0.48734942639001766</c:v>
                </c:pt>
                <c:pt idx="539">
                  <c:v>0.48568102937457558</c:v>
                </c:pt>
                <c:pt idx="540">
                  <c:v>0.48728144408743324</c:v>
                </c:pt>
                <c:pt idx="541">
                  <c:v>0.49031426910307085</c:v>
                </c:pt>
                <c:pt idx="542">
                  <c:v>0.48854660260762212</c:v>
                </c:pt>
                <c:pt idx="543">
                  <c:v>0.48222952828692894</c:v>
                </c:pt>
                <c:pt idx="544">
                  <c:v>0.48204833061269164</c:v>
                </c:pt>
                <c:pt idx="545">
                  <c:v>0.47867033233381684</c:v>
                </c:pt>
                <c:pt idx="546">
                  <c:v>0.46263274913278907</c:v>
                </c:pt>
                <c:pt idx="547">
                  <c:v>0.45097363711366845</c:v>
                </c:pt>
                <c:pt idx="548">
                  <c:v>0.4546874023834454</c:v>
                </c:pt>
                <c:pt idx="549">
                  <c:v>0.44634973887926455</c:v>
                </c:pt>
                <c:pt idx="550">
                  <c:v>0.4423458414270362</c:v>
                </c:pt>
                <c:pt idx="551">
                  <c:v>0.43496457569470504</c:v>
                </c:pt>
                <c:pt idx="552">
                  <c:v>0.43099700219615972</c:v>
                </c:pt>
                <c:pt idx="553">
                  <c:v>0.43179457364229745</c:v>
                </c:pt>
                <c:pt idx="554">
                  <c:v>0.4393586137955941</c:v>
                </c:pt>
                <c:pt idx="555">
                  <c:v>0.43101590658737993</c:v>
                </c:pt>
                <c:pt idx="556">
                  <c:v>0.41307319374427282</c:v>
                </c:pt>
                <c:pt idx="557">
                  <c:v>0.41280030407327467</c:v>
                </c:pt>
                <c:pt idx="558">
                  <c:v>0.41352739350511508</c:v>
                </c:pt>
                <c:pt idx="559">
                  <c:v>0.40029471981908205</c:v>
                </c:pt>
                <c:pt idx="560">
                  <c:v>0.39327568931083523</c:v>
                </c:pt>
                <c:pt idx="561">
                  <c:v>0.40300453680092208</c:v>
                </c:pt>
                <c:pt idx="562">
                  <c:v>0.38120079938546553</c:v>
                </c:pt>
                <c:pt idx="563">
                  <c:v>0.36071747783175701</c:v>
                </c:pt>
                <c:pt idx="564">
                  <c:v>0.3701811612598655</c:v>
                </c:pt>
                <c:pt idx="565">
                  <c:v>0.36203913169358587</c:v>
                </c:pt>
                <c:pt idx="566">
                  <c:v>0.35078937967802204</c:v>
                </c:pt>
                <c:pt idx="567">
                  <c:v>0.34977237096774783</c:v>
                </c:pt>
                <c:pt idx="568">
                  <c:v>0.30235360332901334</c:v>
                </c:pt>
                <c:pt idx="569">
                  <c:v>0.29475816701086377</c:v>
                </c:pt>
                <c:pt idx="570">
                  <c:v>0.31595947997424217</c:v>
                </c:pt>
                <c:pt idx="571">
                  <c:v>0.33137489478593773</c:v>
                </c:pt>
                <c:pt idx="572">
                  <c:v>0.32987602957585022</c:v>
                </c:pt>
                <c:pt idx="573">
                  <c:v>0.27941256843310597</c:v>
                </c:pt>
                <c:pt idx="574">
                  <c:v>0.27910321175349445</c:v>
                </c:pt>
                <c:pt idx="575">
                  <c:v>0.27356423276793984</c:v>
                </c:pt>
                <c:pt idx="576">
                  <c:v>0.2710035671561779</c:v>
                </c:pt>
                <c:pt idx="577">
                  <c:v>0.33359818773483374</c:v>
                </c:pt>
                <c:pt idx="578">
                  <c:v>0.29691956538366066</c:v>
                </c:pt>
                <c:pt idx="579">
                  <c:v>0.25130693351807021</c:v>
                </c:pt>
                <c:pt idx="580">
                  <c:v>0.2327202822963233</c:v>
                </c:pt>
                <c:pt idx="581">
                  <c:v>0.22095184538543941</c:v>
                </c:pt>
                <c:pt idx="582">
                  <c:v>0.1053117041624521</c:v>
                </c:pt>
                <c:pt idx="583">
                  <c:v>3.3603551844772317E-2</c:v>
                </c:pt>
                <c:pt idx="584">
                  <c:v>2.7116345073710107E-2</c:v>
                </c:pt>
                <c:pt idx="585">
                  <c:v>7.6674757379770211E-2</c:v>
                </c:pt>
                <c:pt idx="586">
                  <c:v>0.22454578211767623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3EE-8743-9942-47F0944A1E12}"/>
            </c:ext>
          </c:extLst>
        </c:ser>
        <c:ser>
          <c:idx val="6"/>
          <c:order val="2"/>
          <c:tx>
            <c:strRef>
              <c:f>'Fig 2d'!$O$4</c:f>
              <c:strCache>
                <c:ptCount val="1"/>
                <c:pt idx="0">
                  <c:v>modified (30 min ox)</c:v>
                </c:pt>
              </c:strCache>
            </c:strRef>
          </c:tx>
          <c:spPr>
            <a:ln w="19050" cap="rnd">
              <a:solidFill>
                <a:srgbClr val="FCD317"/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2d'!$O$5:$O$591</c:f>
              <c:numCache>
                <c:formatCode>General</c:formatCode>
                <c:ptCount val="587"/>
                <c:pt idx="0">
                  <c:v>0.12148794261252348</c:v>
                </c:pt>
                <c:pt idx="1">
                  <c:v>0.10624033844112524</c:v>
                </c:pt>
                <c:pt idx="2">
                  <c:v>0.20305990360561882</c:v>
                </c:pt>
                <c:pt idx="3">
                  <c:v>0.16655013366910151</c:v>
                </c:pt>
                <c:pt idx="4">
                  <c:v>0.16893653236677211</c:v>
                </c:pt>
                <c:pt idx="5">
                  <c:v>0.18329064713445278</c:v>
                </c:pt>
                <c:pt idx="6">
                  <c:v>0.19143923712293098</c:v>
                </c:pt>
                <c:pt idx="7">
                  <c:v>0.21309947410539279</c:v>
                </c:pt>
                <c:pt idx="8">
                  <c:v>0.21015941594671403</c:v>
                </c:pt>
                <c:pt idx="9">
                  <c:v>0.21783264785668449</c:v>
                </c:pt>
                <c:pt idx="10">
                  <c:v>0.22408968238952665</c:v>
                </c:pt>
                <c:pt idx="11">
                  <c:v>0.23067937425992407</c:v>
                </c:pt>
                <c:pt idx="12">
                  <c:v>0.2447988649750909</c:v>
                </c:pt>
                <c:pt idx="13">
                  <c:v>0.25640325596386443</c:v>
                </c:pt>
                <c:pt idx="14">
                  <c:v>0.27119813620661387</c:v>
                </c:pt>
                <c:pt idx="15">
                  <c:v>0.27050123195722503</c:v>
                </c:pt>
                <c:pt idx="16">
                  <c:v>0.27849501310540536</c:v>
                </c:pt>
                <c:pt idx="17">
                  <c:v>0.29789119320770219</c:v>
                </c:pt>
                <c:pt idx="18">
                  <c:v>0.32578771849744242</c:v>
                </c:pt>
                <c:pt idx="19">
                  <c:v>0.34358342870598041</c:v>
                </c:pt>
                <c:pt idx="20">
                  <c:v>0.3571097443957888</c:v>
                </c:pt>
                <c:pt idx="21">
                  <c:v>0.38346647736131356</c:v>
                </c:pt>
                <c:pt idx="22">
                  <c:v>0.41196643021587798</c:v>
                </c:pt>
                <c:pt idx="23">
                  <c:v>0.43820594561085402</c:v>
                </c:pt>
                <c:pt idx="24">
                  <c:v>0.46872870749481521</c:v>
                </c:pt>
                <c:pt idx="25">
                  <c:v>0.50128108635837088</c:v>
                </c:pt>
                <c:pt idx="26">
                  <c:v>0.52095648887741075</c:v>
                </c:pt>
                <c:pt idx="27">
                  <c:v>0.53404240989476093</c:v>
                </c:pt>
                <c:pt idx="28">
                  <c:v>0.54210601314663343</c:v>
                </c:pt>
                <c:pt idx="29">
                  <c:v>0.55440553214946831</c:v>
                </c:pt>
                <c:pt idx="30">
                  <c:v>0.57335477362121201</c:v>
                </c:pt>
                <c:pt idx="31">
                  <c:v>0.58446622154788885</c:v>
                </c:pt>
                <c:pt idx="32">
                  <c:v>0.6111508123983822</c:v>
                </c:pt>
                <c:pt idx="33">
                  <c:v>0.6352789443365997</c:v>
                </c:pt>
                <c:pt idx="34">
                  <c:v>0.65918683070926043</c:v>
                </c:pt>
                <c:pt idx="35">
                  <c:v>0.6817572010915518</c:v>
                </c:pt>
                <c:pt idx="36">
                  <c:v>0.6988117813928697</c:v>
                </c:pt>
                <c:pt idx="37">
                  <c:v>0.72429105029862328</c:v>
                </c:pt>
                <c:pt idx="38">
                  <c:v>0.74376379826435957</c:v>
                </c:pt>
                <c:pt idx="39">
                  <c:v>0.77045830404903537</c:v>
                </c:pt>
                <c:pt idx="40">
                  <c:v>0.80141810993645168</c:v>
                </c:pt>
                <c:pt idx="41">
                  <c:v>0.82110061993519168</c:v>
                </c:pt>
                <c:pt idx="42">
                  <c:v>0.85186169053668948</c:v>
                </c:pt>
                <c:pt idx="43">
                  <c:v>0.87863306879107483</c:v>
                </c:pt>
                <c:pt idx="44">
                  <c:v>0.90241442171801378</c:v>
                </c:pt>
                <c:pt idx="45">
                  <c:v>0.929682186354572</c:v>
                </c:pt>
                <c:pt idx="46">
                  <c:v>0.9521763950151183</c:v>
                </c:pt>
                <c:pt idx="47">
                  <c:v>0.9740979438827837</c:v>
                </c:pt>
                <c:pt idx="48">
                  <c:v>0.99186872460627418</c:v>
                </c:pt>
                <c:pt idx="49">
                  <c:v>1.011361840578122</c:v>
                </c:pt>
                <c:pt idx="50">
                  <c:v>1.0108147270979866</c:v>
                </c:pt>
                <c:pt idx="51">
                  <c:v>1.0139353472881334</c:v>
                </c:pt>
                <c:pt idx="52">
                  <c:v>1.0135117821122497</c:v>
                </c:pt>
                <c:pt idx="53">
                  <c:v>1.0061817773774979</c:v>
                </c:pt>
                <c:pt idx="54">
                  <c:v>1.0178334242219207</c:v>
                </c:pt>
                <c:pt idx="55">
                  <c:v>1.019447888235528</c:v>
                </c:pt>
                <c:pt idx="56">
                  <c:v>1.0274170686196029</c:v>
                </c:pt>
                <c:pt idx="57">
                  <c:v>1.0437740193278471</c:v>
                </c:pt>
                <c:pt idx="58">
                  <c:v>1.0542931095893313</c:v>
                </c:pt>
                <c:pt idx="59">
                  <c:v>1.0774781957372372</c:v>
                </c:pt>
                <c:pt idx="60">
                  <c:v>1.0900525051355447</c:v>
                </c:pt>
                <c:pt idx="61">
                  <c:v>1.1057082115896069</c:v>
                </c:pt>
                <c:pt idx="62">
                  <c:v>1.1062403384411252</c:v>
                </c:pt>
                <c:pt idx="63">
                  <c:v>1.1019284335786372</c:v>
                </c:pt>
                <c:pt idx="64">
                  <c:v>1.0928585381206775</c:v>
                </c:pt>
                <c:pt idx="65">
                  <c:v>1.0706534312736555</c:v>
                </c:pt>
                <c:pt idx="66">
                  <c:v>1.048600201114259</c:v>
                </c:pt>
                <c:pt idx="67">
                  <c:v>1.0259939785736587</c:v>
                </c:pt>
                <c:pt idx="68">
                  <c:v>1.000172068225162</c:v>
                </c:pt>
                <c:pt idx="69">
                  <c:v>0.98101885223960117</c:v>
                </c:pt>
                <c:pt idx="70">
                  <c:v>0.95762579108216184</c:v>
                </c:pt>
                <c:pt idx="71">
                  <c:v>0.94220299673783314</c:v>
                </c:pt>
                <c:pt idx="72">
                  <c:v>0.91972582572147998</c:v>
                </c:pt>
                <c:pt idx="73">
                  <c:v>0.90683876690933463</c:v>
                </c:pt>
                <c:pt idx="74">
                  <c:v>0.89977349548628616</c:v>
                </c:pt>
                <c:pt idx="75">
                  <c:v>0.89676759001847706</c:v>
                </c:pt>
                <c:pt idx="76">
                  <c:v>0.90302651786968213</c:v>
                </c:pt>
                <c:pt idx="77">
                  <c:v>0.90406934759819424</c:v>
                </c:pt>
                <c:pt idx="78">
                  <c:v>0.91203187741197655</c:v>
                </c:pt>
                <c:pt idx="79">
                  <c:v>0.91555176535098637</c:v>
                </c:pt>
                <c:pt idx="80">
                  <c:v>0.92241829133456643</c:v>
                </c:pt>
                <c:pt idx="81">
                  <c:v>0.94022710722799097</c:v>
                </c:pt>
                <c:pt idx="82">
                  <c:v>0.95347956157145775</c:v>
                </c:pt>
                <c:pt idx="83">
                  <c:v>0.9661246919281945</c:v>
                </c:pt>
                <c:pt idx="84">
                  <c:v>0.96923925045351667</c:v>
                </c:pt>
                <c:pt idx="85">
                  <c:v>0.9725870256948449</c:v>
                </c:pt>
                <c:pt idx="86">
                  <c:v>0.97791957479563496</c:v>
                </c:pt>
                <c:pt idx="87">
                  <c:v>0.96541022776177698</c:v>
                </c:pt>
                <c:pt idx="88">
                  <c:v>0.94211152347410809</c:v>
                </c:pt>
                <c:pt idx="89">
                  <c:v>0.91335961554098721</c:v>
                </c:pt>
                <c:pt idx="90">
                  <c:v>0.87722820435378779</c:v>
                </c:pt>
                <c:pt idx="91">
                  <c:v>0.84211559961371396</c:v>
                </c:pt>
                <c:pt idx="92">
                  <c:v>0.80942013703027715</c:v>
                </c:pt>
                <c:pt idx="93">
                  <c:v>0.78637761677158724</c:v>
                </c:pt>
                <c:pt idx="94">
                  <c:v>0.76191005698680447</c:v>
                </c:pt>
                <c:pt idx="95">
                  <c:v>0.73942088448330257</c:v>
                </c:pt>
                <c:pt idx="96">
                  <c:v>0.71936022610395733</c:v>
                </c:pt>
                <c:pt idx="97">
                  <c:v>0.69252672847700092</c:v>
                </c:pt>
                <c:pt idx="98">
                  <c:v>0.66644312072598966</c:v>
                </c:pt>
                <c:pt idx="99">
                  <c:v>0.64011962538159906</c:v>
                </c:pt>
                <c:pt idx="100">
                  <c:v>0.61880575079788147</c:v>
                </c:pt>
                <c:pt idx="101">
                  <c:v>0.60361011150473021</c:v>
                </c:pt>
                <c:pt idx="102">
                  <c:v>0.59107746209100009</c:v>
                </c:pt>
                <c:pt idx="103">
                  <c:v>0.58837826975605545</c:v>
                </c:pt>
                <c:pt idx="104">
                  <c:v>0.586868371999131</c:v>
                </c:pt>
                <c:pt idx="105">
                  <c:v>0.58535006710907689</c:v>
                </c:pt>
                <c:pt idx="106">
                  <c:v>0.58136385742702301</c:v>
                </c:pt>
                <c:pt idx="107">
                  <c:v>0.57765788043918453</c:v>
                </c:pt>
                <c:pt idx="108">
                  <c:v>0.58655260698319256</c:v>
                </c:pt>
                <c:pt idx="109">
                  <c:v>0.59405262263233993</c:v>
                </c:pt>
                <c:pt idx="110">
                  <c:v>0.60305731711760402</c:v>
                </c:pt>
                <c:pt idx="111">
                  <c:v>0.60640132539469105</c:v>
                </c:pt>
                <c:pt idx="112">
                  <c:v>0.610067911714684</c:v>
                </c:pt>
                <c:pt idx="113">
                  <c:v>0.61064485630247256</c:v>
                </c:pt>
                <c:pt idx="114">
                  <c:v>0.59689126371897705</c:v>
                </c:pt>
                <c:pt idx="115">
                  <c:v>0.58088587434049943</c:v>
                </c:pt>
                <c:pt idx="116">
                  <c:v>0.55638048753340663</c:v>
                </c:pt>
                <c:pt idx="117">
                  <c:v>0.52894619464749992</c:v>
                </c:pt>
                <c:pt idx="118">
                  <c:v>0.49440999635746685</c:v>
                </c:pt>
                <c:pt idx="119">
                  <c:v>0.46402853624669183</c:v>
                </c:pt>
                <c:pt idx="120">
                  <c:v>0.442469976520796</c:v>
                </c:pt>
                <c:pt idx="121">
                  <c:v>0.42834809464638779</c:v>
                </c:pt>
                <c:pt idx="122">
                  <c:v>0.41080306778521647</c:v>
                </c:pt>
                <c:pt idx="123">
                  <c:v>0.39619236391774382</c:v>
                </c:pt>
                <c:pt idx="124">
                  <c:v>0.37778716447955363</c:v>
                </c:pt>
                <c:pt idx="125">
                  <c:v>0.36553979153223903</c:v>
                </c:pt>
                <c:pt idx="126">
                  <c:v>0.36822409369721398</c:v>
                </c:pt>
                <c:pt idx="127">
                  <c:v>0.37102521490619822</c:v>
                </c:pt>
                <c:pt idx="128">
                  <c:v>0.37387907107616247</c:v>
                </c:pt>
                <c:pt idx="129">
                  <c:v>0.3747764893851897</c:v>
                </c:pt>
                <c:pt idx="130">
                  <c:v>0.3751779553759832</c:v>
                </c:pt>
                <c:pt idx="131">
                  <c:v>0.38216236144875765</c:v>
                </c:pt>
                <c:pt idx="132">
                  <c:v>0.39867278295078451</c:v>
                </c:pt>
                <c:pt idx="133">
                  <c:v>0.40629879898468013</c:v>
                </c:pt>
                <c:pt idx="134">
                  <c:v>0.40264350340386562</c:v>
                </c:pt>
                <c:pt idx="135">
                  <c:v>0.3914321243126222</c:v>
                </c:pt>
                <c:pt idx="136">
                  <c:v>0.38095750149019725</c:v>
                </c:pt>
                <c:pt idx="137">
                  <c:v>0.36858540496609427</c:v>
                </c:pt>
                <c:pt idx="138">
                  <c:v>0.35903773710761655</c:v>
                </c:pt>
                <c:pt idx="139">
                  <c:v>0.36434334378357902</c:v>
                </c:pt>
                <c:pt idx="140">
                  <c:v>0.36920723836495239</c:v>
                </c:pt>
                <c:pt idx="141">
                  <c:v>0.37368238172903745</c:v>
                </c:pt>
                <c:pt idx="142">
                  <c:v>0.36927142652179057</c:v>
                </c:pt>
                <c:pt idx="143">
                  <c:v>0.37094948471000588</c:v>
                </c:pt>
                <c:pt idx="144">
                  <c:v>0.37855414784417751</c:v>
                </c:pt>
                <c:pt idx="145">
                  <c:v>0.38104364414414771</c:v>
                </c:pt>
                <c:pt idx="146">
                  <c:v>0.38320457942633651</c:v>
                </c:pt>
                <c:pt idx="147">
                  <c:v>0.3970906528930338</c:v>
                </c:pt>
                <c:pt idx="148">
                  <c:v>0.40251304053722081</c:v>
                </c:pt>
                <c:pt idx="149">
                  <c:v>0.40018411743396265</c:v>
                </c:pt>
                <c:pt idx="150">
                  <c:v>0.39787863886016817</c:v>
                </c:pt>
                <c:pt idx="151">
                  <c:v>0.39408814378516666</c:v>
                </c:pt>
                <c:pt idx="152">
                  <c:v>0.39825442146539247</c:v>
                </c:pt>
                <c:pt idx="153">
                  <c:v>0.40684826808666119</c:v>
                </c:pt>
                <c:pt idx="154">
                  <c:v>0.4126747565659008</c:v>
                </c:pt>
                <c:pt idx="155">
                  <c:v>0.41227463591947922</c:v>
                </c:pt>
                <c:pt idx="156">
                  <c:v>0.41205256271628621</c:v>
                </c:pt>
                <c:pt idx="157">
                  <c:v>0.40867281396985655</c:v>
                </c:pt>
                <c:pt idx="158">
                  <c:v>0.41331038355214622</c:v>
                </c:pt>
                <c:pt idx="159">
                  <c:v>0.42117003767405869</c:v>
                </c:pt>
                <c:pt idx="160">
                  <c:v>0.4259395322331031</c:v>
                </c:pt>
                <c:pt idx="161">
                  <c:v>0.43328656953527345</c:v>
                </c:pt>
                <c:pt idx="162">
                  <c:v>0.4424769215438159</c:v>
                </c:pt>
                <c:pt idx="163">
                  <c:v>0.45157635873346669</c:v>
                </c:pt>
                <c:pt idx="164">
                  <c:v>0.4557618621462779</c:v>
                </c:pt>
                <c:pt idx="165">
                  <c:v>0.45498003937939724</c:v>
                </c:pt>
                <c:pt idx="166">
                  <c:v>0.4535886689999945</c:v>
                </c:pt>
                <c:pt idx="167">
                  <c:v>0.45551194285297936</c:v>
                </c:pt>
                <c:pt idx="168">
                  <c:v>0.45441059825946184</c:v>
                </c:pt>
                <c:pt idx="169">
                  <c:v>0.45460545489217896</c:v>
                </c:pt>
                <c:pt idx="170">
                  <c:v>0.45359642122963728</c:v>
                </c:pt>
                <c:pt idx="171">
                  <c:v>0.45271471298913069</c:v>
                </c:pt>
                <c:pt idx="172">
                  <c:v>0.4511393502674077</c:v>
                </c:pt>
                <c:pt idx="173">
                  <c:v>0.45169185527857447</c:v>
                </c:pt>
                <c:pt idx="174">
                  <c:v>0.45272717646245941</c:v>
                </c:pt>
                <c:pt idx="175">
                  <c:v>0.45054547972439329</c:v>
                </c:pt>
                <c:pt idx="176">
                  <c:v>0.44699276030594781</c:v>
                </c:pt>
                <c:pt idx="177">
                  <c:v>0.44874604355161962</c:v>
                </c:pt>
                <c:pt idx="178">
                  <c:v>0.44649253080796703</c:v>
                </c:pt>
                <c:pt idx="179">
                  <c:v>0.44810272525698547</c:v>
                </c:pt>
                <c:pt idx="180">
                  <c:v>0.45367368461073576</c:v>
                </c:pt>
                <c:pt idx="181">
                  <c:v>0.46170503005831842</c:v>
                </c:pt>
                <c:pt idx="182">
                  <c:v>0.46745188430430307</c:v>
                </c:pt>
                <c:pt idx="183">
                  <c:v>0.47736219354571852</c:v>
                </c:pt>
                <c:pt idx="184">
                  <c:v>0.48868000714545345</c:v>
                </c:pt>
                <c:pt idx="185">
                  <c:v>0.5046431476338924</c:v>
                </c:pt>
                <c:pt idx="186">
                  <c:v>0.52019657237831585</c:v>
                </c:pt>
                <c:pt idx="187">
                  <c:v>0.5325266078529145</c:v>
                </c:pt>
                <c:pt idx="188">
                  <c:v>0.5420266581357952</c:v>
                </c:pt>
                <c:pt idx="189">
                  <c:v>0.55222232761035106</c:v>
                </c:pt>
                <c:pt idx="190">
                  <c:v>0.5616286657734012</c:v>
                </c:pt>
                <c:pt idx="191">
                  <c:v>0.56000788117963152</c:v>
                </c:pt>
                <c:pt idx="192">
                  <c:v>0.55084947729233547</c:v>
                </c:pt>
                <c:pt idx="193">
                  <c:v>0.5437853024518684</c:v>
                </c:pt>
                <c:pt idx="194">
                  <c:v>0.53722861181544646</c:v>
                </c:pt>
                <c:pt idx="195">
                  <c:v>0.53674754205202491</c:v>
                </c:pt>
                <c:pt idx="196">
                  <c:v>0.53700540141550157</c:v>
                </c:pt>
                <c:pt idx="197">
                  <c:v>0.53744795371572607</c:v>
                </c:pt>
                <c:pt idx="198">
                  <c:v>0.5422647942431077</c:v>
                </c:pt>
                <c:pt idx="199">
                  <c:v>0.54164908343033247</c:v>
                </c:pt>
                <c:pt idx="200">
                  <c:v>0.53708162405850168</c:v>
                </c:pt>
                <c:pt idx="201">
                  <c:v>0.53429105491848494</c:v>
                </c:pt>
                <c:pt idx="202">
                  <c:v>0.52859397333747737</c:v>
                </c:pt>
                <c:pt idx="203">
                  <c:v>0.52096661195921035</c:v>
                </c:pt>
                <c:pt idx="204">
                  <c:v>0.51492652848470444</c:v>
                </c:pt>
                <c:pt idx="205">
                  <c:v>0.51285838896514169</c:v>
                </c:pt>
                <c:pt idx="206">
                  <c:v>0.50998915525517174</c:v>
                </c:pt>
                <c:pt idx="207">
                  <c:v>0.5100070407201569</c:v>
                </c:pt>
                <c:pt idx="208">
                  <c:v>0.51247500135663993</c:v>
                </c:pt>
                <c:pt idx="209">
                  <c:v>0.51316726987931438</c:v>
                </c:pt>
                <c:pt idx="210">
                  <c:v>0.51755647873706778</c:v>
                </c:pt>
                <c:pt idx="211">
                  <c:v>0.5239888037090723</c:v>
                </c:pt>
                <c:pt idx="212">
                  <c:v>0.53041670173657862</c:v>
                </c:pt>
                <c:pt idx="213">
                  <c:v>0.5333503698267904</c:v>
                </c:pt>
                <c:pt idx="214">
                  <c:v>0.53821008876384147</c:v>
                </c:pt>
                <c:pt idx="215">
                  <c:v>0.54446501104256095</c:v>
                </c:pt>
                <c:pt idx="216">
                  <c:v>0.54472749534461296</c:v>
                </c:pt>
                <c:pt idx="217">
                  <c:v>0.54293443051971235</c:v>
                </c:pt>
                <c:pt idx="218">
                  <c:v>0.54039780655256708</c:v>
                </c:pt>
                <c:pt idx="219">
                  <c:v>0.53219602881857542</c:v>
                </c:pt>
                <c:pt idx="220">
                  <c:v>0.52454671040481038</c:v>
                </c:pt>
                <c:pt idx="221">
                  <c:v>0.51278889812077155</c:v>
                </c:pt>
                <c:pt idx="222">
                  <c:v>0.50215979930386134</c:v>
                </c:pt>
                <c:pt idx="223">
                  <c:v>0.48739881793169781</c:v>
                </c:pt>
                <c:pt idx="224">
                  <c:v>0.47250893226165169</c:v>
                </c:pt>
                <c:pt idx="225">
                  <c:v>0.46354567438303174</c:v>
                </c:pt>
                <c:pt idx="226">
                  <c:v>0.45536062968696056</c:v>
                </c:pt>
                <c:pt idx="227">
                  <c:v>0.44957352679879492</c:v>
                </c:pt>
                <c:pt idx="228">
                  <c:v>0.44372642662842798</c:v>
                </c:pt>
                <c:pt idx="229">
                  <c:v>0.43887059142135609</c:v>
                </c:pt>
                <c:pt idx="230">
                  <c:v>0.43550339245336589</c:v>
                </c:pt>
                <c:pt idx="231">
                  <c:v>0.43606016195235198</c:v>
                </c:pt>
                <c:pt idx="232">
                  <c:v>0.43948637838569915</c:v>
                </c:pt>
                <c:pt idx="233">
                  <c:v>0.44055643991499838</c:v>
                </c:pt>
                <c:pt idx="234">
                  <c:v>0.44026062660992971</c:v>
                </c:pt>
                <c:pt idx="235">
                  <c:v>0.44177721555131333</c:v>
                </c:pt>
                <c:pt idx="236">
                  <c:v>0.45139842805597552</c:v>
                </c:pt>
                <c:pt idx="237">
                  <c:v>0.45702200306658247</c:v>
                </c:pt>
                <c:pt idx="238">
                  <c:v>0.45772680613738348</c:v>
                </c:pt>
                <c:pt idx="239">
                  <c:v>0.46288460769623541</c:v>
                </c:pt>
                <c:pt idx="240">
                  <c:v>0.46932714713192147</c:v>
                </c:pt>
                <c:pt idx="241">
                  <c:v>0.47134505707709784</c:v>
                </c:pt>
                <c:pt idx="242">
                  <c:v>0.47868711406670772</c:v>
                </c:pt>
                <c:pt idx="243">
                  <c:v>0.4916056387068346</c:v>
                </c:pt>
                <c:pt idx="244">
                  <c:v>0.49348175443201714</c:v>
                </c:pt>
                <c:pt idx="245">
                  <c:v>0.49686367095975492</c:v>
                </c:pt>
                <c:pt idx="246">
                  <c:v>0.49582482141987605</c:v>
                </c:pt>
                <c:pt idx="247">
                  <c:v>0.49516445025073574</c:v>
                </c:pt>
                <c:pt idx="248">
                  <c:v>0.48938065234063022</c:v>
                </c:pt>
                <c:pt idx="249">
                  <c:v>0.48070431326391361</c:v>
                </c:pt>
                <c:pt idx="250">
                  <c:v>0.46783882565265444</c:v>
                </c:pt>
                <c:pt idx="251">
                  <c:v>0.45846741059878215</c:v>
                </c:pt>
                <c:pt idx="252">
                  <c:v>0.45874475461017605</c:v>
                </c:pt>
                <c:pt idx="253">
                  <c:v>0.45056983299590447</c:v>
                </c:pt>
                <c:pt idx="254">
                  <c:v>0.45059701910575312</c:v>
                </c:pt>
                <c:pt idx="255">
                  <c:v>0.45344900194713933</c:v>
                </c:pt>
                <c:pt idx="256">
                  <c:v>0.4562737682180501</c:v>
                </c:pt>
                <c:pt idx="257">
                  <c:v>0.45287411345169237</c:v>
                </c:pt>
                <c:pt idx="258">
                  <c:v>0.44954904153123232</c:v>
                </c:pt>
                <c:pt idx="259">
                  <c:v>0.44629610545294496</c:v>
                </c:pt>
                <c:pt idx="260">
                  <c:v>0.4415823995327659</c:v>
                </c:pt>
                <c:pt idx="261">
                  <c:v>0.43182175350672458</c:v>
                </c:pt>
                <c:pt idx="262">
                  <c:v>0.4345844054818383</c:v>
                </c:pt>
                <c:pt idx="263">
                  <c:v>0.43598766565942293</c:v>
                </c:pt>
                <c:pt idx="264">
                  <c:v>0.42882921517752126</c:v>
                </c:pt>
                <c:pt idx="265">
                  <c:v>0.42359962299693843</c:v>
                </c:pt>
                <c:pt idx="266">
                  <c:v>0.41523182469072306</c:v>
                </c:pt>
                <c:pt idx="267">
                  <c:v>0.40252103137511069</c:v>
                </c:pt>
                <c:pt idx="268">
                  <c:v>0.39032955621724252</c:v>
                </c:pt>
                <c:pt idx="269">
                  <c:v>0.38303427659759359</c:v>
                </c:pt>
                <c:pt idx="270">
                  <c:v>0.37527253308530484</c:v>
                </c:pt>
                <c:pt idx="271">
                  <c:v>0.37288078747666542</c:v>
                </c:pt>
                <c:pt idx="272">
                  <c:v>0.36751756706258665</c:v>
                </c:pt>
                <c:pt idx="273">
                  <c:v>0.36963389021773618</c:v>
                </c:pt>
                <c:pt idx="274">
                  <c:v>0.36969123488697858</c:v>
                </c:pt>
                <c:pt idx="275">
                  <c:v>0.36514985742725692</c:v>
                </c:pt>
                <c:pt idx="276">
                  <c:v>0.3627387134758101</c:v>
                </c:pt>
                <c:pt idx="277">
                  <c:v>0.35329815025962386</c:v>
                </c:pt>
                <c:pt idx="278">
                  <c:v>0.35131624985266563</c:v>
                </c:pt>
                <c:pt idx="279">
                  <c:v>0.3496082590213751</c:v>
                </c:pt>
                <c:pt idx="280">
                  <c:v>0.34001303450855502</c:v>
                </c:pt>
                <c:pt idx="281">
                  <c:v>0.34446676659004671</c:v>
                </c:pt>
                <c:pt idx="282">
                  <c:v>0.35120018978595335</c:v>
                </c:pt>
                <c:pt idx="283">
                  <c:v>0.35640221509884618</c:v>
                </c:pt>
                <c:pt idx="284">
                  <c:v>0.35331507367646436</c:v>
                </c:pt>
                <c:pt idx="285">
                  <c:v>0.34814551685386719</c:v>
                </c:pt>
                <c:pt idx="286">
                  <c:v>0.32529032183779849</c:v>
                </c:pt>
                <c:pt idx="287">
                  <c:v>0.33831163332630015</c:v>
                </c:pt>
                <c:pt idx="288">
                  <c:v>0.35178351841354305</c:v>
                </c:pt>
                <c:pt idx="289">
                  <c:v>0.34302454727016962</c:v>
                </c:pt>
                <c:pt idx="290">
                  <c:v>0.32436685461567516</c:v>
                </c:pt>
                <c:pt idx="291">
                  <c:v>0.31268598333776271</c:v>
                </c:pt>
                <c:pt idx="292">
                  <c:v>0.29271422937590474</c:v>
                </c:pt>
                <c:pt idx="293">
                  <c:v>0.26981186480929853</c:v>
                </c:pt>
                <c:pt idx="294">
                  <c:v>0.26803090681454961</c:v>
                </c:pt>
                <c:pt idx="295">
                  <c:v>0.27216610196302016</c:v>
                </c:pt>
                <c:pt idx="296">
                  <c:v>0.26959312958317883</c:v>
                </c:pt>
                <c:pt idx="297">
                  <c:v>0.26438730938380395</c:v>
                </c:pt>
                <c:pt idx="298">
                  <c:v>0.25427539648072828</c:v>
                </c:pt>
                <c:pt idx="299">
                  <c:v>0.24694275182494813</c:v>
                </c:pt>
                <c:pt idx="300">
                  <c:v>0.26188527345893592</c:v>
                </c:pt>
                <c:pt idx="301">
                  <c:v>0.25815525922859417</c:v>
                </c:pt>
                <c:pt idx="302">
                  <c:v>0.24721309750722448</c:v>
                </c:pt>
                <c:pt idx="303">
                  <c:v>0.24116343924220954</c:v>
                </c:pt>
                <c:pt idx="304">
                  <c:v>0.25255909370576862</c:v>
                </c:pt>
                <c:pt idx="305">
                  <c:v>0.26854282938582813</c:v>
                </c:pt>
                <c:pt idx="306">
                  <c:v>0.27351783418198067</c:v>
                </c:pt>
                <c:pt idx="307">
                  <c:v>0.27545605785699628</c:v>
                </c:pt>
                <c:pt idx="308">
                  <c:v>0.27440413309285755</c:v>
                </c:pt>
                <c:pt idx="309">
                  <c:v>0.27319358334295923</c:v>
                </c:pt>
                <c:pt idx="310">
                  <c:v>0.27388038164465117</c:v>
                </c:pt>
                <c:pt idx="311">
                  <c:v>0.26342335237286668</c:v>
                </c:pt>
                <c:pt idx="312">
                  <c:v>0.25770821779342401</c:v>
                </c:pt>
                <c:pt idx="313">
                  <c:v>0.26807825785965794</c:v>
                </c:pt>
                <c:pt idx="314">
                  <c:v>0.2778859528629205</c:v>
                </c:pt>
                <c:pt idx="315">
                  <c:v>0.28902262980414251</c:v>
                </c:pt>
                <c:pt idx="316">
                  <c:v>0.29504063186225582</c:v>
                </c:pt>
                <c:pt idx="317">
                  <c:v>0.29496553880085075</c:v>
                </c:pt>
                <c:pt idx="318">
                  <c:v>0.30134324786814026</c:v>
                </c:pt>
                <c:pt idx="319">
                  <c:v>0.30240141706087231</c:v>
                </c:pt>
                <c:pt idx="320">
                  <c:v>0.30608218280286492</c:v>
                </c:pt>
                <c:pt idx="321">
                  <c:v>0.32173409944721587</c:v>
                </c:pt>
                <c:pt idx="322">
                  <c:v>0.32501700878274808</c:v>
                </c:pt>
                <c:pt idx="323">
                  <c:v>0.33300217084260109</c:v>
                </c:pt>
                <c:pt idx="324">
                  <c:v>0.34108507344024219</c:v>
                </c:pt>
                <c:pt idx="325">
                  <c:v>0.34447745827022214</c:v>
                </c:pt>
                <c:pt idx="326">
                  <c:v>0.34655494920235996</c:v>
                </c:pt>
                <c:pt idx="327">
                  <c:v>0.3476339230035248</c:v>
                </c:pt>
                <c:pt idx="328">
                  <c:v>0.35113221435779007</c:v>
                </c:pt>
                <c:pt idx="329">
                  <c:v>0.35425630452106383</c:v>
                </c:pt>
                <c:pt idx="330">
                  <c:v>0.35435088476877186</c:v>
                </c:pt>
                <c:pt idx="331">
                  <c:v>0.35248902461715703</c:v>
                </c:pt>
                <c:pt idx="332">
                  <c:v>0.35340839996168238</c:v>
                </c:pt>
                <c:pt idx="333">
                  <c:v>0.35264888706589925</c:v>
                </c:pt>
                <c:pt idx="334">
                  <c:v>0.3487715106667354</c:v>
                </c:pt>
                <c:pt idx="335">
                  <c:v>0.34490607229507997</c:v>
                </c:pt>
                <c:pt idx="336">
                  <c:v>0.34057757908265474</c:v>
                </c:pt>
                <c:pt idx="337">
                  <c:v>0.33189586878199401</c:v>
                </c:pt>
                <c:pt idx="338">
                  <c:v>0.32516477074730316</c:v>
                </c:pt>
                <c:pt idx="339">
                  <c:v>0.32202731344542374</c:v>
                </c:pt>
                <c:pt idx="340">
                  <c:v>0.31558872373774199</c:v>
                </c:pt>
                <c:pt idx="341">
                  <c:v>0.3054174633791803</c:v>
                </c:pt>
                <c:pt idx="342">
                  <c:v>0.3043779183216454</c:v>
                </c:pt>
                <c:pt idx="343">
                  <c:v>0.30109221422356008</c:v>
                </c:pt>
                <c:pt idx="344">
                  <c:v>0.29616257291658621</c:v>
                </c:pt>
                <c:pt idx="345">
                  <c:v>0.29235731712928115</c:v>
                </c:pt>
                <c:pt idx="346">
                  <c:v>0.29130101872674186</c:v>
                </c:pt>
                <c:pt idx="347">
                  <c:v>0.28770349172556597</c:v>
                </c:pt>
                <c:pt idx="348">
                  <c:v>0.28496764256407425</c:v>
                </c:pt>
                <c:pt idx="349">
                  <c:v>0.2789617689123905</c:v>
                </c:pt>
                <c:pt idx="350">
                  <c:v>0.27340608429402902</c:v>
                </c:pt>
                <c:pt idx="351">
                  <c:v>0.27581032002904676</c:v>
                </c:pt>
                <c:pt idx="352">
                  <c:v>0.27788033922315097</c:v>
                </c:pt>
                <c:pt idx="353">
                  <c:v>0.2771931817398956</c:v>
                </c:pt>
                <c:pt idx="354">
                  <c:v>0.27810831163449368</c:v>
                </c:pt>
                <c:pt idx="355">
                  <c:v>0.27943866810825985</c:v>
                </c:pt>
                <c:pt idx="356">
                  <c:v>0.27800442820353749</c:v>
                </c:pt>
                <c:pt idx="357">
                  <c:v>0.28068302027009051</c:v>
                </c:pt>
                <c:pt idx="358">
                  <c:v>0.28217431673728866</c:v>
                </c:pt>
                <c:pt idx="359">
                  <c:v>0.27533789219942384</c:v>
                </c:pt>
                <c:pt idx="360">
                  <c:v>0.28050966122507692</c:v>
                </c:pt>
                <c:pt idx="361">
                  <c:v>0.28765355914229557</c:v>
                </c:pt>
                <c:pt idx="362">
                  <c:v>0.2910083377895113</c:v>
                </c:pt>
                <c:pt idx="363">
                  <c:v>0.29265108449555133</c:v>
                </c:pt>
                <c:pt idx="364">
                  <c:v>0.29278100922444716</c:v>
                </c:pt>
                <c:pt idx="365">
                  <c:v>0.29590627719864293</c:v>
                </c:pt>
                <c:pt idx="366">
                  <c:v>0.29540488258166819</c:v>
                </c:pt>
                <c:pt idx="367">
                  <c:v>0.29763095283852636</c:v>
                </c:pt>
                <c:pt idx="368">
                  <c:v>0.29896624520310472</c:v>
                </c:pt>
                <c:pt idx="369">
                  <c:v>0.30031307706865146</c:v>
                </c:pt>
                <c:pt idx="370">
                  <c:v>0.29921582942950364</c:v>
                </c:pt>
                <c:pt idx="371">
                  <c:v>0.30401176127464191</c:v>
                </c:pt>
                <c:pt idx="372">
                  <c:v>0.30807371130642969</c:v>
                </c:pt>
                <c:pt idx="373">
                  <c:v>0.3053763973768342</c:v>
                </c:pt>
                <c:pt idx="374">
                  <c:v>0.30345967763548615</c:v>
                </c:pt>
                <c:pt idx="375">
                  <c:v>0.30445328045192444</c:v>
                </c:pt>
                <c:pt idx="376">
                  <c:v>0.30577405578921757</c:v>
                </c:pt>
                <c:pt idx="377">
                  <c:v>0.30426725486273287</c:v>
                </c:pt>
                <c:pt idx="378">
                  <c:v>0.3058231963961785</c:v>
                </c:pt>
                <c:pt idx="379">
                  <c:v>0.30597240016375793</c:v>
                </c:pt>
                <c:pt idx="380">
                  <c:v>0.30123531063536985</c:v>
                </c:pt>
                <c:pt idx="381">
                  <c:v>0.29633677470562103</c:v>
                </c:pt>
                <c:pt idx="382">
                  <c:v>0.2928223036814982</c:v>
                </c:pt>
                <c:pt idx="383">
                  <c:v>0.29096922888246818</c:v>
                </c:pt>
                <c:pt idx="384">
                  <c:v>0.28942528375940024</c:v>
                </c:pt>
                <c:pt idx="385">
                  <c:v>0.28704985235505509</c:v>
                </c:pt>
                <c:pt idx="386">
                  <c:v>0.2862445584056611</c:v>
                </c:pt>
                <c:pt idx="387">
                  <c:v>0.28062044018053411</c:v>
                </c:pt>
                <c:pt idx="388">
                  <c:v>0.28074276244453783</c:v>
                </c:pt>
                <c:pt idx="389">
                  <c:v>0.27958521672449455</c:v>
                </c:pt>
                <c:pt idx="390">
                  <c:v>0.27407934411608714</c:v>
                </c:pt>
                <c:pt idx="391">
                  <c:v>0.26252683011395894</c:v>
                </c:pt>
                <c:pt idx="392">
                  <c:v>0.26633886592921929</c:v>
                </c:pt>
                <c:pt idx="393">
                  <c:v>0.26614434436340245</c:v>
                </c:pt>
                <c:pt idx="394">
                  <c:v>0.2671016964949906</c:v>
                </c:pt>
                <c:pt idx="395">
                  <c:v>0.26527365017804277</c:v>
                </c:pt>
                <c:pt idx="396">
                  <c:v>0.26009037211204861</c:v>
                </c:pt>
                <c:pt idx="397">
                  <c:v>0.25441896122468255</c:v>
                </c:pt>
                <c:pt idx="398">
                  <c:v>0.25058020509333279</c:v>
                </c:pt>
                <c:pt idx="399">
                  <c:v>0.24492413367018773</c:v>
                </c:pt>
                <c:pt idx="400">
                  <c:v>0.24294425381817239</c:v>
                </c:pt>
                <c:pt idx="401">
                  <c:v>0.24522482067562165</c:v>
                </c:pt>
                <c:pt idx="402">
                  <c:v>0.24159849188215898</c:v>
                </c:pt>
                <c:pt idx="403">
                  <c:v>0.23726835633424598</c:v>
                </c:pt>
                <c:pt idx="404">
                  <c:v>0.23375603151515389</c:v>
                </c:pt>
                <c:pt idx="405">
                  <c:v>0.23326077090699787</c:v>
                </c:pt>
                <c:pt idx="406">
                  <c:v>0.22776838156833731</c:v>
                </c:pt>
                <c:pt idx="407">
                  <c:v>0.22028803269627487</c:v>
                </c:pt>
                <c:pt idx="408">
                  <c:v>0.2164195749149401</c:v>
                </c:pt>
                <c:pt idx="409">
                  <c:v>0.21400051564257538</c:v>
                </c:pt>
                <c:pt idx="410">
                  <c:v>0.21005670080773303</c:v>
                </c:pt>
                <c:pt idx="411">
                  <c:v>0.21232494063007976</c:v>
                </c:pt>
                <c:pt idx="412">
                  <c:v>0.21068231830493467</c:v>
                </c:pt>
                <c:pt idx="413">
                  <c:v>0.20692050889107882</c:v>
                </c:pt>
                <c:pt idx="414">
                  <c:v>0.20439941540167189</c:v>
                </c:pt>
                <c:pt idx="415">
                  <c:v>0.20005535300112742</c:v>
                </c:pt>
                <c:pt idx="416">
                  <c:v>0.19696416507478998</c:v>
                </c:pt>
                <c:pt idx="417">
                  <c:v>0.1935884247565316</c:v>
                </c:pt>
                <c:pt idx="418">
                  <c:v>0.18452390337819979</c:v>
                </c:pt>
                <c:pt idx="419">
                  <c:v>0.19261880238621848</c:v>
                </c:pt>
                <c:pt idx="420">
                  <c:v>0.19183786884754531</c:v>
                </c:pt>
                <c:pt idx="421">
                  <c:v>0.18846366345933349</c:v>
                </c:pt>
                <c:pt idx="422">
                  <c:v>0.1861294992243937</c:v>
                </c:pt>
                <c:pt idx="423">
                  <c:v>0.19339617980530566</c:v>
                </c:pt>
                <c:pt idx="424">
                  <c:v>0.18972901758907795</c:v>
                </c:pt>
                <c:pt idx="425">
                  <c:v>0.18376003659582912</c:v>
                </c:pt>
                <c:pt idx="426">
                  <c:v>0.18095379982592663</c:v>
                </c:pt>
                <c:pt idx="427">
                  <c:v>0.18010048763263248</c:v>
                </c:pt>
                <c:pt idx="428">
                  <c:v>0.19168246507312128</c:v>
                </c:pt>
                <c:pt idx="429">
                  <c:v>0.18293383523338516</c:v>
                </c:pt>
                <c:pt idx="430">
                  <c:v>0.18025148849789707</c:v>
                </c:pt>
                <c:pt idx="431">
                  <c:v>0.17145753943208158</c:v>
                </c:pt>
                <c:pt idx="432">
                  <c:v>0.16547511229297554</c:v>
                </c:pt>
                <c:pt idx="433">
                  <c:v>0.17072326421705103</c:v>
                </c:pt>
                <c:pt idx="434">
                  <c:v>0.18089395920971202</c:v>
                </c:pt>
                <c:pt idx="435">
                  <c:v>0.209029407268329</c:v>
                </c:pt>
                <c:pt idx="436">
                  <c:v>0.20192279613357317</c:v>
                </c:pt>
                <c:pt idx="437">
                  <c:v>0.17016697968853386</c:v>
                </c:pt>
                <c:pt idx="438">
                  <c:v>0.17125048545990129</c:v>
                </c:pt>
                <c:pt idx="439">
                  <c:v>0.17874219329025584</c:v>
                </c:pt>
                <c:pt idx="440">
                  <c:v>0.1866775906175866</c:v>
                </c:pt>
                <c:pt idx="441">
                  <c:v>0.22157454998141929</c:v>
                </c:pt>
                <c:pt idx="442">
                  <c:v>0.20724195100642645</c:v>
                </c:pt>
                <c:pt idx="443">
                  <c:v>0.19937349915729907</c:v>
                </c:pt>
                <c:pt idx="444">
                  <c:v>0.19736738159975747</c:v>
                </c:pt>
                <c:pt idx="445">
                  <c:v>0.20326484651354434</c:v>
                </c:pt>
                <c:pt idx="446">
                  <c:v>0.20913979594699925</c:v>
                </c:pt>
                <c:pt idx="447">
                  <c:v>0.19213585167906261</c:v>
                </c:pt>
                <c:pt idx="448">
                  <c:v>0.19381062043682981</c:v>
                </c:pt>
                <c:pt idx="449">
                  <c:v>0.20675707112620942</c:v>
                </c:pt>
                <c:pt idx="450">
                  <c:v>0.21095427141989656</c:v>
                </c:pt>
                <c:pt idx="451">
                  <c:v>0.20590949941264036</c:v>
                </c:pt>
                <c:pt idx="452">
                  <c:v>0.19945239440304449</c:v>
                </c:pt>
                <c:pt idx="453">
                  <c:v>0.2089915992839092</c:v>
                </c:pt>
                <c:pt idx="454">
                  <c:v>0.21960375945366511</c:v>
                </c:pt>
                <c:pt idx="455">
                  <c:v>0.21828275137814135</c:v>
                </c:pt>
                <c:pt idx="456">
                  <c:v>0.21787640676886105</c:v>
                </c:pt>
                <c:pt idx="457">
                  <c:v>0.21190579605272808</c:v>
                </c:pt>
                <c:pt idx="458">
                  <c:v>0.21184335303599464</c:v>
                </c:pt>
                <c:pt idx="459">
                  <c:v>0.22222944141063081</c:v>
                </c:pt>
                <c:pt idx="460">
                  <c:v>0.21892878304834004</c:v>
                </c:pt>
                <c:pt idx="461">
                  <c:v>0.21573460234709563</c:v>
                </c:pt>
                <c:pt idx="462">
                  <c:v>0.22114118854088058</c:v>
                </c:pt>
                <c:pt idx="463">
                  <c:v>0.22982360133975782</c:v>
                </c:pt>
                <c:pt idx="464">
                  <c:v>0.21861585721670301</c:v>
                </c:pt>
                <c:pt idx="465">
                  <c:v>0.21700903374376984</c:v>
                </c:pt>
                <c:pt idx="466">
                  <c:v>0.21944778263869036</c:v>
                </c:pt>
                <c:pt idx="467">
                  <c:v>0.21545476183345752</c:v>
                </c:pt>
                <c:pt idx="468">
                  <c:v>0.21856339830515747</c:v>
                </c:pt>
                <c:pt idx="469">
                  <c:v>0.22613497802511956</c:v>
                </c:pt>
                <c:pt idx="470">
                  <c:v>0.22538076527848316</c:v>
                </c:pt>
                <c:pt idx="471">
                  <c:v>0.22496114856140875</c:v>
                </c:pt>
                <c:pt idx="472">
                  <c:v>0.2174721717166691</c:v>
                </c:pt>
                <c:pt idx="473">
                  <c:v>0.21384807352955801</c:v>
                </c:pt>
                <c:pt idx="474">
                  <c:v>0.20726057069944839</c:v>
                </c:pt>
                <c:pt idx="475">
                  <c:v>0.21309280925668403</c:v>
                </c:pt>
                <c:pt idx="476">
                  <c:v>0.21442811621697921</c:v>
                </c:pt>
                <c:pt idx="477">
                  <c:v>0.216144865747806</c:v>
                </c:pt>
                <c:pt idx="478">
                  <c:v>0.21905717268854033</c:v>
                </c:pt>
                <c:pt idx="479">
                  <c:v>0.2287551542237044</c:v>
                </c:pt>
                <c:pt idx="480">
                  <c:v>0.23377285974253381</c:v>
                </c:pt>
                <c:pt idx="481">
                  <c:v>0.22784495133556867</c:v>
                </c:pt>
                <c:pt idx="482">
                  <c:v>0.22525297660107521</c:v>
                </c:pt>
                <c:pt idx="483">
                  <c:v>0.22556157194686707</c:v>
                </c:pt>
                <c:pt idx="484">
                  <c:v>0.22681118618206023</c:v>
                </c:pt>
                <c:pt idx="485">
                  <c:v>0.23215098681593455</c:v>
                </c:pt>
                <c:pt idx="486">
                  <c:v>0.23563136795595496</c:v>
                </c:pt>
                <c:pt idx="487">
                  <c:v>0.23227174733819417</c:v>
                </c:pt>
                <c:pt idx="488">
                  <c:v>0.2243208890214311</c:v>
                </c:pt>
                <c:pt idx="489">
                  <c:v>0.22492232776113169</c:v>
                </c:pt>
                <c:pt idx="490">
                  <c:v>0.23390208895377371</c:v>
                </c:pt>
                <c:pt idx="491">
                  <c:v>0.23774380357354821</c:v>
                </c:pt>
                <c:pt idx="492">
                  <c:v>0.23887909145939873</c:v>
                </c:pt>
                <c:pt idx="493">
                  <c:v>0.23933852529310085</c:v>
                </c:pt>
                <c:pt idx="494">
                  <c:v>0.24335520067920713</c:v>
                </c:pt>
                <c:pt idx="495">
                  <c:v>0.24090902066042308</c:v>
                </c:pt>
                <c:pt idx="496">
                  <c:v>0.2392382286010068</c:v>
                </c:pt>
                <c:pt idx="497">
                  <c:v>0.24495634832192331</c:v>
                </c:pt>
                <c:pt idx="498">
                  <c:v>0.24966578467751122</c:v>
                </c:pt>
                <c:pt idx="499">
                  <c:v>0.25192576015091872</c:v>
                </c:pt>
                <c:pt idx="500">
                  <c:v>0.25166835262008019</c:v>
                </c:pt>
                <c:pt idx="501">
                  <c:v>0.25113089262040489</c:v>
                </c:pt>
                <c:pt idx="502">
                  <c:v>0.25134396216985039</c:v>
                </c:pt>
                <c:pt idx="503">
                  <c:v>0.25468660098790186</c:v>
                </c:pt>
                <c:pt idx="504">
                  <c:v>0.26119190962287203</c:v>
                </c:pt>
                <c:pt idx="505">
                  <c:v>0.26405319057073584</c:v>
                </c:pt>
                <c:pt idx="506">
                  <c:v>0.27171420586537737</c:v>
                </c:pt>
                <c:pt idx="507">
                  <c:v>0.27488729956278996</c:v>
                </c:pt>
                <c:pt idx="508">
                  <c:v>0.27292714931290291</c:v>
                </c:pt>
                <c:pt idx="509">
                  <c:v>0.27878856724728457</c:v>
                </c:pt>
                <c:pt idx="510">
                  <c:v>0.27957849761779374</c:v>
                </c:pt>
                <c:pt idx="511">
                  <c:v>0.28385682471547247</c:v>
                </c:pt>
                <c:pt idx="512">
                  <c:v>0.28990800601185135</c:v>
                </c:pt>
                <c:pt idx="513">
                  <c:v>0.29039062672887839</c:v>
                </c:pt>
                <c:pt idx="514">
                  <c:v>0.29605357971540291</c:v>
                </c:pt>
                <c:pt idx="515">
                  <c:v>0.30087126552519156</c:v>
                </c:pt>
                <c:pt idx="516">
                  <c:v>0.30357604484685663</c:v>
                </c:pt>
                <c:pt idx="517">
                  <c:v>0.3058245188950795</c:v>
                </c:pt>
                <c:pt idx="518">
                  <c:v>0.30681141783513044</c:v>
                </c:pt>
                <c:pt idx="519">
                  <c:v>0.31312272527333296</c:v>
                </c:pt>
                <c:pt idx="520">
                  <c:v>0.32128007872082032</c:v>
                </c:pt>
                <c:pt idx="521">
                  <c:v>0.33377324608482295</c:v>
                </c:pt>
                <c:pt idx="522">
                  <c:v>0.34608229418722508</c:v>
                </c:pt>
                <c:pt idx="523">
                  <c:v>0.34868841915228344</c:v>
                </c:pt>
                <c:pt idx="524">
                  <c:v>0.3468545497787543</c:v>
                </c:pt>
                <c:pt idx="525">
                  <c:v>0.3523647579497779</c:v>
                </c:pt>
                <c:pt idx="526">
                  <c:v>0.35950570626292161</c:v>
                </c:pt>
                <c:pt idx="527">
                  <c:v>0.36180398089836352</c:v>
                </c:pt>
                <c:pt idx="528">
                  <c:v>0.36982849808866375</c:v>
                </c:pt>
                <c:pt idx="529">
                  <c:v>0.36845723172326672</c:v>
                </c:pt>
                <c:pt idx="530">
                  <c:v>0.36472816050317752</c:v>
                </c:pt>
                <c:pt idx="531">
                  <c:v>0.37067829374532291</c:v>
                </c:pt>
                <c:pt idx="532">
                  <c:v>0.37848723599958356</c:v>
                </c:pt>
                <c:pt idx="533">
                  <c:v>0.38038104173405946</c:v>
                </c:pt>
                <c:pt idx="534">
                  <c:v>0.38003452163811002</c:v>
                </c:pt>
                <c:pt idx="535">
                  <c:v>0.38110792114448244</c:v>
                </c:pt>
                <c:pt idx="536">
                  <c:v>0.38373779016850618</c:v>
                </c:pt>
                <c:pt idx="537">
                  <c:v>0.38440961453350408</c:v>
                </c:pt>
                <c:pt idx="538">
                  <c:v>0.38866944187688124</c:v>
                </c:pt>
                <c:pt idx="539">
                  <c:v>0.39438641424750298</c:v>
                </c:pt>
                <c:pt idx="540">
                  <c:v>0.39256224912214843</c:v>
                </c:pt>
                <c:pt idx="541">
                  <c:v>0.38631772914764534</c:v>
                </c:pt>
                <c:pt idx="542">
                  <c:v>0.38053400738910836</c:v>
                </c:pt>
                <c:pt idx="543">
                  <c:v>0.37854744396779016</c:v>
                </c:pt>
                <c:pt idx="544">
                  <c:v>0.37230950348877989</c:v>
                </c:pt>
                <c:pt idx="545">
                  <c:v>0.36809145289571876</c:v>
                </c:pt>
                <c:pt idx="546">
                  <c:v>0.36809008216749128</c:v>
                </c:pt>
                <c:pt idx="547">
                  <c:v>0.35947557308738343</c:v>
                </c:pt>
                <c:pt idx="548">
                  <c:v>0.35060224259565476</c:v>
                </c:pt>
                <c:pt idx="549">
                  <c:v>0.35016543973882935</c:v>
                </c:pt>
                <c:pt idx="550">
                  <c:v>0.35054968786005214</c:v>
                </c:pt>
                <c:pt idx="551">
                  <c:v>0.34895881052550093</c:v>
                </c:pt>
                <c:pt idx="552">
                  <c:v>0.33770089013415738</c:v>
                </c:pt>
                <c:pt idx="553">
                  <c:v>0.33032114319505834</c:v>
                </c:pt>
                <c:pt idx="554">
                  <c:v>0.32347895525267345</c:v>
                </c:pt>
                <c:pt idx="555">
                  <c:v>0.31962541175597103</c:v>
                </c:pt>
                <c:pt idx="556">
                  <c:v>0.32202097763494913</c:v>
                </c:pt>
                <c:pt idx="557">
                  <c:v>0.31835493960624694</c:v>
                </c:pt>
                <c:pt idx="558">
                  <c:v>0.32049605263523251</c:v>
                </c:pt>
                <c:pt idx="559">
                  <c:v>0.32502496662162539</c:v>
                </c:pt>
                <c:pt idx="560">
                  <c:v>0.32117494132737412</c:v>
                </c:pt>
                <c:pt idx="561">
                  <c:v>0.31676405973331045</c:v>
                </c:pt>
                <c:pt idx="562">
                  <c:v>0.30590248540899151</c:v>
                </c:pt>
                <c:pt idx="563">
                  <c:v>0.2970611880744265</c:v>
                </c:pt>
                <c:pt idx="564">
                  <c:v>0.28174768011481832</c:v>
                </c:pt>
                <c:pt idx="565">
                  <c:v>0.26946693755031748</c:v>
                </c:pt>
                <c:pt idx="566">
                  <c:v>0.26862622423735955</c:v>
                </c:pt>
                <c:pt idx="567">
                  <c:v>0.25585527499044536</c:v>
                </c:pt>
                <c:pt idx="568">
                  <c:v>0.24267833952256884</c:v>
                </c:pt>
                <c:pt idx="569">
                  <c:v>0.23594897044577451</c:v>
                </c:pt>
                <c:pt idx="570">
                  <c:v>0.227835793157598</c:v>
                </c:pt>
                <c:pt idx="571">
                  <c:v>0.21802860170657984</c:v>
                </c:pt>
                <c:pt idx="572">
                  <c:v>0.20479708063596644</c:v>
                </c:pt>
                <c:pt idx="573">
                  <c:v>0.19649131523855984</c:v>
                </c:pt>
                <c:pt idx="574">
                  <c:v>0.21927321468753155</c:v>
                </c:pt>
                <c:pt idx="575">
                  <c:v>0.2196686237729692</c:v>
                </c:pt>
                <c:pt idx="576">
                  <c:v>0.20584709986576047</c:v>
                </c:pt>
                <c:pt idx="577">
                  <c:v>0.24277513292522773</c:v>
                </c:pt>
                <c:pt idx="578">
                  <c:v>0.23456553918465498</c:v>
                </c:pt>
                <c:pt idx="579">
                  <c:v>0.26896649324145427</c:v>
                </c:pt>
                <c:pt idx="580">
                  <c:v>0.27289274339979241</c:v>
                </c:pt>
                <c:pt idx="581">
                  <c:v>0.2441000502732347</c:v>
                </c:pt>
                <c:pt idx="582">
                  <c:v>0.294637366156067</c:v>
                </c:pt>
                <c:pt idx="583">
                  <c:v>0.19889450833168973</c:v>
                </c:pt>
                <c:pt idx="584">
                  <c:v>0.16625870066569515</c:v>
                </c:pt>
                <c:pt idx="585">
                  <c:v>0.50174150127810979</c:v>
                </c:pt>
                <c:pt idx="586">
                  <c:v>0.56634908826189567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3EE-8743-9942-47F0944A1E12}"/>
            </c:ext>
          </c:extLst>
        </c:ser>
        <c:ser>
          <c:idx val="2"/>
          <c:order val="3"/>
          <c:tx>
            <c:strRef>
              <c:f>'Fig 2d'!$R$4</c:f>
              <c:strCache>
                <c:ptCount val="1"/>
                <c:pt idx="0">
                  <c:v>oxidized (120 min)</c:v>
                </c:pt>
              </c:strCache>
            </c:strRef>
          </c:tx>
          <c:spPr>
            <a:ln w="19050" cap="rnd">
              <a:solidFill>
                <a:srgbClr val="0F5C7A"/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2d'!$R$5:$R$591</c:f>
              <c:numCache>
                <c:formatCode>General</c:formatCode>
                <c:ptCount val="587"/>
                <c:pt idx="0">
                  <c:v>0.20482696735306966</c:v>
                </c:pt>
                <c:pt idx="1">
                  <c:v>0.20025523108519766</c:v>
                </c:pt>
                <c:pt idx="2">
                  <c:v>0.17444546280931084</c:v>
                </c:pt>
                <c:pt idx="3">
                  <c:v>0.11452916260963052</c:v>
                </c:pt>
                <c:pt idx="4">
                  <c:v>0.11254761563790337</c:v>
                </c:pt>
                <c:pt idx="5">
                  <c:v>0.1115182447308863</c:v>
                </c:pt>
                <c:pt idx="6">
                  <c:v>0.13469702298478445</c:v>
                </c:pt>
                <c:pt idx="7">
                  <c:v>0.13365831940239217</c:v>
                </c:pt>
                <c:pt idx="8">
                  <c:v>0.1265429627502378</c:v>
                </c:pt>
                <c:pt idx="9">
                  <c:v>0.11972360977795939</c:v>
                </c:pt>
                <c:pt idx="10">
                  <c:v>0.12405020566470973</c:v>
                </c:pt>
                <c:pt idx="11">
                  <c:v>0.1437033586181615</c:v>
                </c:pt>
                <c:pt idx="12">
                  <c:v>0.14861158294739096</c:v>
                </c:pt>
                <c:pt idx="13">
                  <c:v>0.13943755814799688</c:v>
                </c:pt>
                <c:pt idx="14">
                  <c:v>0.14656742641033524</c:v>
                </c:pt>
                <c:pt idx="15">
                  <c:v>0.16220106911576743</c:v>
                </c:pt>
                <c:pt idx="16">
                  <c:v>0.16969128337274034</c:v>
                </c:pt>
                <c:pt idx="17">
                  <c:v>0.15891904043643024</c:v>
                </c:pt>
                <c:pt idx="18">
                  <c:v>0.16450246747376751</c:v>
                </c:pt>
                <c:pt idx="19">
                  <c:v>0.16713125066332674</c:v>
                </c:pt>
                <c:pt idx="20">
                  <c:v>0.17080955072769938</c:v>
                </c:pt>
                <c:pt idx="21">
                  <c:v>0.18208711452026111</c:v>
                </c:pt>
                <c:pt idx="22">
                  <c:v>0.19990559864417864</c:v>
                </c:pt>
                <c:pt idx="23">
                  <c:v>0.21192608709305955</c:v>
                </c:pt>
                <c:pt idx="24">
                  <c:v>0.2296189360031517</c:v>
                </c:pt>
                <c:pt idx="25">
                  <c:v>0.24924643143690028</c:v>
                </c:pt>
                <c:pt idx="26">
                  <c:v>0.265279918533186</c:v>
                </c:pt>
                <c:pt idx="27">
                  <c:v>0.29120736439370998</c:v>
                </c:pt>
                <c:pt idx="28">
                  <c:v>0.31074489483090495</c:v>
                </c:pt>
                <c:pt idx="29">
                  <c:v>0.32888568042123251</c:v>
                </c:pt>
                <c:pt idx="30">
                  <c:v>0.34783694005382143</c:v>
                </c:pt>
                <c:pt idx="31">
                  <c:v>0.3514099459668274</c:v>
                </c:pt>
                <c:pt idx="32">
                  <c:v>0.36876046934569806</c:v>
                </c:pt>
                <c:pt idx="33">
                  <c:v>0.39052470072407003</c:v>
                </c:pt>
                <c:pt idx="34">
                  <c:v>0.39626187162032944</c:v>
                </c:pt>
                <c:pt idx="35">
                  <c:v>0.41027446906806192</c:v>
                </c:pt>
                <c:pt idx="36">
                  <c:v>0.42459240290667943</c:v>
                </c:pt>
                <c:pt idx="37">
                  <c:v>0.4448140766019329</c:v>
                </c:pt>
                <c:pt idx="38">
                  <c:v>0.47991124118709794</c:v>
                </c:pt>
                <c:pt idx="39">
                  <c:v>0.50931793159416905</c:v>
                </c:pt>
                <c:pt idx="40">
                  <c:v>0.54319177413166109</c:v>
                </c:pt>
                <c:pt idx="41">
                  <c:v>0.57304870762391102</c:v>
                </c:pt>
                <c:pt idx="42">
                  <c:v>0.59950555323871446</c:v>
                </c:pt>
                <c:pt idx="43">
                  <c:v>0.63411313966373384</c:v>
                </c:pt>
                <c:pt idx="44">
                  <c:v>0.66148326690308712</c:v>
                </c:pt>
                <c:pt idx="45">
                  <c:v>0.69047473752379029</c:v>
                </c:pt>
                <c:pt idx="46">
                  <c:v>0.72115062265485541</c:v>
                </c:pt>
                <c:pt idx="47">
                  <c:v>0.75674047912285647</c:v>
                </c:pt>
                <c:pt idx="48">
                  <c:v>0.78746189028533387</c:v>
                </c:pt>
                <c:pt idx="49">
                  <c:v>0.81705237547217568</c:v>
                </c:pt>
                <c:pt idx="50">
                  <c:v>0.83402412239132129</c:v>
                </c:pt>
                <c:pt idx="51">
                  <c:v>0.84416524961845085</c:v>
                </c:pt>
                <c:pt idx="52">
                  <c:v>0.83590571095864896</c:v>
                </c:pt>
                <c:pt idx="53">
                  <c:v>0.81665752867608765</c:v>
                </c:pt>
                <c:pt idx="54">
                  <c:v>0.81196280112201025</c:v>
                </c:pt>
                <c:pt idx="55">
                  <c:v>0.81537074628406736</c:v>
                </c:pt>
                <c:pt idx="56">
                  <c:v>0.8297082473155879</c:v>
                </c:pt>
                <c:pt idx="57">
                  <c:v>0.85387662229898442</c:v>
                </c:pt>
                <c:pt idx="58">
                  <c:v>0.90125185226542914</c:v>
                </c:pt>
                <c:pt idx="59">
                  <c:v>0.95111286679451579</c:v>
                </c:pt>
                <c:pt idx="60">
                  <c:v>0.98961464388541687</c:v>
                </c:pt>
                <c:pt idx="61">
                  <c:v>1.017076048202713</c:v>
                </c:pt>
                <c:pt idx="62">
                  <c:v>1.0436561108790241</c:v>
                </c:pt>
                <c:pt idx="63">
                  <c:v>1.0495661025070055</c:v>
                </c:pt>
                <c:pt idx="64">
                  <c:v>1.0354426455847052</c:v>
                </c:pt>
                <c:pt idx="65">
                  <c:v>1.0170912032748851</c:v>
                </c:pt>
                <c:pt idx="66">
                  <c:v>0.98417098088269828</c:v>
                </c:pt>
                <c:pt idx="67">
                  <c:v>0.94064533385565641</c:v>
                </c:pt>
                <c:pt idx="68">
                  <c:v>0.89895522635642267</c:v>
                </c:pt>
                <c:pt idx="69">
                  <c:v>0.87028929787591747</c:v>
                </c:pt>
                <c:pt idx="70">
                  <c:v>0.82851614155421749</c:v>
                </c:pt>
                <c:pt idx="71">
                  <c:v>0.77838724956966066</c:v>
                </c:pt>
                <c:pt idx="72">
                  <c:v>0.73488621433117118</c:v>
                </c:pt>
                <c:pt idx="73">
                  <c:v>0.69292425208224195</c:v>
                </c:pt>
                <c:pt idx="74">
                  <c:v>0.65701604179479245</c:v>
                </c:pt>
                <c:pt idx="75">
                  <c:v>0.635023149446861</c:v>
                </c:pt>
                <c:pt idx="76">
                  <c:v>0.61814515477194143</c:v>
                </c:pt>
                <c:pt idx="77">
                  <c:v>0.60566554274263851</c:v>
                </c:pt>
                <c:pt idx="78">
                  <c:v>0.5965020575448764</c:v>
                </c:pt>
                <c:pt idx="79">
                  <c:v>0.60335639504647187</c:v>
                </c:pt>
                <c:pt idx="80">
                  <c:v>0.61624029842526473</c:v>
                </c:pt>
                <c:pt idx="81">
                  <c:v>0.62450502459572332</c:v>
                </c:pt>
                <c:pt idx="82">
                  <c:v>0.64829289293559222</c:v>
                </c:pt>
                <c:pt idx="83">
                  <c:v>0.66111623075910364</c:v>
                </c:pt>
                <c:pt idx="84">
                  <c:v>0.68014259678869271</c:v>
                </c:pt>
                <c:pt idx="85">
                  <c:v>0.70375405935869861</c:v>
                </c:pt>
                <c:pt idx="86">
                  <c:v>0.7120620674908954</c:v>
                </c:pt>
                <c:pt idx="87">
                  <c:v>0.72477855962299675</c:v>
                </c:pt>
                <c:pt idx="88">
                  <c:v>0.7225212323000153</c:v>
                </c:pt>
                <c:pt idx="89">
                  <c:v>0.70350930980830806</c:v>
                </c:pt>
                <c:pt idx="90">
                  <c:v>0.68705521320546636</c:v>
                </c:pt>
                <c:pt idx="91">
                  <c:v>0.64850001022811654</c:v>
                </c:pt>
                <c:pt idx="92">
                  <c:v>0.62741974878534623</c:v>
                </c:pt>
                <c:pt idx="93">
                  <c:v>0.59874634615408129</c:v>
                </c:pt>
                <c:pt idx="94">
                  <c:v>0.5624261210253001</c:v>
                </c:pt>
                <c:pt idx="95">
                  <c:v>0.54496943612260462</c:v>
                </c:pt>
                <c:pt idx="96">
                  <c:v>0.5081773299685225</c:v>
                </c:pt>
                <c:pt idx="97">
                  <c:v>0.47776621465172797</c:v>
                </c:pt>
                <c:pt idx="98">
                  <c:v>0.46588333054846059</c:v>
                </c:pt>
                <c:pt idx="99">
                  <c:v>0.44093856827221212</c:v>
                </c:pt>
                <c:pt idx="100">
                  <c:v>0.42618744688609872</c:v>
                </c:pt>
                <c:pt idx="101">
                  <c:v>0.4226254667138023</c:v>
                </c:pt>
                <c:pt idx="102">
                  <c:v>0.42124334176801881</c:v>
                </c:pt>
                <c:pt idx="103">
                  <c:v>0.42909935534602123</c:v>
                </c:pt>
                <c:pt idx="104">
                  <c:v>0.43065701640864906</c:v>
                </c:pt>
                <c:pt idx="105">
                  <c:v>0.44630696675919806</c:v>
                </c:pt>
                <c:pt idx="106">
                  <c:v>0.46623873888426043</c:v>
                </c:pt>
                <c:pt idx="107">
                  <c:v>0.48352746520620016</c:v>
                </c:pt>
                <c:pt idx="108">
                  <c:v>0.51254874120760663</c:v>
                </c:pt>
                <c:pt idx="109">
                  <c:v>0.54271020529336755</c:v>
                </c:pt>
                <c:pt idx="110">
                  <c:v>0.56995772970166658</c:v>
                </c:pt>
                <c:pt idx="111">
                  <c:v>0.59302384685156684</c:v>
                </c:pt>
                <c:pt idx="112">
                  <c:v>0.60743746988885783</c:v>
                </c:pt>
                <c:pt idx="113">
                  <c:v>0.61868331795278497</c:v>
                </c:pt>
                <c:pt idx="114">
                  <c:v>0.60936329521179866</c:v>
                </c:pt>
                <c:pt idx="115">
                  <c:v>0.57720947430648539</c:v>
                </c:pt>
                <c:pt idx="116">
                  <c:v>0.54253190209873636</c:v>
                </c:pt>
                <c:pt idx="117">
                  <c:v>0.49010202985859092</c:v>
                </c:pt>
                <c:pt idx="118">
                  <c:v>0.44067417551030136</c:v>
                </c:pt>
                <c:pt idx="119">
                  <c:v>0.39349146117976141</c:v>
                </c:pt>
                <c:pt idx="120">
                  <c:v>0.35060607338156591</c:v>
                </c:pt>
                <c:pt idx="121">
                  <c:v>0.32749362440287394</c:v>
                </c:pt>
                <c:pt idx="122">
                  <c:v>0.30401193778095026</c:v>
                </c:pt>
                <c:pt idx="123">
                  <c:v>0.2830637632523248</c:v>
                </c:pt>
                <c:pt idx="124">
                  <c:v>0.26977179952083735</c:v>
                </c:pt>
                <c:pt idx="125">
                  <c:v>0.26136311080734886</c:v>
                </c:pt>
                <c:pt idx="126">
                  <c:v>0.25491822023808602</c:v>
                </c:pt>
                <c:pt idx="127">
                  <c:v>0.25720683530487171</c:v>
                </c:pt>
                <c:pt idx="128">
                  <c:v>0.26060199261459871</c:v>
                </c:pt>
                <c:pt idx="129">
                  <c:v>0.266574421376298</c:v>
                </c:pt>
                <c:pt idx="130">
                  <c:v>0.27002455231158728</c:v>
                </c:pt>
                <c:pt idx="131">
                  <c:v>0.26946692684353746</c:v>
                </c:pt>
                <c:pt idx="132">
                  <c:v>0.27131314394677336</c:v>
                </c:pt>
                <c:pt idx="133">
                  <c:v>0.27768965728731754</c:v>
                </c:pt>
                <c:pt idx="134">
                  <c:v>0.28304283988723311</c:v>
                </c:pt>
                <c:pt idx="135">
                  <c:v>0.27922420260784053</c:v>
                </c:pt>
                <c:pt idx="136">
                  <c:v>0.27766514888408544</c:v>
                </c:pt>
                <c:pt idx="137">
                  <c:v>0.28488581099537613</c:v>
                </c:pt>
                <c:pt idx="138">
                  <c:v>0.28397618434609417</c:v>
                </c:pt>
                <c:pt idx="139">
                  <c:v>0.26674073947522775</c:v>
                </c:pt>
                <c:pt idx="140">
                  <c:v>0.25094021600241728</c:v>
                </c:pt>
                <c:pt idx="141">
                  <c:v>0.23640256554512368</c:v>
                </c:pt>
                <c:pt idx="142">
                  <c:v>0.25194499972002915</c:v>
                </c:pt>
                <c:pt idx="143">
                  <c:v>0.25264618635279185</c:v>
                </c:pt>
                <c:pt idx="144">
                  <c:v>0.26001608365862577</c:v>
                </c:pt>
                <c:pt idx="145">
                  <c:v>0.26373031088320753</c:v>
                </c:pt>
                <c:pt idx="146">
                  <c:v>0.26403269927199124</c:v>
                </c:pt>
                <c:pt idx="147">
                  <c:v>0.27357163131390394</c:v>
                </c:pt>
                <c:pt idx="148">
                  <c:v>0.27157215459035827</c:v>
                </c:pt>
                <c:pt idx="149">
                  <c:v>0.27614712545053</c:v>
                </c:pt>
                <c:pt idx="150">
                  <c:v>0.27782657746534828</c:v>
                </c:pt>
                <c:pt idx="151">
                  <c:v>0.27322762881191509</c:v>
                </c:pt>
                <c:pt idx="152">
                  <c:v>0.27365919716279608</c:v>
                </c:pt>
                <c:pt idx="153">
                  <c:v>0.27368228097708086</c:v>
                </c:pt>
                <c:pt idx="154">
                  <c:v>0.26707775586599736</c:v>
                </c:pt>
                <c:pt idx="155">
                  <c:v>0.27501590908376417</c:v>
                </c:pt>
                <c:pt idx="156">
                  <c:v>0.2761010718498913</c:v>
                </c:pt>
                <c:pt idx="157">
                  <c:v>0.27430046439855071</c:v>
                </c:pt>
                <c:pt idx="158">
                  <c:v>0.27952632949257022</c:v>
                </c:pt>
                <c:pt idx="159">
                  <c:v>0.28671874156413057</c:v>
                </c:pt>
                <c:pt idx="160">
                  <c:v>0.29590120709104589</c:v>
                </c:pt>
                <c:pt idx="161">
                  <c:v>0.30367018847087157</c:v>
                </c:pt>
                <c:pt idx="162">
                  <c:v>0.30907669357191303</c:v>
                </c:pt>
                <c:pt idx="163">
                  <c:v>0.31144424181305291</c:v>
                </c:pt>
                <c:pt idx="164">
                  <c:v>0.31340346059558249</c:v>
                </c:pt>
                <c:pt idx="165">
                  <c:v>0.32148570862877796</c:v>
                </c:pt>
                <c:pt idx="166">
                  <c:v>0.32261001186220023</c:v>
                </c:pt>
                <c:pt idx="167">
                  <c:v>0.32352516962630573</c:v>
                </c:pt>
                <c:pt idx="168">
                  <c:v>0.32348266001375237</c:v>
                </c:pt>
                <c:pt idx="169">
                  <c:v>0.32144787264100921</c:v>
                </c:pt>
                <c:pt idx="170">
                  <c:v>0.32100463847263483</c:v>
                </c:pt>
                <c:pt idx="171">
                  <c:v>0.3207777380943263</c:v>
                </c:pt>
                <c:pt idx="172">
                  <c:v>0.32220238785638766</c:v>
                </c:pt>
                <c:pt idx="173">
                  <c:v>0.32594726882947822</c:v>
                </c:pt>
                <c:pt idx="174">
                  <c:v>0.32341864321310204</c:v>
                </c:pt>
                <c:pt idx="175">
                  <c:v>0.32274144501620733</c:v>
                </c:pt>
                <c:pt idx="176">
                  <c:v>0.32494182527024101</c:v>
                </c:pt>
                <c:pt idx="177">
                  <c:v>0.31541374868732813</c:v>
                </c:pt>
                <c:pt idx="178">
                  <c:v>0.31106385679931881</c:v>
                </c:pt>
                <c:pt idx="179">
                  <c:v>0.31173499783253628</c:v>
                </c:pt>
                <c:pt idx="180">
                  <c:v>0.30605935032617676</c:v>
                </c:pt>
                <c:pt idx="181">
                  <c:v>0.30729898596979549</c:v>
                </c:pt>
                <c:pt idx="182">
                  <c:v>0.3100258711890409</c:v>
                </c:pt>
                <c:pt idx="183">
                  <c:v>0.31465852497840724</c:v>
                </c:pt>
                <c:pt idx="184">
                  <c:v>0.32065186038110183</c:v>
                </c:pt>
                <c:pt idx="185">
                  <c:v>0.3263913544064016</c:v>
                </c:pt>
                <c:pt idx="186">
                  <c:v>0.34081855436930408</c:v>
                </c:pt>
                <c:pt idx="187">
                  <c:v>0.35045973145571702</c:v>
                </c:pt>
                <c:pt idx="188">
                  <c:v>0.35792036306654296</c:v>
                </c:pt>
                <c:pt idx="189">
                  <c:v>0.36567446912271961</c:v>
                </c:pt>
                <c:pt idx="190">
                  <c:v>0.37136649408066785</c:v>
                </c:pt>
                <c:pt idx="191">
                  <c:v>0.37570072005137578</c:v>
                </c:pt>
                <c:pt idx="192">
                  <c:v>0.37436704025203044</c:v>
                </c:pt>
                <c:pt idx="193">
                  <c:v>0.37875725241632441</c:v>
                </c:pt>
                <c:pt idx="194">
                  <c:v>0.37974296154169396</c:v>
                </c:pt>
                <c:pt idx="195">
                  <c:v>0.37220319758772796</c:v>
                </c:pt>
                <c:pt idx="196">
                  <c:v>0.37405300429022159</c:v>
                </c:pt>
                <c:pt idx="197">
                  <c:v>0.37605560841981239</c:v>
                </c:pt>
                <c:pt idx="198">
                  <c:v>0.37665422464837922</c:v>
                </c:pt>
                <c:pt idx="199">
                  <c:v>0.3765921812911156</c:v>
                </c:pt>
                <c:pt idx="200">
                  <c:v>0.37542393929507528</c:v>
                </c:pt>
                <c:pt idx="201">
                  <c:v>0.37661945981287659</c:v>
                </c:pt>
                <c:pt idx="202">
                  <c:v>0.37091832782419865</c:v>
                </c:pt>
                <c:pt idx="203">
                  <c:v>0.36238418558138769</c:v>
                </c:pt>
                <c:pt idx="204">
                  <c:v>0.36218806970361545</c:v>
                </c:pt>
                <c:pt idx="205">
                  <c:v>0.36159520656424388</c:v>
                </c:pt>
                <c:pt idx="206">
                  <c:v>0.36394700374722755</c:v>
                </c:pt>
                <c:pt idx="207">
                  <c:v>0.3679151939789963</c:v>
                </c:pt>
                <c:pt idx="208">
                  <c:v>0.37384500822244571</c:v>
                </c:pt>
                <c:pt idx="209">
                  <c:v>0.37699293625438485</c:v>
                </c:pt>
                <c:pt idx="210">
                  <c:v>0.38001131943484878</c:v>
                </c:pt>
                <c:pt idx="211">
                  <c:v>0.38502413322283313</c:v>
                </c:pt>
                <c:pt idx="212">
                  <c:v>0.39211962003295198</c:v>
                </c:pt>
                <c:pt idx="213">
                  <c:v>0.39077315086090247</c:v>
                </c:pt>
                <c:pt idx="214">
                  <c:v>0.39405385301531332</c:v>
                </c:pt>
                <c:pt idx="215">
                  <c:v>0.40512980250328579</c:v>
                </c:pt>
                <c:pt idx="216">
                  <c:v>0.40798777423162896</c:v>
                </c:pt>
                <c:pt idx="217">
                  <c:v>0.41471350647189636</c:v>
                </c:pt>
                <c:pt idx="218">
                  <c:v>0.41726696585119993</c:v>
                </c:pt>
                <c:pt idx="219">
                  <c:v>0.41075872592477419</c:v>
                </c:pt>
                <c:pt idx="220">
                  <c:v>0.40156450487839307</c:v>
                </c:pt>
                <c:pt idx="221">
                  <c:v>0.39115458797234404</c:v>
                </c:pt>
                <c:pt idx="222">
                  <c:v>0.38040274843376137</c:v>
                </c:pt>
                <c:pt idx="223">
                  <c:v>0.36539801676685912</c:v>
                </c:pt>
                <c:pt idx="224">
                  <c:v>0.35401667311385016</c:v>
                </c:pt>
                <c:pt idx="225">
                  <c:v>0.34282222884107055</c:v>
                </c:pt>
                <c:pt idx="226">
                  <c:v>0.32745326763765153</c:v>
                </c:pt>
                <c:pt idx="227">
                  <c:v>0.32255501999216935</c:v>
                </c:pt>
                <c:pt idx="228">
                  <c:v>0.320884136796248</c:v>
                </c:pt>
                <c:pt idx="229">
                  <c:v>0.31482685757077877</c:v>
                </c:pt>
                <c:pt idx="230">
                  <c:v>0.31106251583085387</c:v>
                </c:pt>
                <c:pt idx="231">
                  <c:v>0.31088892883143732</c:v>
                </c:pt>
                <c:pt idx="232">
                  <c:v>0.31070733859165972</c:v>
                </c:pt>
                <c:pt idx="233">
                  <c:v>0.31004413998390634</c:v>
                </c:pt>
                <c:pt idx="234">
                  <c:v>0.3112415700894533</c:v>
                </c:pt>
                <c:pt idx="235">
                  <c:v>0.31501881979113011</c:v>
                </c:pt>
                <c:pt idx="236">
                  <c:v>0.31430008197927845</c:v>
                </c:pt>
                <c:pt idx="237">
                  <c:v>0.32177352120727754</c:v>
                </c:pt>
                <c:pt idx="238">
                  <c:v>0.33018395682866364</c:v>
                </c:pt>
                <c:pt idx="239">
                  <c:v>0.33315162038556595</c:v>
                </c:pt>
                <c:pt idx="240">
                  <c:v>0.33673675278890547</c:v>
                </c:pt>
                <c:pt idx="241">
                  <c:v>0.34370145412366371</c:v>
                </c:pt>
                <c:pt idx="242">
                  <c:v>0.36149574076050689</c:v>
                </c:pt>
                <c:pt idx="243">
                  <c:v>0.37564952303087729</c:v>
                </c:pt>
                <c:pt idx="244">
                  <c:v>0.380765302519884</c:v>
                </c:pt>
                <c:pt idx="245">
                  <c:v>0.39302921323404094</c:v>
                </c:pt>
                <c:pt idx="246">
                  <c:v>0.38579962653670963</c:v>
                </c:pt>
                <c:pt idx="247">
                  <c:v>0.37826294285724449</c:v>
                </c:pt>
                <c:pt idx="248">
                  <c:v>0.37176689935828305</c:v>
                </c:pt>
                <c:pt idx="249">
                  <c:v>0.36116233829495342</c:v>
                </c:pt>
                <c:pt idx="250">
                  <c:v>0.3487115890154634</c:v>
                </c:pt>
                <c:pt idx="251">
                  <c:v>0.33301163969787589</c:v>
                </c:pt>
                <c:pt idx="252">
                  <c:v>0.32944418922565188</c:v>
                </c:pt>
                <c:pt idx="253">
                  <c:v>0.32377653279667362</c:v>
                </c:pt>
                <c:pt idx="254">
                  <c:v>0.31649414964707046</c:v>
                </c:pt>
                <c:pt idx="255">
                  <c:v>0.3116935768066274</c:v>
                </c:pt>
                <c:pt idx="256">
                  <c:v>0.30567638980158185</c:v>
                </c:pt>
                <c:pt idx="257">
                  <c:v>0.28785296978863845</c:v>
                </c:pt>
                <c:pt idx="258">
                  <c:v>0.27042051354065094</c:v>
                </c:pt>
                <c:pt idx="259">
                  <c:v>0.25336628945906653</c:v>
                </c:pt>
                <c:pt idx="260">
                  <c:v>0.24124121003105847</c:v>
                </c:pt>
                <c:pt idx="261">
                  <c:v>0.23185832141133639</c:v>
                </c:pt>
                <c:pt idx="262">
                  <c:v>0.24582256189423057</c:v>
                </c:pt>
                <c:pt idx="263">
                  <c:v>0.24595104704613663</c:v>
                </c:pt>
                <c:pt idx="264">
                  <c:v>0.23933682804057416</c:v>
                </c:pt>
                <c:pt idx="265">
                  <c:v>0.23451801833308616</c:v>
                </c:pt>
                <c:pt idx="266">
                  <c:v>0.22415541237565823</c:v>
                </c:pt>
                <c:pt idx="267">
                  <c:v>0.22162640818655191</c:v>
                </c:pt>
                <c:pt idx="268">
                  <c:v>0.2136685585442275</c:v>
                </c:pt>
                <c:pt idx="269">
                  <c:v>0.20435383886220432</c:v>
                </c:pt>
                <c:pt idx="270">
                  <c:v>0.20058837660781409</c:v>
                </c:pt>
                <c:pt idx="271">
                  <c:v>0.19713101782209308</c:v>
                </c:pt>
                <c:pt idx="272">
                  <c:v>0.19642778476806783</c:v>
                </c:pt>
                <c:pt idx="273">
                  <c:v>0.19262762381437512</c:v>
                </c:pt>
                <c:pt idx="274">
                  <c:v>0.1860981397242793</c:v>
                </c:pt>
                <c:pt idx="275">
                  <c:v>0.19259993555224969</c:v>
                </c:pt>
                <c:pt idx="276">
                  <c:v>0.19384960641395382</c:v>
                </c:pt>
                <c:pt idx="277">
                  <c:v>0.18800800949897351</c:v>
                </c:pt>
                <c:pt idx="278">
                  <c:v>0.18872083610289925</c:v>
                </c:pt>
                <c:pt idx="279">
                  <c:v>0.18811062703471432</c:v>
                </c:pt>
                <c:pt idx="280">
                  <c:v>0.19103418154728849</c:v>
                </c:pt>
                <c:pt idx="281">
                  <c:v>0.20072592622002217</c:v>
                </c:pt>
                <c:pt idx="282">
                  <c:v>0.20986132101715732</c:v>
                </c:pt>
                <c:pt idx="283">
                  <c:v>0.21752459394413498</c:v>
                </c:pt>
                <c:pt idx="284">
                  <c:v>0.20906694315758934</c:v>
                </c:pt>
                <c:pt idx="285">
                  <c:v>0.19553825668184571</c:v>
                </c:pt>
                <c:pt idx="286">
                  <c:v>0.20883910318913235</c:v>
                </c:pt>
                <c:pt idx="287">
                  <c:v>0.21362406788642507</c:v>
                </c:pt>
                <c:pt idx="288">
                  <c:v>0.20566290231187692</c:v>
                </c:pt>
                <c:pt idx="289">
                  <c:v>0.20297739934904407</c:v>
                </c:pt>
                <c:pt idx="290">
                  <c:v>0.20019967591718929</c:v>
                </c:pt>
                <c:pt idx="291">
                  <c:v>0.18778101789832077</c:v>
                </c:pt>
                <c:pt idx="292">
                  <c:v>0.17226993912379079</c:v>
                </c:pt>
                <c:pt idx="293">
                  <c:v>0.15696259063215015</c:v>
                </c:pt>
                <c:pt idx="294">
                  <c:v>0.15565719622119362</c:v>
                </c:pt>
                <c:pt idx="295">
                  <c:v>0.15092842486822769</c:v>
                </c:pt>
                <c:pt idx="296">
                  <c:v>0.14588795018482176</c:v>
                </c:pt>
                <c:pt idx="297">
                  <c:v>0.1527393959380941</c:v>
                </c:pt>
                <c:pt idx="298">
                  <c:v>0.15598904638651764</c:v>
                </c:pt>
                <c:pt idx="299">
                  <c:v>0.15288774741617436</c:v>
                </c:pt>
                <c:pt idx="300">
                  <c:v>0.15220843134051393</c:v>
                </c:pt>
                <c:pt idx="301">
                  <c:v>0.14361171399018954</c:v>
                </c:pt>
                <c:pt idx="302">
                  <c:v>0.13008330118147954</c:v>
                </c:pt>
                <c:pt idx="303">
                  <c:v>0.14095121735255248</c:v>
                </c:pt>
                <c:pt idx="304">
                  <c:v>0.14615116484816362</c:v>
                </c:pt>
                <c:pt idx="305">
                  <c:v>0.15168450758755969</c:v>
                </c:pt>
                <c:pt idx="306">
                  <c:v>0.15811826256920672</c:v>
                </c:pt>
                <c:pt idx="307">
                  <c:v>0.15450138707052724</c:v>
                </c:pt>
                <c:pt idx="308">
                  <c:v>0.15800345392730511</c:v>
                </c:pt>
                <c:pt idx="309">
                  <c:v>0.16013651133088533</c:v>
                </c:pt>
                <c:pt idx="310">
                  <c:v>0.16512216062503943</c:v>
                </c:pt>
                <c:pt idx="311">
                  <c:v>0.15632618364689385</c:v>
                </c:pt>
                <c:pt idx="312">
                  <c:v>0.15105486093821985</c:v>
                </c:pt>
                <c:pt idx="313">
                  <c:v>0.16309416019473</c:v>
                </c:pt>
                <c:pt idx="314">
                  <c:v>0.16931788523041102</c:v>
                </c:pt>
                <c:pt idx="315">
                  <c:v>0.17527656374404427</c:v>
                </c:pt>
                <c:pt idx="316">
                  <c:v>0.17624006022851918</c:v>
                </c:pt>
                <c:pt idx="317">
                  <c:v>0.17615544846321762</c:v>
                </c:pt>
                <c:pt idx="318">
                  <c:v>0.18729737679243422</c:v>
                </c:pt>
                <c:pt idx="319">
                  <c:v>0.195468861563799</c:v>
                </c:pt>
                <c:pt idx="320">
                  <c:v>0.19612052814683062</c:v>
                </c:pt>
                <c:pt idx="321">
                  <c:v>0.2086566508981989</c:v>
                </c:pt>
                <c:pt idx="322">
                  <c:v>0.21616661099183287</c:v>
                </c:pt>
                <c:pt idx="323">
                  <c:v>0.21967049925475651</c:v>
                </c:pt>
                <c:pt idx="324">
                  <c:v>0.22588058654992976</c:v>
                </c:pt>
                <c:pt idx="325">
                  <c:v>0.23100517963779099</c:v>
                </c:pt>
                <c:pt idx="326">
                  <c:v>0.23672032185821706</c:v>
                </c:pt>
                <c:pt idx="327">
                  <c:v>0.24179073647528609</c:v>
                </c:pt>
                <c:pt idx="328">
                  <c:v>0.24224374359750528</c:v>
                </c:pt>
                <c:pt idx="329">
                  <c:v>0.24245553755555838</c:v>
                </c:pt>
                <c:pt idx="330">
                  <c:v>0.24352143264214687</c:v>
                </c:pt>
                <c:pt idx="331">
                  <c:v>0.24500123391334194</c:v>
                </c:pt>
                <c:pt idx="332">
                  <c:v>0.24567035741237292</c:v>
                </c:pt>
                <c:pt idx="333">
                  <c:v>0.24107346734318169</c:v>
                </c:pt>
                <c:pt idx="334">
                  <c:v>0.24181411676219045</c:v>
                </c:pt>
                <c:pt idx="335">
                  <c:v>0.24103209496918976</c:v>
                </c:pt>
                <c:pt idx="336">
                  <c:v>0.23651828565028432</c:v>
                </c:pt>
                <c:pt idx="337">
                  <c:v>0.2371491824258376</c:v>
                </c:pt>
                <c:pt idx="338">
                  <c:v>0.23792601518780648</c:v>
                </c:pt>
                <c:pt idx="339">
                  <c:v>0.23138452471679746</c:v>
                </c:pt>
                <c:pt idx="340">
                  <c:v>0.22527218520453901</c:v>
                </c:pt>
                <c:pt idx="341">
                  <c:v>0.22360156351267191</c:v>
                </c:pt>
                <c:pt idx="342">
                  <c:v>0.22247131410275811</c:v>
                </c:pt>
                <c:pt idx="343">
                  <c:v>0.22117742853084404</c:v>
                </c:pt>
                <c:pt idx="344">
                  <c:v>0.21966563710379289</c:v>
                </c:pt>
                <c:pt idx="345">
                  <c:v>0.22008602919709569</c:v>
                </c:pt>
                <c:pt idx="346">
                  <c:v>0.21500305174281181</c:v>
                </c:pt>
                <c:pt idx="347">
                  <c:v>0.21327683003195019</c:v>
                </c:pt>
                <c:pt idx="348">
                  <c:v>0.21230391636077439</c:v>
                </c:pt>
                <c:pt idx="349">
                  <c:v>0.20947232917521624</c:v>
                </c:pt>
                <c:pt idx="350">
                  <c:v>0.2072721252843818</c:v>
                </c:pt>
                <c:pt idx="351">
                  <c:v>0.20744644814404473</c:v>
                </c:pt>
                <c:pt idx="352">
                  <c:v>0.20995049542005817</c:v>
                </c:pt>
                <c:pt idx="353">
                  <c:v>0.21183041157773805</c:v>
                </c:pt>
                <c:pt idx="354">
                  <c:v>0.20966955948596433</c:v>
                </c:pt>
                <c:pt idx="355">
                  <c:v>0.20647412437736332</c:v>
                </c:pt>
                <c:pt idx="356">
                  <c:v>0.20556505418438331</c:v>
                </c:pt>
                <c:pt idx="357">
                  <c:v>0.20403357697538108</c:v>
                </c:pt>
                <c:pt idx="358">
                  <c:v>0.20089681911953056</c:v>
                </c:pt>
                <c:pt idx="359">
                  <c:v>0.19884447144546447</c:v>
                </c:pt>
                <c:pt idx="360">
                  <c:v>0.20161374768821549</c:v>
                </c:pt>
                <c:pt idx="361">
                  <c:v>0.20160815879924013</c:v>
                </c:pt>
                <c:pt idx="362">
                  <c:v>0.20105222702605374</c:v>
                </c:pt>
                <c:pt idx="363">
                  <c:v>0.20220174715625061</c:v>
                </c:pt>
                <c:pt idx="364">
                  <c:v>0.20219626317297174</c:v>
                </c:pt>
                <c:pt idx="365">
                  <c:v>0.20194399234027555</c:v>
                </c:pt>
                <c:pt idx="366">
                  <c:v>0.2030595078211746</c:v>
                </c:pt>
                <c:pt idx="367">
                  <c:v>0.20324499629580856</c:v>
                </c:pt>
                <c:pt idx="368">
                  <c:v>0.20335355088580592</c:v>
                </c:pt>
                <c:pt idx="369">
                  <c:v>0.20080427405099927</c:v>
                </c:pt>
                <c:pt idx="370">
                  <c:v>0.20166817093896533</c:v>
                </c:pt>
                <c:pt idx="371">
                  <c:v>0.20262295416916459</c:v>
                </c:pt>
                <c:pt idx="372">
                  <c:v>0.20345480008637834</c:v>
                </c:pt>
                <c:pt idx="373">
                  <c:v>0.20289188068160049</c:v>
                </c:pt>
                <c:pt idx="374">
                  <c:v>0.19816309526519016</c:v>
                </c:pt>
                <c:pt idx="375">
                  <c:v>0.20234007519913205</c:v>
                </c:pt>
                <c:pt idx="376">
                  <c:v>0.20501373218034086</c:v>
                </c:pt>
                <c:pt idx="377">
                  <c:v>0.20402968330164201</c:v>
                </c:pt>
                <c:pt idx="378">
                  <c:v>0.20203542905732086</c:v>
                </c:pt>
                <c:pt idx="379">
                  <c:v>0.19880133695985075</c:v>
                </c:pt>
                <c:pt idx="380">
                  <c:v>0.1962097405590415</c:v>
                </c:pt>
                <c:pt idx="381">
                  <c:v>0.19427766954624581</c:v>
                </c:pt>
                <c:pt idx="382">
                  <c:v>0.19179741305768735</c:v>
                </c:pt>
                <c:pt idx="383">
                  <c:v>0.19748812441387431</c:v>
                </c:pt>
                <c:pt idx="384">
                  <c:v>0.201389988399304</c:v>
                </c:pt>
                <c:pt idx="385">
                  <c:v>0.2017319353577956</c:v>
                </c:pt>
                <c:pt idx="386">
                  <c:v>0.20726212883579306</c:v>
                </c:pt>
                <c:pt idx="387">
                  <c:v>0.20994108431484687</c:v>
                </c:pt>
                <c:pt idx="388">
                  <c:v>0.21197276556675826</c:v>
                </c:pt>
                <c:pt idx="389">
                  <c:v>0.21073162931557204</c:v>
                </c:pt>
                <c:pt idx="390">
                  <c:v>0.21117523597518673</c:v>
                </c:pt>
                <c:pt idx="391">
                  <c:v>0.20927101362380532</c:v>
                </c:pt>
                <c:pt idx="392">
                  <c:v>0.22159791032611917</c:v>
                </c:pt>
                <c:pt idx="393">
                  <c:v>0.22717688039173961</c:v>
                </c:pt>
                <c:pt idx="394">
                  <c:v>0.22845472907548439</c:v>
                </c:pt>
                <c:pt idx="395">
                  <c:v>0.23031396208691352</c:v>
                </c:pt>
                <c:pt idx="396">
                  <c:v>0.2315208808366645</c:v>
                </c:pt>
                <c:pt idx="397">
                  <c:v>0.23137542832867494</c:v>
                </c:pt>
                <c:pt idx="398">
                  <c:v>0.22899134907833257</c:v>
                </c:pt>
                <c:pt idx="399">
                  <c:v>0.22148768028572696</c:v>
                </c:pt>
                <c:pt idx="400">
                  <c:v>0.22087381168115372</c:v>
                </c:pt>
                <c:pt idx="401">
                  <c:v>0.21916854222245957</c:v>
                </c:pt>
                <c:pt idx="402">
                  <c:v>0.21133028355344896</c:v>
                </c:pt>
                <c:pt idx="403">
                  <c:v>0.20576312069995625</c:v>
                </c:pt>
                <c:pt idx="404">
                  <c:v>0.20332090240869649</c:v>
                </c:pt>
                <c:pt idx="405">
                  <c:v>0.19574300751471474</c:v>
                </c:pt>
                <c:pt idx="406">
                  <c:v>0.19273855702700626</c:v>
                </c:pt>
                <c:pt idx="407">
                  <c:v>0.18828207943126885</c:v>
                </c:pt>
                <c:pt idx="408">
                  <c:v>0.1850602514178355</c:v>
                </c:pt>
                <c:pt idx="409">
                  <c:v>0.18426278644209126</c:v>
                </c:pt>
                <c:pt idx="410">
                  <c:v>0.18156772945904054</c:v>
                </c:pt>
                <c:pt idx="411">
                  <c:v>0.1749924160232362</c:v>
                </c:pt>
                <c:pt idx="412">
                  <c:v>0.17025441562965526</c:v>
                </c:pt>
                <c:pt idx="413">
                  <c:v>0.16190314606074863</c:v>
                </c:pt>
                <c:pt idx="414">
                  <c:v>0.16130054341572558</c:v>
                </c:pt>
                <c:pt idx="415">
                  <c:v>0.16092557016758061</c:v>
                </c:pt>
                <c:pt idx="416">
                  <c:v>0.16538209185411795</c:v>
                </c:pt>
                <c:pt idx="417">
                  <c:v>0.15996586929282472</c:v>
                </c:pt>
                <c:pt idx="418">
                  <c:v>0.14947848637179587</c:v>
                </c:pt>
                <c:pt idx="419">
                  <c:v>0.1510782423654036</c:v>
                </c:pt>
                <c:pt idx="420">
                  <c:v>0.15247138735049987</c:v>
                </c:pt>
                <c:pt idx="421">
                  <c:v>0.14707392200370886</c:v>
                </c:pt>
                <c:pt idx="422">
                  <c:v>0.13788220311021954</c:v>
                </c:pt>
                <c:pt idx="423">
                  <c:v>0.14086233220050248</c:v>
                </c:pt>
                <c:pt idx="424">
                  <c:v>0.14049530441856678</c:v>
                </c:pt>
                <c:pt idx="425">
                  <c:v>0.13436339315228824</c:v>
                </c:pt>
                <c:pt idx="426">
                  <c:v>0.13183859934949888</c:v>
                </c:pt>
                <c:pt idx="427">
                  <c:v>0.12938127454296083</c:v>
                </c:pt>
                <c:pt idx="428">
                  <c:v>0.12011355356307517</c:v>
                </c:pt>
                <c:pt idx="429">
                  <c:v>0.12125933034635471</c:v>
                </c:pt>
                <c:pt idx="430">
                  <c:v>0.12182213234987549</c:v>
                </c:pt>
                <c:pt idx="431">
                  <c:v>0.11053924202760219</c:v>
                </c:pt>
                <c:pt idx="432">
                  <c:v>0.11985391776136044</c:v>
                </c:pt>
                <c:pt idx="433">
                  <c:v>0.12138861564175257</c:v>
                </c:pt>
                <c:pt idx="434">
                  <c:v>0.12436279508719462</c:v>
                </c:pt>
                <c:pt idx="435">
                  <c:v>0.13259034435132483</c:v>
                </c:pt>
                <c:pt idx="436">
                  <c:v>0.16349496495019555</c:v>
                </c:pt>
                <c:pt idx="437">
                  <c:v>0.10551253512405673</c:v>
                </c:pt>
                <c:pt idx="438">
                  <c:v>9.8765557389793202E-2</c:v>
                </c:pt>
                <c:pt idx="439">
                  <c:v>0.11308154762233248</c:v>
                </c:pt>
                <c:pt idx="440">
                  <c:v>0.10631108650091052</c:v>
                </c:pt>
                <c:pt idx="441">
                  <c:v>0.12068987210491602</c:v>
                </c:pt>
                <c:pt idx="442">
                  <c:v>0.13329882307025395</c:v>
                </c:pt>
                <c:pt idx="443">
                  <c:v>0.15236227250326978</c:v>
                </c:pt>
                <c:pt idx="444">
                  <c:v>0.15870009236600668</c:v>
                </c:pt>
                <c:pt idx="445">
                  <c:v>0.15519038611299021</c:v>
                </c:pt>
                <c:pt idx="446">
                  <c:v>0.14605088897100271</c:v>
                </c:pt>
                <c:pt idx="447">
                  <c:v>0.14348044313593727</c:v>
                </c:pt>
                <c:pt idx="448">
                  <c:v>0.144216329228189</c:v>
                </c:pt>
                <c:pt idx="449">
                  <c:v>0.14605694204867897</c:v>
                </c:pt>
                <c:pt idx="450">
                  <c:v>0.14930011362012885</c:v>
                </c:pt>
                <c:pt idx="451">
                  <c:v>0.15125689334522127</c:v>
                </c:pt>
                <c:pt idx="452">
                  <c:v>0.16047280554476087</c:v>
                </c:pt>
                <c:pt idx="453">
                  <c:v>0.16255902483553916</c:v>
                </c:pt>
                <c:pt idx="454">
                  <c:v>0.15514817629887107</c:v>
                </c:pt>
                <c:pt idx="455">
                  <c:v>0.15973300221299758</c:v>
                </c:pt>
                <c:pt idx="456">
                  <c:v>0.16207344373445873</c:v>
                </c:pt>
                <c:pt idx="457">
                  <c:v>0.16061421766307377</c:v>
                </c:pt>
                <c:pt idx="458">
                  <c:v>0.16533974112048083</c:v>
                </c:pt>
                <c:pt idx="459">
                  <c:v>0.16780446776506852</c:v>
                </c:pt>
                <c:pt idx="460">
                  <c:v>0.16480436326189091</c:v>
                </c:pt>
                <c:pt idx="461">
                  <c:v>0.17149805745457164</c:v>
                </c:pt>
                <c:pt idx="462">
                  <c:v>0.16977916926002454</c:v>
                </c:pt>
                <c:pt idx="463">
                  <c:v>0.16502654972554523</c:v>
                </c:pt>
                <c:pt idx="464">
                  <c:v>0.16554577362729067</c:v>
                </c:pt>
                <c:pt idx="465">
                  <c:v>0.16865738224293897</c:v>
                </c:pt>
                <c:pt idx="466">
                  <c:v>0.17290110348488794</c:v>
                </c:pt>
                <c:pt idx="467">
                  <c:v>0.17479321835059103</c:v>
                </c:pt>
                <c:pt idx="468">
                  <c:v>0.17472127736894558</c:v>
                </c:pt>
                <c:pt idx="469">
                  <c:v>0.17150967005903084</c:v>
                </c:pt>
                <c:pt idx="470">
                  <c:v>0.17128903361504746</c:v>
                </c:pt>
                <c:pt idx="471">
                  <c:v>0.17771324255843179</c:v>
                </c:pt>
                <c:pt idx="472">
                  <c:v>0.17393341658570832</c:v>
                </c:pt>
                <c:pt idx="473">
                  <c:v>0.17318301777862727</c:v>
                </c:pt>
                <c:pt idx="474">
                  <c:v>0.17313589459599887</c:v>
                </c:pt>
                <c:pt idx="475">
                  <c:v>0.17580215496543777</c:v>
                </c:pt>
                <c:pt idx="476">
                  <c:v>0.17995317834142865</c:v>
                </c:pt>
                <c:pt idx="477">
                  <c:v>0.17688846333217501</c:v>
                </c:pt>
                <c:pt idx="478">
                  <c:v>0.17577601900354209</c:v>
                </c:pt>
                <c:pt idx="479">
                  <c:v>0.17570157320835275</c:v>
                </c:pt>
                <c:pt idx="480">
                  <c:v>0.17888105732982545</c:v>
                </c:pt>
                <c:pt idx="481">
                  <c:v>0.17660117984327384</c:v>
                </c:pt>
                <c:pt idx="482">
                  <c:v>0.17542189918335827</c:v>
                </c:pt>
                <c:pt idx="483">
                  <c:v>0.17432674528994599</c:v>
                </c:pt>
                <c:pt idx="484">
                  <c:v>0.17757030094547571</c:v>
                </c:pt>
                <c:pt idx="485">
                  <c:v>0.17841597617012067</c:v>
                </c:pt>
                <c:pt idx="486">
                  <c:v>0.18130550246762484</c:v>
                </c:pt>
                <c:pt idx="487">
                  <c:v>0.18015826365622728</c:v>
                </c:pt>
                <c:pt idx="488">
                  <c:v>0.17924819609894693</c:v>
                </c:pt>
                <c:pt idx="489">
                  <c:v>0.17986354554624651</c:v>
                </c:pt>
                <c:pt idx="490">
                  <c:v>0.18186752181193644</c:v>
                </c:pt>
                <c:pt idx="491">
                  <c:v>0.18253160527643161</c:v>
                </c:pt>
                <c:pt idx="492">
                  <c:v>0.18633669755803287</c:v>
                </c:pt>
                <c:pt idx="493">
                  <c:v>0.18858057870743078</c:v>
                </c:pt>
                <c:pt idx="494">
                  <c:v>0.18960276004651794</c:v>
                </c:pt>
                <c:pt idx="495">
                  <c:v>0.19221886180981418</c:v>
                </c:pt>
                <c:pt idx="496">
                  <c:v>0.19352314520863306</c:v>
                </c:pt>
                <c:pt idx="497">
                  <c:v>0.20187921687379334</c:v>
                </c:pt>
                <c:pt idx="498">
                  <c:v>0.20630588300733638</c:v>
                </c:pt>
                <c:pt idx="499">
                  <c:v>0.20620898663297066</c:v>
                </c:pt>
                <c:pt idx="500">
                  <c:v>0.20598088211971455</c:v>
                </c:pt>
                <c:pt idx="501">
                  <c:v>0.20956290992259519</c:v>
                </c:pt>
                <c:pt idx="502">
                  <c:v>0.21437663702512005</c:v>
                </c:pt>
                <c:pt idx="503">
                  <c:v>0.22060151298271477</c:v>
                </c:pt>
                <c:pt idx="504">
                  <c:v>0.22656857178906595</c:v>
                </c:pt>
                <c:pt idx="505">
                  <c:v>0.22548237516970071</c:v>
                </c:pt>
                <c:pt idx="506">
                  <c:v>0.22429507074439736</c:v>
                </c:pt>
                <c:pt idx="507">
                  <c:v>0.2314057932064259</c:v>
                </c:pt>
                <c:pt idx="508">
                  <c:v>0.23477342721443428</c:v>
                </c:pt>
                <c:pt idx="509">
                  <c:v>0.23887327409495412</c:v>
                </c:pt>
                <c:pt idx="510">
                  <c:v>0.24349519861623081</c:v>
                </c:pt>
                <c:pt idx="511">
                  <c:v>0.24880799708422074</c:v>
                </c:pt>
                <c:pt idx="512">
                  <c:v>0.25196535446583979</c:v>
                </c:pt>
                <c:pt idx="513">
                  <c:v>0.25331904236608677</c:v>
                </c:pt>
                <c:pt idx="514">
                  <c:v>0.25795949262516621</c:v>
                </c:pt>
                <c:pt idx="515">
                  <c:v>0.26332199510794885</c:v>
                </c:pt>
                <c:pt idx="516">
                  <c:v>0.26545435390040684</c:v>
                </c:pt>
                <c:pt idx="517">
                  <c:v>0.2693160420449307</c:v>
                </c:pt>
                <c:pt idx="518">
                  <c:v>0.27796510315664269</c:v>
                </c:pt>
                <c:pt idx="519">
                  <c:v>0.28345653626044709</c:v>
                </c:pt>
                <c:pt idx="520">
                  <c:v>0.28717353968504755</c:v>
                </c:pt>
                <c:pt idx="521">
                  <c:v>0.28824996943205755</c:v>
                </c:pt>
                <c:pt idx="522">
                  <c:v>0.29076401163628751</c:v>
                </c:pt>
                <c:pt idx="523">
                  <c:v>0.29523993023401746</c:v>
                </c:pt>
                <c:pt idx="524">
                  <c:v>0.30169223565951914</c:v>
                </c:pt>
                <c:pt idx="525">
                  <c:v>0.30657026843345209</c:v>
                </c:pt>
                <c:pt idx="526">
                  <c:v>0.31037416418196756</c:v>
                </c:pt>
                <c:pt idx="527">
                  <c:v>0.3122591310167897</c:v>
                </c:pt>
                <c:pt idx="528">
                  <c:v>0.31604847376060696</c:v>
                </c:pt>
                <c:pt idx="529">
                  <c:v>0.31117601163118042</c:v>
                </c:pt>
                <c:pt idx="530">
                  <c:v>0.31104446292887034</c:v>
                </c:pt>
                <c:pt idx="531">
                  <c:v>0.3176520014180681</c:v>
                </c:pt>
                <c:pt idx="532">
                  <c:v>0.32015897997208592</c:v>
                </c:pt>
                <c:pt idx="533">
                  <c:v>0.31933573176084484</c:v>
                </c:pt>
                <c:pt idx="534">
                  <c:v>0.3201299165331169</c:v>
                </c:pt>
                <c:pt idx="535">
                  <c:v>0.32748982955334116</c:v>
                </c:pt>
                <c:pt idx="536">
                  <c:v>0.3275113215377139</c:v>
                </c:pt>
                <c:pt idx="537">
                  <c:v>0.3292127703005443</c:v>
                </c:pt>
                <c:pt idx="538">
                  <c:v>0.33119527510688923</c:v>
                </c:pt>
                <c:pt idx="539">
                  <c:v>0.33176505291160352</c:v>
                </c:pt>
                <c:pt idx="540">
                  <c:v>0.32555774637756607</c:v>
                </c:pt>
                <c:pt idx="541">
                  <c:v>0.32717213861626132</c:v>
                </c:pt>
                <c:pt idx="542">
                  <c:v>0.32625712680790714</c:v>
                </c:pt>
                <c:pt idx="543">
                  <c:v>0.32710955096567573</c:v>
                </c:pt>
                <c:pt idx="544">
                  <c:v>0.32948945071226565</c:v>
                </c:pt>
                <c:pt idx="545">
                  <c:v>0.32857241984935232</c:v>
                </c:pt>
                <c:pt idx="546">
                  <c:v>0.32458115340516086</c:v>
                </c:pt>
                <c:pt idx="547">
                  <c:v>0.31623706075421026</c:v>
                </c:pt>
                <c:pt idx="548">
                  <c:v>0.31379064167398496</c:v>
                </c:pt>
                <c:pt idx="549">
                  <c:v>0.32076396047955674</c:v>
                </c:pt>
                <c:pt idx="550">
                  <c:v>0.31549493049247518</c:v>
                </c:pt>
                <c:pt idx="551">
                  <c:v>0.31014769863016817</c:v>
                </c:pt>
                <c:pt idx="552">
                  <c:v>0.31005321052569818</c:v>
                </c:pt>
                <c:pt idx="553">
                  <c:v>0.30784303603260599</c:v>
                </c:pt>
                <c:pt idx="554">
                  <c:v>0.31001350752061119</c:v>
                </c:pt>
                <c:pt idx="555">
                  <c:v>0.31330366943215021</c:v>
                </c:pt>
                <c:pt idx="556">
                  <c:v>0.30984808492103039</c:v>
                </c:pt>
                <c:pt idx="557">
                  <c:v>0.30935743641871094</c:v>
                </c:pt>
                <c:pt idx="558">
                  <c:v>0.30908925792950043</c:v>
                </c:pt>
                <c:pt idx="559">
                  <c:v>0.3012955096831334</c:v>
                </c:pt>
                <c:pt idx="560">
                  <c:v>0.29233194737565549</c:v>
                </c:pt>
                <c:pt idx="561">
                  <c:v>0.29879117961785195</c:v>
                </c:pt>
                <c:pt idx="562">
                  <c:v>0.29730459596534081</c:v>
                </c:pt>
                <c:pt idx="563">
                  <c:v>0.28195723925385241</c:v>
                </c:pt>
                <c:pt idx="564">
                  <c:v>0.26994406227588608</c:v>
                </c:pt>
                <c:pt idx="565">
                  <c:v>0.25652650210006983</c:v>
                </c:pt>
                <c:pt idx="566">
                  <c:v>0.25023555987981749</c:v>
                </c:pt>
                <c:pt idx="567">
                  <c:v>0.24240508399716804</c:v>
                </c:pt>
                <c:pt idx="568">
                  <c:v>0.23601881290650351</c:v>
                </c:pt>
                <c:pt idx="569">
                  <c:v>0.24526835422335619</c:v>
                </c:pt>
                <c:pt idx="570">
                  <c:v>0.25848549586748298</c:v>
                </c:pt>
                <c:pt idx="571">
                  <c:v>0.25458744649642745</c:v>
                </c:pt>
                <c:pt idx="572">
                  <c:v>0.22822205052183592</c:v>
                </c:pt>
                <c:pt idx="573">
                  <c:v>0.22333209650784477</c:v>
                </c:pt>
                <c:pt idx="574">
                  <c:v>0.21945072182118422</c:v>
                </c:pt>
                <c:pt idx="575">
                  <c:v>0.19063545542597599</c:v>
                </c:pt>
                <c:pt idx="576">
                  <c:v>0.17889756667372075</c:v>
                </c:pt>
                <c:pt idx="577">
                  <c:v>0.18285581024909742</c:v>
                </c:pt>
                <c:pt idx="578">
                  <c:v>0.14183178379365668</c:v>
                </c:pt>
                <c:pt idx="579">
                  <c:v>0.14171842102591603</c:v>
                </c:pt>
                <c:pt idx="580">
                  <c:v>0.14450924949779614</c:v>
                </c:pt>
                <c:pt idx="581">
                  <c:v>0.15334829368507619</c:v>
                </c:pt>
                <c:pt idx="582">
                  <c:v>4.9566102507005459E-2</c:v>
                </c:pt>
                <c:pt idx="583">
                  <c:v>0.17643159332375785</c:v>
                </c:pt>
                <c:pt idx="584">
                  <c:v>7.8012032719844956E-2</c:v>
                </c:pt>
                <c:pt idx="585">
                  <c:v>7.0832069457568703E-2</c:v>
                </c:pt>
                <c:pt idx="586">
                  <c:v>7.7437457379994301E-2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3EE-8743-9942-47F0944A1E12}"/>
            </c:ext>
          </c:extLst>
        </c:ser>
        <c:ser>
          <c:idx val="14"/>
          <c:order val="4"/>
          <c:tx>
            <c:strRef>
              <c:f>'Fig 2d'!$P$4</c:f>
              <c:strCache>
                <c:ptCount val="1"/>
                <c:pt idx="0">
                  <c:v>oxidized (60 min)</c:v>
                </c:pt>
              </c:strCache>
            </c:strRef>
          </c:tx>
          <c:spPr>
            <a:ln w="19050" cap="rnd">
              <a:solidFill>
                <a:srgbClr val="199ED1"/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2d'!$P$5:$P$591</c:f>
              <c:numCache>
                <c:formatCode>General</c:formatCode>
                <c:ptCount val="587"/>
                <c:pt idx="0">
                  <c:v>-6.6771810856807307E-2</c:v>
                </c:pt>
                <c:pt idx="1">
                  <c:v>3.9050377141413621E-2</c:v>
                </c:pt>
                <c:pt idx="2">
                  <c:v>-2.667308897240505E-2</c:v>
                </c:pt>
                <c:pt idx="3">
                  <c:v>-5.4528015497318484E-2</c:v>
                </c:pt>
                <c:pt idx="4">
                  <c:v>-8.9602207664421507E-3</c:v>
                </c:pt>
                <c:pt idx="5">
                  <c:v>2.344030126473555E-2</c:v>
                </c:pt>
                <c:pt idx="6">
                  <c:v>3.2550533866434465E-2</c:v>
                </c:pt>
                <c:pt idx="7">
                  <c:v>7.7756739522450297E-2</c:v>
                </c:pt>
                <c:pt idx="8">
                  <c:v>0.1287561063229247</c:v>
                </c:pt>
                <c:pt idx="9">
                  <c:v>0.12914548209381388</c:v>
                </c:pt>
                <c:pt idx="10">
                  <c:v>0.12553772435164115</c:v>
                </c:pt>
                <c:pt idx="11">
                  <c:v>0.14041418317901072</c:v>
                </c:pt>
                <c:pt idx="12">
                  <c:v>0.14885807847196142</c:v>
                </c:pt>
                <c:pt idx="13">
                  <c:v>0.17276232817991979</c:v>
                </c:pt>
                <c:pt idx="14">
                  <c:v>0.18035551109873846</c:v>
                </c:pt>
                <c:pt idx="15">
                  <c:v>0.18039754151976858</c:v>
                </c:pt>
                <c:pt idx="16">
                  <c:v>0.19168186493721379</c:v>
                </c:pt>
                <c:pt idx="17">
                  <c:v>0.20615815106478186</c:v>
                </c:pt>
                <c:pt idx="18">
                  <c:v>0.21963149391632286</c:v>
                </c:pt>
                <c:pt idx="19">
                  <c:v>0.22635712949502157</c:v>
                </c:pt>
                <c:pt idx="20">
                  <c:v>0.23817494446528931</c:v>
                </c:pt>
                <c:pt idx="21">
                  <c:v>0.25117509736031807</c:v>
                </c:pt>
                <c:pt idx="22">
                  <c:v>0.26895003277977209</c:v>
                </c:pt>
                <c:pt idx="23">
                  <c:v>0.29644304366689123</c:v>
                </c:pt>
                <c:pt idx="24">
                  <c:v>0.32200800408185831</c:v>
                </c:pt>
                <c:pt idx="25">
                  <c:v>0.34732689179660736</c:v>
                </c:pt>
                <c:pt idx="26">
                  <c:v>0.38154717240474018</c:v>
                </c:pt>
                <c:pt idx="27">
                  <c:v>0.41171596372609226</c:v>
                </c:pt>
                <c:pt idx="28">
                  <c:v>0.41991566197887686</c:v>
                </c:pt>
                <c:pt idx="29">
                  <c:v>0.41884970563655866</c:v>
                </c:pt>
                <c:pt idx="30">
                  <c:v>0.41483268772462178</c:v>
                </c:pt>
                <c:pt idx="31">
                  <c:v>0.44299760232206276</c:v>
                </c:pt>
                <c:pt idx="32">
                  <c:v>0.47176462302797306</c:v>
                </c:pt>
                <c:pt idx="33">
                  <c:v>0.49206267554656213</c:v>
                </c:pt>
                <c:pt idx="34">
                  <c:v>0.50548978870927752</c:v>
                </c:pt>
                <c:pt idx="35">
                  <c:v>0.51779269237703229</c:v>
                </c:pt>
                <c:pt idx="36">
                  <c:v>0.53909887657349764</c:v>
                </c:pt>
                <c:pt idx="37">
                  <c:v>0.56375346692623529</c:v>
                </c:pt>
                <c:pt idx="38">
                  <c:v>0.58444001561362435</c:v>
                </c:pt>
                <c:pt idx="39">
                  <c:v>0.62133214060345743</c:v>
                </c:pt>
                <c:pt idx="40">
                  <c:v>0.64317560772981963</c:v>
                </c:pt>
                <c:pt idx="41">
                  <c:v>0.66453226188819503</c:v>
                </c:pt>
                <c:pt idx="42">
                  <c:v>0.68567723923504931</c:v>
                </c:pt>
                <c:pt idx="43">
                  <c:v>0.70634710510466114</c:v>
                </c:pt>
                <c:pt idx="44">
                  <c:v>0.73178571081367683</c:v>
                </c:pt>
                <c:pt idx="45">
                  <c:v>0.74512682985445111</c:v>
                </c:pt>
                <c:pt idx="46">
                  <c:v>0.75346952663611166</c:v>
                </c:pt>
                <c:pt idx="47">
                  <c:v>0.77185112654105426</c:v>
                </c:pt>
                <c:pt idx="48">
                  <c:v>0.79177226997645034</c:v>
                </c:pt>
                <c:pt idx="49">
                  <c:v>0.80910236651883494</c:v>
                </c:pt>
                <c:pt idx="50">
                  <c:v>0.8150021968517096</c:v>
                </c:pt>
                <c:pt idx="51">
                  <c:v>0.81388326486259877</c:v>
                </c:pt>
                <c:pt idx="52">
                  <c:v>0.80968981412797392</c:v>
                </c:pt>
                <c:pt idx="53">
                  <c:v>0.79828586109953958</c:v>
                </c:pt>
                <c:pt idx="54">
                  <c:v>0.80952981505671329</c:v>
                </c:pt>
                <c:pt idx="55">
                  <c:v>0.81895937640192251</c:v>
                </c:pt>
                <c:pt idx="56">
                  <c:v>0.82320713771222431</c:v>
                </c:pt>
                <c:pt idx="57">
                  <c:v>0.84613558975914593</c:v>
                </c:pt>
                <c:pt idx="58">
                  <c:v>0.86394659147330821</c:v>
                </c:pt>
                <c:pt idx="59">
                  <c:v>0.88091461730886955</c:v>
                </c:pt>
                <c:pt idx="60">
                  <c:v>0.9018082383804199</c:v>
                </c:pt>
                <c:pt idx="61">
                  <c:v>0.91594834771169675</c:v>
                </c:pt>
                <c:pt idx="62">
                  <c:v>0.91005502056727061</c:v>
                </c:pt>
                <c:pt idx="63">
                  <c:v>0.91604714033913603</c:v>
                </c:pt>
                <c:pt idx="64">
                  <c:v>0.9024579600123338</c:v>
                </c:pt>
                <c:pt idx="65">
                  <c:v>0.89476877328090643</c:v>
                </c:pt>
                <c:pt idx="66">
                  <c:v>0.88207910499793463</c:v>
                </c:pt>
                <c:pt idx="67">
                  <c:v>0.85110171942396895</c:v>
                </c:pt>
                <c:pt idx="68">
                  <c:v>0.84703306011133372</c:v>
                </c:pt>
                <c:pt idx="69">
                  <c:v>0.83749471738688896</c:v>
                </c:pt>
                <c:pt idx="70">
                  <c:v>0.80795926136194518</c:v>
                </c:pt>
                <c:pt idx="71">
                  <c:v>0.79357176260927931</c:v>
                </c:pt>
                <c:pt idx="72">
                  <c:v>0.7764106913088149</c:v>
                </c:pt>
                <c:pt idx="73">
                  <c:v>0.76701820815200994</c:v>
                </c:pt>
                <c:pt idx="74">
                  <c:v>0.75648926079846435</c:v>
                </c:pt>
                <c:pt idx="75">
                  <c:v>0.74858046900999997</c:v>
                </c:pt>
                <c:pt idx="76">
                  <c:v>0.74875442914928692</c:v>
                </c:pt>
                <c:pt idx="77">
                  <c:v>0.74021913481248269</c:v>
                </c:pt>
                <c:pt idx="78">
                  <c:v>0.74184337819988788</c:v>
                </c:pt>
                <c:pt idx="79">
                  <c:v>0.74851512152513422</c:v>
                </c:pt>
                <c:pt idx="80">
                  <c:v>0.75152875064104729</c:v>
                </c:pt>
                <c:pt idx="81">
                  <c:v>0.75677150646024816</c:v>
                </c:pt>
                <c:pt idx="82">
                  <c:v>0.76366436183431241</c:v>
                </c:pt>
                <c:pt idx="83">
                  <c:v>0.77269498488685118</c:v>
                </c:pt>
                <c:pt idx="84">
                  <c:v>0.78753512072868093</c:v>
                </c:pt>
                <c:pt idx="85">
                  <c:v>0.78309423626722985</c:v>
                </c:pt>
                <c:pt idx="86">
                  <c:v>0.78289903682978312</c:v>
                </c:pt>
                <c:pt idx="87">
                  <c:v>0.77823018632911356</c:v>
                </c:pt>
                <c:pt idx="88">
                  <c:v>0.75824860178079934</c:v>
                </c:pt>
                <c:pt idx="89">
                  <c:v>0.74778734645873468</c:v>
                </c:pt>
                <c:pt idx="90">
                  <c:v>0.73375320602183425</c:v>
                </c:pt>
                <c:pt idx="91">
                  <c:v>0.71964101639891465</c:v>
                </c:pt>
                <c:pt idx="92">
                  <c:v>0.71185153126211675</c:v>
                </c:pt>
                <c:pt idx="93">
                  <c:v>0.68755732831306027</c:v>
                </c:pt>
                <c:pt idx="94">
                  <c:v>0.67505899609412678</c:v>
                </c:pt>
                <c:pt idx="95">
                  <c:v>0.67126395077308165</c:v>
                </c:pt>
                <c:pt idx="96">
                  <c:v>0.64669895299345803</c:v>
                </c:pt>
                <c:pt idx="97">
                  <c:v>0.62569824234274607</c:v>
                </c:pt>
                <c:pt idx="98">
                  <c:v>0.61528900433480394</c:v>
                </c:pt>
                <c:pt idx="99">
                  <c:v>0.59711615829639342</c:v>
                </c:pt>
                <c:pt idx="100">
                  <c:v>0.58457101192101901</c:v>
                </c:pt>
                <c:pt idx="101">
                  <c:v>0.56606649356091421</c:v>
                </c:pt>
                <c:pt idx="102">
                  <c:v>0.55977801669386917</c:v>
                </c:pt>
                <c:pt idx="103">
                  <c:v>0.56075172335070489</c:v>
                </c:pt>
                <c:pt idx="104">
                  <c:v>0.55570421597804642</c:v>
                </c:pt>
                <c:pt idx="105">
                  <c:v>0.57238234754644524</c:v>
                </c:pt>
                <c:pt idx="106">
                  <c:v>0.57948682814350916</c:v>
                </c:pt>
                <c:pt idx="107">
                  <c:v>0.59200174167221675</c:v>
                </c:pt>
                <c:pt idx="108">
                  <c:v>0.62214133540716476</c:v>
                </c:pt>
                <c:pt idx="109">
                  <c:v>0.64487588986817668</c:v>
                </c:pt>
                <c:pt idx="110">
                  <c:v>0.67352278760991824</c:v>
                </c:pt>
                <c:pt idx="111">
                  <c:v>0.68206968769523557</c:v>
                </c:pt>
                <c:pt idx="112">
                  <c:v>0.68211541682366339</c:v>
                </c:pt>
                <c:pt idx="113">
                  <c:v>0.69218751124364308</c:v>
                </c:pt>
                <c:pt idx="114">
                  <c:v>0.67861998944761026</c:v>
                </c:pt>
                <c:pt idx="115">
                  <c:v>0.65874438426310855</c:v>
                </c:pt>
                <c:pt idx="116">
                  <c:v>0.63736530389122892</c:v>
                </c:pt>
                <c:pt idx="117">
                  <c:v>0.60512897401607157</c:v>
                </c:pt>
                <c:pt idx="118">
                  <c:v>0.55417639540826347</c:v>
                </c:pt>
                <c:pt idx="119">
                  <c:v>0.49485245493215524</c:v>
                </c:pt>
                <c:pt idx="120">
                  <c:v>0.46837623747376544</c:v>
                </c:pt>
                <c:pt idx="121">
                  <c:v>0.43525926675009297</c:v>
                </c:pt>
                <c:pt idx="122">
                  <c:v>0.35677587940687366</c:v>
                </c:pt>
                <c:pt idx="123">
                  <c:v>0.31945142742570876</c:v>
                </c:pt>
                <c:pt idx="124">
                  <c:v>0.30210485441963564</c:v>
                </c:pt>
                <c:pt idx="125">
                  <c:v>0.30908659461780491</c:v>
                </c:pt>
                <c:pt idx="126">
                  <c:v>0.31986812279127358</c:v>
                </c:pt>
                <c:pt idx="127">
                  <c:v>0.25557433061431079</c:v>
                </c:pt>
                <c:pt idx="128">
                  <c:v>0.33850897201545604</c:v>
                </c:pt>
                <c:pt idx="129">
                  <c:v>0.27465777150435167</c:v>
                </c:pt>
                <c:pt idx="130">
                  <c:v>0.29320801922048012</c:v>
                </c:pt>
                <c:pt idx="131">
                  <c:v>0.28448479889683842</c:v>
                </c:pt>
                <c:pt idx="132">
                  <c:v>0.26791913576972359</c:v>
                </c:pt>
                <c:pt idx="133">
                  <c:v>0.26157443704810851</c:v>
                </c:pt>
                <c:pt idx="134">
                  <c:v>0.25651496917997912</c:v>
                </c:pt>
                <c:pt idx="135">
                  <c:v>0.24060820520705792</c:v>
                </c:pt>
                <c:pt idx="136">
                  <c:v>0.22019952284695263</c:v>
                </c:pt>
                <c:pt idx="137">
                  <c:v>0.20981152330265079</c:v>
                </c:pt>
                <c:pt idx="138">
                  <c:v>0.21056052226651834</c:v>
                </c:pt>
                <c:pt idx="139">
                  <c:v>0.2225926524740614</c:v>
                </c:pt>
                <c:pt idx="140">
                  <c:v>0.23362306953579204</c:v>
                </c:pt>
                <c:pt idx="141">
                  <c:v>0.24377185913274002</c:v>
                </c:pt>
                <c:pt idx="142">
                  <c:v>0.25025319881855967</c:v>
                </c:pt>
                <c:pt idx="143">
                  <c:v>0.25366931528989112</c:v>
                </c:pt>
                <c:pt idx="144">
                  <c:v>0.24657426541612865</c:v>
                </c:pt>
                <c:pt idx="145">
                  <c:v>0.24347371237102361</c:v>
                </c:pt>
                <c:pt idx="146">
                  <c:v>0.25364457969341975</c:v>
                </c:pt>
                <c:pt idx="147">
                  <c:v>0.25395466859116228</c:v>
                </c:pt>
                <c:pt idx="148">
                  <c:v>0.2515776686988172</c:v>
                </c:pt>
                <c:pt idx="149">
                  <c:v>0.24859452582025401</c:v>
                </c:pt>
                <c:pt idx="150">
                  <c:v>0.25039355749446174</c:v>
                </c:pt>
                <c:pt idx="151">
                  <c:v>0.24511155244458155</c:v>
                </c:pt>
                <c:pt idx="152">
                  <c:v>0.25038150762946276</c:v>
                </c:pt>
                <c:pt idx="153">
                  <c:v>0.24225666978508592</c:v>
                </c:pt>
                <c:pt idx="154">
                  <c:v>0.24146701678955229</c:v>
                </c:pt>
                <c:pt idx="155">
                  <c:v>0.24496237763158443</c:v>
                </c:pt>
                <c:pt idx="156">
                  <c:v>0.2486868082796212</c:v>
                </c:pt>
                <c:pt idx="157">
                  <c:v>0.25166939328142002</c:v>
                </c:pt>
                <c:pt idx="158">
                  <c:v>0.25604183187410462</c:v>
                </c:pt>
                <c:pt idx="159">
                  <c:v>0.26405144500865568</c:v>
                </c:pt>
                <c:pt idx="160">
                  <c:v>0.27064607692100989</c:v>
                </c:pt>
                <c:pt idx="161">
                  <c:v>0.27065705837253606</c:v>
                </c:pt>
                <c:pt idx="162">
                  <c:v>0.27815534139726161</c:v>
                </c:pt>
                <c:pt idx="163">
                  <c:v>0.28352139503692964</c:v>
                </c:pt>
                <c:pt idx="164">
                  <c:v>0.28744440690179057</c:v>
                </c:pt>
                <c:pt idx="165">
                  <c:v>0.28962560001563586</c:v>
                </c:pt>
                <c:pt idx="166">
                  <c:v>0.28656008157065466</c:v>
                </c:pt>
                <c:pt idx="167">
                  <c:v>0.2863781804404516</c:v>
                </c:pt>
                <c:pt idx="168">
                  <c:v>0.28710093594361569</c:v>
                </c:pt>
                <c:pt idx="169">
                  <c:v>0.27884606915724791</c:v>
                </c:pt>
                <c:pt idx="170">
                  <c:v>0.26980697708535112</c:v>
                </c:pt>
                <c:pt idx="171">
                  <c:v>0.27389564515815412</c:v>
                </c:pt>
                <c:pt idx="172">
                  <c:v>0.2799262669426773</c:v>
                </c:pt>
                <c:pt idx="173">
                  <c:v>0.28008073141896378</c:v>
                </c:pt>
                <c:pt idx="174">
                  <c:v>0.27309770560446955</c:v>
                </c:pt>
                <c:pt idx="175">
                  <c:v>0.26671870499147954</c:v>
                </c:pt>
                <c:pt idx="176">
                  <c:v>0.2612718460300138</c:v>
                </c:pt>
                <c:pt idx="177">
                  <c:v>0.25087971786763841</c:v>
                </c:pt>
                <c:pt idx="178">
                  <c:v>0.24902780433532981</c:v>
                </c:pt>
                <c:pt idx="179">
                  <c:v>0.25262363983719666</c:v>
                </c:pt>
                <c:pt idx="180">
                  <c:v>0.25686645240468337</c:v>
                </c:pt>
                <c:pt idx="181">
                  <c:v>0.25806945782952551</c:v>
                </c:pt>
                <c:pt idx="182">
                  <c:v>0.25713807386545884</c:v>
                </c:pt>
                <c:pt idx="183">
                  <c:v>0.25611158198416972</c:v>
                </c:pt>
                <c:pt idx="184">
                  <c:v>0.25936171667087782</c:v>
                </c:pt>
                <c:pt idx="185">
                  <c:v>0.264211360476164</c:v>
                </c:pt>
                <c:pt idx="186">
                  <c:v>0.27054726308916938</c:v>
                </c:pt>
                <c:pt idx="187">
                  <c:v>0.27897771479249406</c:v>
                </c:pt>
                <c:pt idx="188">
                  <c:v>0.28687961640272613</c:v>
                </c:pt>
                <c:pt idx="189">
                  <c:v>0.2895592252363835</c:v>
                </c:pt>
                <c:pt idx="190">
                  <c:v>0.2895611577576086</c:v>
                </c:pt>
                <c:pt idx="191">
                  <c:v>0.29063194164764694</c:v>
                </c:pt>
                <c:pt idx="192">
                  <c:v>0.29282827345134083</c:v>
                </c:pt>
                <c:pt idx="193">
                  <c:v>0.29041099870297155</c:v>
                </c:pt>
                <c:pt idx="194">
                  <c:v>0.28946584333456415</c:v>
                </c:pt>
                <c:pt idx="195">
                  <c:v>0.28808901410069387</c:v>
                </c:pt>
                <c:pt idx="196">
                  <c:v>0.28563115132362094</c:v>
                </c:pt>
                <c:pt idx="197">
                  <c:v>0.28615767713619866</c:v>
                </c:pt>
                <c:pt idx="198">
                  <c:v>0.28931235094156482</c:v>
                </c:pt>
                <c:pt idx="199">
                  <c:v>0.28969065443217418</c:v>
                </c:pt>
                <c:pt idx="200">
                  <c:v>0.28623706018898587</c:v>
                </c:pt>
                <c:pt idx="201">
                  <c:v>0.28368280456115447</c:v>
                </c:pt>
                <c:pt idx="202">
                  <c:v>0.27953737280256485</c:v>
                </c:pt>
                <c:pt idx="203">
                  <c:v>0.27358491527301959</c:v>
                </c:pt>
                <c:pt idx="204">
                  <c:v>0.26859710932490494</c:v>
                </c:pt>
                <c:pt idx="205">
                  <c:v>0.26803317075718303</c:v>
                </c:pt>
                <c:pt idx="206">
                  <c:v>0.26947441827559143</c:v>
                </c:pt>
                <c:pt idx="207">
                  <c:v>0.27035269375241927</c:v>
                </c:pt>
                <c:pt idx="208">
                  <c:v>0.27164278788626284</c:v>
                </c:pt>
                <c:pt idx="209">
                  <c:v>0.27484634022348742</c:v>
                </c:pt>
                <c:pt idx="210">
                  <c:v>0.27858171879050997</c:v>
                </c:pt>
                <c:pt idx="211">
                  <c:v>0.27769732696328586</c:v>
                </c:pt>
                <c:pt idx="212">
                  <c:v>0.28075564160216326</c:v>
                </c:pt>
                <c:pt idx="213">
                  <c:v>0.28418840561382808</c:v>
                </c:pt>
                <c:pt idx="214">
                  <c:v>0.28091889924727226</c:v>
                </c:pt>
                <c:pt idx="215">
                  <c:v>0.28404250310633017</c:v>
                </c:pt>
                <c:pt idx="216">
                  <c:v>0.28676598122631536</c:v>
                </c:pt>
                <c:pt idx="217">
                  <c:v>0.28878249630371</c:v>
                </c:pt>
                <c:pt idx="218">
                  <c:v>0.28762440672941203</c:v>
                </c:pt>
                <c:pt idx="219">
                  <c:v>0.28347477300980362</c:v>
                </c:pt>
                <c:pt idx="220">
                  <c:v>0.2799273118568199</c:v>
                </c:pt>
                <c:pt idx="221">
                  <c:v>0.27704264547426538</c:v>
                </c:pt>
                <c:pt idx="222">
                  <c:v>0.26845526880662696</c:v>
                </c:pt>
                <c:pt idx="223">
                  <c:v>0.26110698813549071</c:v>
                </c:pt>
                <c:pt idx="224">
                  <c:v>0.25245210303082044</c:v>
                </c:pt>
                <c:pt idx="225">
                  <c:v>0.24049843522482658</c:v>
                </c:pt>
                <c:pt idx="226">
                  <c:v>0.23362113985952251</c:v>
                </c:pt>
                <c:pt idx="227">
                  <c:v>0.23023900508933123</c:v>
                </c:pt>
                <c:pt idx="228">
                  <c:v>0.22688220976685367</c:v>
                </c:pt>
                <c:pt idx="229">
                  <c:v>0.22259903919478333</c:v>
                </c:pt>
                <c:pt idx="230">
                  <c:v>0.22286040637460269</c:v>
                </c:pt>
                <c:pt idx="231">
                  <c:v>0.21856004813795493</c:v>
                </c:pt>
                <c:pt idx="232">
                  <c:v>0.22061733017277185</c:v>
                </c:pt>
                <c:pt idx="233">
                  <c:v>0.22373033381379451</c:v>
                </c:pt>
                <c:pt idx="234">
                  <c:v>0.2236866893832494</c:v>
                </c:pt>
                <c:pt idx="235">
                  <c:v>0.22307819593290981</c:v>
                </c:pt>
                <c:pt idx="236">
                  <c:v>0.2241410288652057</c:v>
                </c:pt>
                <c:pt idx="237">
                  <c:v>0.22968458819813106</c:v>
                </c:pt>
                <c:pt idx="238">
                  <c:v>0.23601042339632622</c:v>
                </c:pt>
                <c:pt idx="239">
                  <c:v>0.24131094863093872</c:v>
                </c:pt>
                <c:pt idx="240">
                  <c:v>0.24406403399666451</c:v>
                </c:pt>
                <c:pt idx="241">
                  <c:v>0.24538395110920733</c:v>
                </c:pt>
                <c:pt idx="242">
                  <c:v>0.2515078970429574</c:v>
                </c:pt>
                <c:pt idx="243">
                  <c:v>0.25489303004039743</c:v>
                </c:pt>
                <c:pt idx="244">
                  <c:v>0.2548719924068929</c:v>
                </c:pt>
                <c:pt idx="245">
                  <c:v>0.25667271758814897</c:v>
                </c:pt>
                <c:pt idx="246">
                  <c:v>0.25611661379967959</c:v>
                </c:pt>
                <c:pt idx="247">
                  <c:v>0.25426673609840533</c:v>
                </c:pt>
                <c:pt idx="248">
                  <c:v>0.24171401842457016</c:v>
                </c:pt>
                <c:pt idx="249">
                  <c:v>0.23454006759940119</c:v>
                </c:pt>
                <c:pt idx="250">
                  <c:v>0.22792210550322778</c:v>
                </c:pt>
                <c:pt idx="251">
                  <c:v>0.21513740499780859</c:v>
                </c:pt>
                <c:pt idx="252">
                  <c:v>0.21713156160956776</c:v>
                </c:pt>
                <c:pt idx="253">
                  <c:v>0.21727542090811464</c:v>
                </c:pt>
                <c:pt idx="254">
                  <c:v>0.20931276895729251</c:v>
                </c:pt>
                <c:pt idx="255">
                  <c:v>0.20342889025075539</c:v>
                </c:pt>
                <c:pt idx="256">
                  <c:v>0.21016824306584669</c:v>
                </c:pt>
                <c:pt idx="257">
                  <c:v>0.21597857564796871</c:v>
                </c:pt>
                <c:pt idx="258">
                  <c:v>0.221661463280376</c:v>
                </c:pt>
                <c:pt idx="259">
                  <c:v>0.22722104610320973</c:v>
                </c:pt>
                <c:pt idx="260">
                  <c:v>0.22600671776582565</c:v>
                </c:pt>
                <c:pt idx="261">
                  <c:v>0.21467020190829381</c:v>
                </c:pt>
                <c:pt idx="262">
                  <c:v>0.21381472687038872</c:v>
                </c:pt>
                <c:pt idx="263">
                  <c:v>0.21177675331947882</c:v>
                </c:pt>
                <c:pt idx="264">
                  <c:v>0.21028989069845108</c:v>
                </c:pt>
                <c:pt idx="265">
                  <c:v>0.19885168107032972</c:v>
                </c:pt>
                <c:pt idx="266">
                  <c:v>0.19361108954137635</c:v>
                </c:pt>
                <c:pt idx="267">
                  <c:v>0.19532384953980675</c:v>
                </c:pt>
                <c:pt idx="268">
                  <c:v>0.18653937941522625</c:v>
                </c:pt>
                <c:pt idx="269">
                  <c:v>0.18070136586391097</c:v>
                </c:pt>
                <c:pt idx="270">
                  <c:v>0.18050015423936458</c:v>
                </c:pt>
                <c:pt idx="271">
                  <c:v>0.18038743244533054</c:v>
                </c:pt>
                <c:pt idx="272">
                  <c:v>0.17236160556922814</c:v>
                </c:pt>
                <c:pt idx="273">
                  <c:v>0.1620289640372729</c:v>
                </c:pt>
                <c:pt idx="274">
                  <c:v>0.15462258604118007</c:v>
                </c:pt>
                <c:pt idx="275">
                  <c:v>0.15335296761949729</c:v>
                </c:pt>
                <c:pt idx="276">
                  <c:v>0.15358487600808485</c:v>
                </c:pt>
                <c:pt idx="277">
                  <c:v>0.14617024908311552</c:v>
                </c:pt>
                <c:pt idx="278">
                  <c:v>0.14710484951569161</c:v>
                </c:pt>
                <c:pt idx="279">
                  <c:v>0.15652354161440998</c:v>
                </c:pt>
                <c:pt idx="280">
                  <c:v>0.15546852605972478</c:v>
                </c:pt>
                <c:pt idx="281">
                  <c:v>0.14957803628403385</c:v>
                </c:pt>
                <c:pt idx="282">
                  <c:v>0.15297643042885892</c:v>
                </c:pt>
                <c:pt idx="283">
                  <c:v>0.16940702221049928</c:v>
                </c:pt>
                <c:pt idx="284">
                  <c:v>0.19341343881459319</c:v>
                </c:pt>
                <c:pt idx="285">
                  <c:v>0.20843323676888523</c:v>
                </c:pt>
                <c:pt idx="286">
                  <c:v>0.22055475625377838</c:v>
                </c:pt>
                <c:pt idx="287">
                  <c:v>0.19999108679910105</c:v>
                </c:pt>
                <c:pt idx="288">
                  <c:v>0.1843818235175175</c:v>
                </c:pt>
                <c:pt idx="289">
                  <c:v>0.16807807091874691</c:v>
                </c:pt>
                <c:pt idx="290">
                  <c:v>0.1541208158914919</c:v>
                </c:pt>
                <c:pt idx="291">
                  <c:v>0.14544422009853736</c:v>
                </c:pt>
                <c:pt idx="292">
                  <c:v>0.13846767672328433</c:v>
                </c:pt>
                <c:pt idx="293">
                  <c:v>0.13109452059767474</c:v>
                </c:pt>
                <c:pt idx="294">
                  <c:v>0.10587182427291866</c:v>
                </c:pt>
                <c:pt idx="295">
                  <c:v>8.9204013557429754E-2</c:v>
                </c:pt>
                <c:pt idx="296">
                  <c:v>8.4832384866614013E-2</c:v>
                </c:pt>
                <c:pt idx="297">
                  <c:v>8.5550211541649657E-2</c:v>
                </c:pt>
                <c:pt idx="298">
                  <c:v>9.073567390645873E-2</c:v>
                </c:pt>
                <c:pt idx="299">
                  <c:v>9.2650332396472856E-2</c:v>
                </c:pt>
                <c:pt idx="300">
                  <c:v>9.6107609320476295E-2</c:v>
                </c:pt>
                <c:pt idx="301">
                  <c:v>8.349060957856333E-2</c:v>
                </c:pt>
                <c:pt idx="302">
                  <c:v>6.4933085073745123E-2</c:v>
                </c:pt>
                <c:pt idx="303">
                  <c:v>7.8508792602713803E-2</c:v>
                </c:pt>
                <c:pt idx="304">
                  <c:v>8.4757205671483926E-2</c:v>
                </c:pt>
                <c:pt idx="305">
                  <c:v>9.9875362833761777E-2</c:v>
                </c:pt>
                <c:pt idx="306">
                  <c:v>0.10286717910852947</c:v>
                </c:pt>
                <c:pt idx="307">
                  <c:v>9.9066272876139783E-2</c:v>
                </c:pt>
                <c:pt idx="308">
                  <c:v>0.10640801864705871</c:v>
                </c:pt>
                <c:pt idx="309">
                  <c:v>0.10768920594663403</c:v>
                </c:pt>
                <c:pt idx="310">
                  <c:v>0.10720708055456871</c:v>
                </c:pt>
                <c:pt idx="311">
                  <c:v>8.839054752752433E-2</c:v>
                </c:pt>
                <c:pt idx="312">
                  <c:v>9.7237761092501346E-2</c:v>
                </c:pt>
                <c:pt idx="313">
                  <c:v>0.11526103719155939</c:v>
                </c:pt>
                <c:pt idx="314">
                  <c:v>0.11996314595917479</c:v>
                </c:pt>
                <c:pt idx="315">
                  <c:v>0.12697597844603378</c:v>
                </c:pt>
                <c:pt idx="316">
                  <c:v>0.12872549583570958</c:v>
                </c:pt>
                <c:pt idx="317">
                  <c:v>0.12983306545274861</c:v>
                </c:pt>
                <c:pt idx="318">
                  <c:v>0.13922273138310212</c:v>
                </c:pt>
                <c:pt idx="319">
                  <c:v>0.14564955459434742</c:v>
                </c:pt>
                <c:pt idx="320">
                  <c:v>0.147877769641199</c:v>
                </c:pt>
                <c:pt idx="321">
                  <c:v>0.15546218385781119</c:v>
                </c:pt>
                <c:pt idx="322">
                  <c:v>0.16845166323927319</c:v>
                </c:pt>
                <c:pt idx="323">
                  <c:v>0.17618803829565824</c:v>
                </c:pt>
                <c:pt idx="324">
                  <c:v>0.18354660184903449</c:v>
                </c:pt>
                <c:pt idx="325">
                  <c:v>0.18648991266041315</c:v>
                </c:pt>
                <c:pt idx="326">
                  <c:v>0.18584282029823945</c:v>
                </c:pt>
                <c:pt idx="327">
                  <c:v>0.18936473803918238</c:v>
                </c:pt>
                <c:pt idx="328">
                  <c:v>0.19119197186890716</c:v>
                </c:pt>
                <c:pt idx="329">
                  <c:v>0.1932807902330359</c:v>
                </c:pt>
                <c:pt idx="330">
                  <c:v>0.18986235227819331</c:v>
                </c:pt>
                <c:pt idx="331">
                  <c:v>0.19272405865776682</c:v>
                </c:pt>
                <c:pt idx="332">
                  <c:v>0.19181994396941474</c:v>
                </c:pt>
                <c:pt idx="333">
                  <c:v>0.1931798679100038</c:v>
                </c:pt>
                <c:pt idx="334">
                  <c:v>0.19212594565266658</c:v>
                </c:pt>
                <c:pt idx="335">
                  <c:v>0.18920205439225027</c:v>
                </c:pt>
                <c:pt idx="336">
                  <c:v>0.18316562497291183</c:v>
                </c:pt>
                <c:pt idx="337">
                  <c:v>0.17769777526754654</c:v>
                </c:pt>
                <c:pt idx="338">
                  <c:v>0.17449688497394691</c:v>
                </c:pt>
                <c:pt idx="339">
                  <c:v>0.1685900440643304</c:v>
                </c:pt>
                <c:pt idx="340">
                  <c:v>0.16358735346190725</c:v>
                </c:pt>
                <c:pt idx="341">
                  <c:v>0.16004001892839986</c:v>
                </c:pt>
                <c:pt idx="342">
                  <c:v>0.16040482697533076</c:v>
                </c:pt>
                <c:pt idx="343">
                  <c:v>0.15264052617928386</c:v>
                </c:pt>
                <c:pt idx="344">
                  <c:v>0.14163052571628551</c:v>
                </c:pt>
                <c:pt idx="345">
                  <c:v>0.14243505949698854</c:v>
                </c:pt>
                <c:pt idx="346">
                  <c:v>0.14062580521565962</c:v>
                </c:pt>
                <c:pt idx="347">
                  <c:v>0.13896797660008228</c:v>
                </c:pt>
                <c:pt idx="348">
                  <c:v>0.13712957704159365</c:v>
                </c:pt>
                <c:pt idx="349">
                  <c:v>0.13261421999603981</c:v>
                </c:pt>
                <c:pt idx="350">
                  <c:v>0.12968822104101935</c:v>
                </c:pt>
                <c:pt idx="351">
                  <c:v>0.13484980319257869</c:v>
                </c:pt>
                <c:pt idx="352">
                  <c:v>0.13365786334459134</c:v>
                </c:pt>
                <c:pt idx="353">
                  <c:v>0.13139083735612994</c:v>
                </c:pt>
                <c:pt idx="354">
                  <c:v>0.13042833807820242</c:v>
                </c:pt>
                <c:pt idx="355">
                  <c:v>0.12931630250251791</c:v>
                </c:pt>
                <c:pt idx="356">
                  <c:v>0.1285983751824476</c:v>
                </c:pt>
                <c:pt idx="357">
                  <c:v>0.1262299821238366</c:v>
                </c:pt>
                <c:pt idx="358">
                  <c:v>0.12440006633579967</c:v>
                </c:pt>
                <c:pt idx="359">
                  <c:v>0.1164317154464207</c:v>
                </c:pt>
                <c:pt idx="360">
                  <c:v>0.12314483747034183</c:v>
                </c:pt>
                <c:pt idx="361">
                  <c:v>0.12707058587872336</c:v>
                </c:pt>
                <c:pt idx="362">
                  <c:v>0.12615108392729518</c:v>
                </c:pt>
                <c:pt idx="363">
                  <c:v>0.12431740449101547</c:v>
                </c:pt>
                <c:pt idx="364">
                  <c:v>0.12727768294761252</c:v>
                </c:pt>
                <c:pt idx="365">
                  <c:v>0.1264635933627791</c:v>
                </c:pt>
                <c:pt idx="366">
                  <c:v>0.1248459143943737</c:v>
                </c:pt>
                <c:pt idx="367">
                  <c:v>0.12341751797520439</c:v>
                </c:pt>
                <c:pt idx="368">
                  <c:v>0.12416391881211003</c:v>
                </c:pt>
                <c:pt idx="369">
                  <c:v>0.12670124513523726</c:v>
                </c:pt>
                <c:pt idx="370">
                  <c:v>0.12559657486902617</c:v>
                </c:pt>
                <c:pt idx="371">
                  <c:v>0.12568474572315277</c:v>
                </c:pt>
                <c:pt idx="372">
                  <c:v>0.12350625755485847</c:v>
                </c:pt>
                <c:pt idx="373">
                  <c:v>0.123110979638554</c:v>
                </c:pt>
                <c:pt idx="374">
                  <c:v>0.12141788998337794</c:v>
                </c:pt>
                <c:pt idx="375">
                  <c:v>0.12106755227043475</c:v>
                </c:pt>
                <c:pt idx="376">
                  <c:v>0.12599916050816751</c:v>
                </c:pt>
                <c:pt idx="377">
                  <c:v>0.12566873154573102</c:v>
                </c:pt>
                <c:pt idx="378">
                  <c:v>0.12500591170176231</c:v>
                </c:pt>
                <c:pt idx="379">
                  <c:v>0.12384598587952717</c:v>
                </c:pt>
                <c:pt idx="380">
                  <c:v>0.12632766337897836</c:v>
                </c:pt>
                <c:pt idx="381">
                  <c:v>0.12224134764796768</c:v>
                </c:pt>
                <c:pt idx="382">
                  <c:v>0.11630661403810344</c:v>
                </c:pt>
                <c:pt idx="383">
                  <c:v>0.12383668932431746</c:v>
                </c:pt>
                <c:pt idx="384">
                  <c:v>0.12675976002376438</c:v>
                </c:pt>
                <c:pt idx="385">
                  <c:v>0.12441539163574919</c:v>
                </c:pt>
                <c:pt idx="386">
                  <c:v>0.12837972585020394</c:v>
                </c:pt>
                <c:pt idx="387">
                  <c:v>0.13070124497986474</c:v>
                </c:pt>
                <c:pt idx="388">
                  <c:v>0.13206420843748723</c:v>
                </c:pt>
                <c:pt idx="389">
                  <c:v>0.13034642989526377</c:v>
                </c:pt>
                <c:pt idx="390">
                  <c:v>0.12623126603318938</c:v>
                </c:pt>
                <c:pt idx="391">
                  <c:v>0.12915919409548804</c:v>
                </c:pt>
                <c:pt idx="392">
                  <c:v>0.13707805277718763</c:v>
                </c:pt>
                <c:pt idx="393">
                  <c:v>0.13922230687784118</c:v>
                </c:pt>
                <c:pt idx="394">
                  <c:v>0.14468551337910579</c:v>
                </c:pt>
                <c:pt idx="395">
                  <c:v>0.14399822981207605</c:v>
                </c:pt>
                <c:pt idx="396">
                  <c:v>0.13981961627790598</c:v>
                </c:pt>
                <c:pt idx="397">
                  <c:v>0.13682942514591098</c:v>
                </c:pt>
                <c:pt idx="398">
                  <c:v>0.13880062838343554</c:v>
                </c:pt>
                <c:pt idx="399">
                  <c:v>0.13724266181398889</c:v>
                </c:pt>
                <c:pt idx="400">
                  <c:v>0.1312433479562832</c:v>
                </c:pt>
                <c:pt idx="401">
                  <c:v>0.12909236738560648</c:v>
                </c:pt>
                <c:pt idx="402">
                  <c:v>0.12433805327484659</c:v>
                </c:pt>
                <c:pt idx="403">
                  <c:v>0.11746998726335223</c:v>
                </c:pt>
                <c:pt idx="404">
                  <c:v>0.11048459209423236</c:v>
                </c:pt>
                <c:pt idx="405">
                  <c:v>0.11403904978884419</c:v>
                </c:pt>
                <c:pt idx="406">
                  <c:v>0.11200196386398312</c:v>
                </c:pt>
                <c:pt idx="407">
                  <c:v>0.10314078596876486</c:v>
                </c:pt>
                <c:pt idx="408">
                  <c:v>9.9151295502750397E-2</c:v>
                </c:pt>
                <c:pt idx="409">
                  <c:v>9.6147946955180891E-2</c:v>
                </c:pt>
                <c:pt idx="410">
                  <c:v>9.3733703696328718E-2</c:v>
                </c:pt>
                <c:pt idx="411">
                  <c:v>9.3101256917388145E-2</c:v>
                </c:pt>
                <c:pt idx="412">
                  <c:v>8.9012028833511364E-2</c:v>
                </c:pt>
                <c:pt idx="413">
                  <c:v>8.1265219761971139E-2</c:v>
                </c:pt>
                <c:pt idx="414">
                  <c:v>7.4729747423977838E-2</c:v>
                </c:pt>
                <c:pt idx="415">
                  <c:v>7.7745652276520166E-2</c:v>
                </c:pt>
                <c:pt idx="416">
                  <c:v>7.6259114625250632E-2</c:v>
                </c:pt>
                <c:pt idx="417">
                  <c:v>7.1855951615559327E-2</c:v>
                </c:pt>
                <c:pt idx="418">
                  <c:v>7.0005104277658783E-2</c:v>
                </c:pt>
                <c:pt idx="419">
                  <c:v>7.0482627411641741E-2</c:v>
                </c:pt>
                <c:pt idx="420">
                  <c:v>6.4061892928647973E-2</c:v>
                </c:pt>
                <c:pt idx="421">
                  <c:v>5.5305165252743219E-2</c:v>
                </c:pt>
                <c:pt idx="422">
                  <c:v>5.142394877767352E-2</c:v>
                </c:pt>
                <c:pt idx="423">
                  <c:v>5.6880062776968388E-2</c:v>
                </c:pt>
                <c:pt idx="424">
                  <c:v>5.5746167081723891E-2</c:v>
                </c:pt>
                <c:pt idx="425">
                  <c:v>5.2079178254868762E-2</c:v>
                </c:pt>
                <c:pt idx="426">
                  <c:v>3.9196273124480846E-2</c:v>
                </c:pt>
                <c:pt idx="427">
                  <c:v>3.7514415599324308E-2</c:v>
                </c:pt>
                <c:pt idx="428">
                  <c:v>4.2526894630759683E-2</c:v>
                </c:pt>
                <c:pt idx="429">
                  <c:v>5.9505914777045171E-2</c:v>
                </c:pt>
                <c:pt idx="430">
                  <c:v>6.1640877130463498E-2</c:v>
                </c:pt>
                <c:pt idx="431">
                  <c:v>5.9210938046315539E-2</c:v>
                </c:pt>
                <c:pt idx="432">
                  <c:v>4.8088050069008639E-2</c:v>
                </c:pt>
                <c:pt idx="433">
                  <c:v>4.3268989267483737E-2</c:v>
                </c:pt>
                <c:pt idx="434">
                  <c:v>3.3929859415801837E-2</c:v>
                </c:pt>
                <c:pt idx="435">
                  <c:v>8.0947987945478236E-3</c:v>
                </c:pt>
                <c:pt idx="436">
                  <c:v>3.8056235512175227E-2</c:v>
                </c:pt>
                <c:pt idx="437">
                  <c:v>8.879837421915325E-2</c:v>
                </c:pt>
                <c:pt idx="438">
                  <c:v>8.5099350008044222E-2</c:v>
                </c:pt>
                <c:pt idx="439">
                  <c:v>6.8221380435374762E-2</c:v>
                </c:pt>
                <c:pt idx="440">
                  <c:v>5.1417044981587695E-2</c:v>
                </c:pt>
                <c:pt idx="441">
                  <c:v>8.5379622864036553E-2</c:v>
                </c:pt>
                <c:pt idx="442">
                  <c:v>0.10376513742744795</c:v>
                </c:pt>
                <c:pt idx="443">
                  <c:v>8.2974744837614578E-2</c:v>
                </c:pt>
                <c:pt idx="444">
                  <c:v>5.6013454120361156E-2</c:v>
                </c:pt>
                <c:pt idx="445">
                  <c:v>6.6500562575265126E-2</c:v>
                </c:pt>
                <c:pt idx="446">
                  <c:v>5.2735338236330004E-2</c:v>
                </c:pt>
                <c:pt idx="447">
                  <c:v>4.0126723412155868E-2</c:v>
                </c:pt>
                <c:pt idx="448">
                  <c:v>2.7392590678211069E-2</c:v>
                </c:pt>
                <c:pt idx="449">
                  <c:v>4.9571257188027615E-2</c:v>
                </c:pt>
                <c:pt idx="450">
                  <c:v>6.4950498324309561E-2</c:v>
                </c:pt>
                <c:pt idx="451">
                  <c:v>5.7065444354340994E-2</c:v>
                </c:pt>
                <c:pt idx="452">
                  <c:v>5.1888828714637035E-2</c:v>
                </c:pt>
                <c:pt idx="453">
                  <c:v>4.4406424694023956E-2</c:v>
                </c:pt>
                <c:pt idx="454">
                  <c:v>4.6245413973810025E-2</c:v>
                </c:pt>
                <c:pt idx="455">
                  <c:v>5.5156911674199414E-2</c:v>
                </c:pt>
                <c:pt idx="456">
                  <c:v>6.1721995539590825E-2</c:v>
                </c:pt>
                <c:pt idx="457">
                  <c:v>5.4411852404407005E-2</c:v>
                </c:pt>
                <c:pt idx="458">
                  <c:v>4.9333713587881634E-2</c:v>
                </c:pt>
                <c:pt idx="459">
                  <c:v>5.5380036889240848E-2</c:v>
                </c:pt>
                <c:pt idx="460">
                  <c:v>5.9000368044050802E-2</c:v>
                </c:pt>
                <c:pt idx="461">
                  <c:v>4.8424883424080564E-2</c:v>
                </c:pt>
                <c:pt idx="462">
                  <c:v>5.1479164087063496E-2</c:v>
                </c:pt>
                <c:pt idx="463">
                  <c:v>6.3884704485837024E-2</c:v>
                </c:pt>
                <c:pt idx="464">
                  <c:v>6.4619045405567635E-2</c:v>
                </c:pt>
                <c:pt idx="465">
                  <c:v>5.8319161405819886E-2</c:v>
                </c:pt>
                <c:pt idx="466">
                  <c:v>5.7224178250279714E-2</c:v>
                </c:pt>
                <c:pt idx="467">
                  <c:v>5.8492108209967808E-2</c:v>
                </c:pt>
                <c:pt idx="468">
                  <c:v>5.607878142501041E-2</c:v>
                </c:pt>
                <c:pt idx="469">
                  <c:v>5.8911058069828853E-2</c:v>
                </c:pt>
                <c:pt idx="470">
                  <c:v>6.650852397399426E-2</c:v>
                </c:pt>
                <c:pt idx="471">
                  <c:v>7.0697368230519503E-2</c:v>
                </c:pt>
                <c:pt idx="472">
                  <c:v>6.5954294328266674E-2</c:v>
                </c:pt>
                <c:pt idx="473">
                  <c:v>6.6250615311480507E-2</c:v>
                </c:pt>
                <c:pt idx="474">
                  <c:v>6.646491646148564E-2</c:v>
                </c:pt>
                <c:pt idx="475">
                  <c:v>6.9578064123627853E-2</c:v>
                </c:pt>
                <c:pt idx="476">
                  <c:v>6.7182886636065753E-2</c:v>
                </c:pt>
                <c:pt idx="477">
                  <c:v>7.216298999103346E-2</c:v>
                </c:pt>
                <c:pt idx="478">
                  <c:v>6.9631457751251236E-2</c:v>
                </c:pt>
                <c:pt idx="479">
                  <c:v>7.4203196424062839E-2</c:v>
                </c:pt>
                <c:pt idx="480">
                  <c:v>7.1348640571692379E-2</c:v>
                </c:pt>
                <c:pt idx="481">
                  <c:v>6.7640622340289266E-2</c:v>
                </c:pt>
                <c:pt idx="482">
                  <c:v>6.2987478420475584E-2</c:v>
                </c:pt>
                <c:pt idx="483">
                  <c:v>6.5023174034656156E-2</c:v>
                </c:pt>
                <c:pt idx="484">
                  <c:v>7.0793756228259591E-2</c:v>
                </c:pt>
                <c:pt idx="485">
                  <c:v>6.8912946959301932E-2</c:v>
                </c:pt>
                <c:pt idx="486">
                  <c:v>6.553761531171233E-2</c:v>
                </c:pt>
                <c:pt idx="487">
                  <c:v>6.4049226647187166E-2</c:v>
                </c:pt>
                <c:pt idx="488">
                  <c:v>6.7851409098067125E-2</c:v>
                </c:pt>
                <c:pt idx="489">
                  <c:v>7.0803134414719512E-2</c:v>
                </c:pt>
                <c:pt idx="490">
                  <c:v>7.2902089838163001E-2</c:v>
                </c:pt>
                <c:pt idx="491">
                  <c:v>7.5089091027791016E-2</c:v>
                </c:pt>
                <c:pt idx="492">
                  <c:v>7.5744686947080697E-2</c:v>
                </c:pt>
                <c:pt idx="493">
                  <c:v>7.1275613891066458E-2</c:v>
                </c:pt>
                <c:pt idx="494">
                  <c:v>7.4682089283103908E-2</c:v>
                </c:pt>
                <c:pt idx="495">
                  <c:v>7.8245762556014842E-2</c:v>
                </c:pt>
                <c:pt idx="496">
                  <c:v>7.6697360925376129E-2</c:v>
                </c:pt>
                <c:pt idx="497">
                  <c:v>8.0117061604137937E-2</c:v>
                </c:pt>
                <c:pt idx="498">
                  <c:v>8.4502158161531865E-2</c:v>
                </c:pt>
                <c:pt idx="499">
                  <c:v>7.9511906082932182E-2</c:v>
                </c:pt>
                <c:pt idx="500">
                  <c:v>7.7991822046612966E-2</c:v>
                </c:pt>
                <c:pt idx="501">
                  <c:v>8.0776710612679284E-2</c:v>
                </c:pt>
                <c:pt idx="502">
                  <c:v>8.3043694870388263E-2</c:v>
                </c:pt>
                <c:pt idx="503">
                  <c:v>8.4768175733705986E-2</c:v>
                </c:pt>
                <c:pt idx="504">
                  <c:v>8.7922072306771681E-2</c:v>
                </c:pt>
                <c:pt idx="505">
                  <c:v>9.2176469418371848E-2</c:v>
                </c:pt>
                <c:pt idx="506">
                  <c:v>8.9731667186146974E-2</c:v>
                </c:pt>
                <c:pt idx="507">
                  <c:v>9.0829316937240126E-2</c:v>
                </c:pt>
                <c:pt idx="508">
                  <c:v>9.4153664937792911E-2</c:v>
                </c:pt>
                <c:pt idx="509">
                  <c:v>9.3652705941754982E-2</c:v>
                </c:pt>
                <c:pt idx="510">
                  <c:v>9.8581641600045414E-2</c:v>
                </c:pt>
                <c:pt idx="511">
                  <c:v>0.10075532863128758</c:v>
                </c:pt>
                <c:pt idx="512">
                  <c:v>0.10250511746763014</c:v>
                </c:pt>
                <c:pt idx="513">
                  <c:v>0.10800594439629185</c:v>
                </c:pt>
                <c:pt idx="514">
                  <c:v>0.10814954886745218</c:v>
                </c:pt>
                <c:pt idx="515">
                  <c:v>0.10855965923787778</c:v>
                </c:pt>
                <c:pt idx="516">
                  <c:v>0.1093670910796955</c:v>
                </c:pt>
                <c:pt idx="517">
                  <c:v>0.11344129570330239</c:v>
                </c:pt>
                <c:pt idx="518">
                  <c:v>0.1148275924931621</c:v>
                </c:pt>
                <c:pt idx="519">
                  <c:v>0.11276586971074432</c:v>
                </c:pt>
                <c:pt idx="520">
                  <c:v>0.11058640227090888</c:v>
                </c:pt>
                <c:pt idx="521">
                  <c:v>0.12334603824612586</c:v>
                </c:pt>
                <c:pt idx="522">
                  <c:v>0.1338548325054382</c:v>
                </c:pt>
                <c:pt idx="523">
                  <c:v>0.13487875357133539</c:v>
                </c:pt>
                <c:pt idx="524">
                  <c:v>0.14008624169374262</c:v>
                </c:pt>
                <c:pt idx="525">
                  <c:v>0.13772371687697774</c:v>
                </c:pt>
                <c:pt idx="526">
                  <c:v>0.13806651671020165</c:v>
                </c:pt>
                <c:pt idx="527">
                  <c:v>0.14095857292100228</c:v>
                </c:pt>
                <c:pt idx="528">
                  <c:v>0.13605926071047253</c:v>
                </c:pt>
                <c:pt idx="529">
                  <c:v>0.13746485545790618</c:v>
                </c:pt>
                <c:pt idx="530">
                  <c:v>0.1391575643253008</c:v>
                </c:pt>
                <c:pt idx="531">
                  <c:v>0.13806592525348149</c:v>
                </c:pt>
                <c:pt idx="532">
                  <c:v>0.1414592368572446</c:v>
                </c:pt>
                <c:pt idx="533">
                  <c:v>0.13856297102775261</c:v>
                </c:pt>
                <c:pt idx="534">
                  <c:v>0.14498422033622546</c:v>
                </c:pt>
                <c:pt idx="535">
                  <c:v>0.15099953128739591</c:v>
                </c:pt>
                <c:pt idx="536">
                  <c:v>0.15091133428813103</c:v>
                </c:pt>
                <c:pt idx="537">
                  <c:v>0.14521427256692895</c:v>
                </c:pt>
                <c:pt idx="538">
                  <c:v>0.1363643686605058</c:v>
                </c:pt>
                <c:pt idx="539">
                  <c:v>0.13561365877846318</c:v>
                </c:pt>
                <c:pt idx="540">
                  <c:v>0.13928025307877367</c:v>
                </c:pt>
                <c:pt idx="541">
                  <c:v>0.13446882584318645</c:v>
                </c:pt>
                <c:pt idx="542">
                  <c:v>0.13061407721903812</c:v>
                </c:pt>
                <c:pt idx="543">
                  <c:v>0.1323792782781974</c:v>
                </c:pt>
                <c:pt idx="544">
                  <c:v>0.12801250421907637</c:v>
                </c:pt>
                <c:pt idx="545">
                  <c:v>0.12738177717767157</c:v>
                </c:pt>
                <c:pt idx="546">
                  <c:v>0.12373850944334649</c:v>
                </c:pt>
                <c:pt idx="547">
                  <c:v>0.12204591177577057</c:v>
                </c:pt>
                <c:pt idx="548">
                  <c:v>0.12851686745067298</c:v>
                </c:pt>
                <c:pt idx="549">
                  <c:v>0.1296217323118255</c:v>
                </c:pt>
                <c:pt idx="550">
                  <c:v>0.12885304318484805</c:v>
                </c:pt>
                <c:pt idx="551">
                  <c:v>0.12505626411012094</c:v>
                </c:pt>
                <c:pt idx="552">
                  <c:v>0.11856502671107433</c:v>
                </c:pt>
                <c:pt idx="553">
                  <c:v>0.12283922099403496</c:v>
                </c:pt>
                <c:pt idx="554">
                  <c:v>0.11832790909556601</c:v>
                </c:pt>
                <c:pt idx="555">
                  <c:v>0.11473433834880151</c:v>
                </c:pt>
                <c:pt idx="556">
                  <c:v>0.11293203125860984</c:v>
                </c:pt>
                <c:pt idx="557">
                  <c:v>0.10944752107602654</c:v>
                </c:pt>
                <c:pt idx="558">
                  <c:v>0.10709260941649776</c:v>
                </c:pt>
                <c:pt idx="559">
                  <c:v>0.10859038020300432</c:v>
                </c:pt>
                <c:pt idx="560">
                  <c:v>0.1138916377101403</c:v>
                </c:pt>
                <c:pt idx="561">
                  <c:v>0.11484981000074634</c:v>
                </c:pt>
                <c:pt idx="562">
                  <c:v>9.2867655533844962E-2</c:v>
                </c:pt>
                <c:pt idx="563">
                  <c:v>7.8791449303636685E-2</c:v>
                </c:pt>
                <c:pt idx="564">
                  <c:v>8.559948495330133E-2</c:v>
                </c:pt>
                <c:pt idx="565">
                  <c:v>5.687246204270377E-2</c:v>
                </c:pt>
                <c:pt idx="566">
                  <c:v>5.7916192835697516E-2</c:v>
                </c:pt>
                <c:pt idx="567">
                  <c:v>7.7913506572778901E-2</c:v>
                </c:pt>
                <c:pt idx="568">
                  <c:v>8.6341375815361665E-2</c:v>
                </c:pt>
                <c:pt idx="569">
                  <c:v>6.5284976909893849E-2</c:v>
                </c:pt>
                <c:pt idx="570">
                  <c:v>7.5550735705314787E-2</c:v>
                </c:pt>
                <c:pt idx="571">
                  <c:v>5.964818154548987E-2</c:v>
                </c:pt>
                <c:pt idx="572">
                  <c:v>7.9510512889363824E-2</c:v>
                </c:pt>
                <c:pt idx="573">
                  <c:v>4.6068112700072543E-2</c:v>
                </c:pt>
                <c:pt idx="574">
                  <c:v>2.0657584827338191E-3</c:v>
                </c:pt>
                <c:pt idx="575">
                  <c:v>1.2034750357683512E-2</c:v>
                </c:pt>
                <c:pt idx="576">
                  <c:v>5.240102427882469E-2</c:v>
                </c:pt>
                <c:pt idx="577">
                  <c:v>8.344940631879802E-2</c:v>
                </c:pt>
                <c:pt idx="578">
                  <c:v>3.5306244381456089E-2</c:v>
                </c:pt>
                <c:pt idx="579">
                  <c:v>3.2768026411410474E-2</c:v>
                </c:pt>
                <c:pt idx="580">
                  <c:v>3.2604928818151198E-2</c:v>
                </c:pt>
                <c:pt idx="581">
                  <c:v>4.9360452146670467E-2</c:v>
                </c:pt>
                <c:pt idx="582">
                  <c:v>7.1253737702250658E-2</c:v>
                </c:pt>
                <c:pt idx="583">
                  <c:v>7.0119705776891597E-3</c:v>
                </c:pt>
                <c:pt idx="584">
                  <c:v>-8.3952859660864104E-2</c:v>
                </c:pt>
                <c:pt idx="585">
                  <c:v>1.4306673557905603E-3</c:v>
                </c:pt>
                <c:pt idx="586">
                  <c:v>0.17136530128084979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83EE-8743-9942-47F0944A1E12}"/>
            </c:ext>
          </c:extLst>
        </c:ser>
        <c:ser>
          <c:idx val="0"/>
          <c:order val="5"/>
          <c:tx>
            <c:strRef>
              <c:f>'Fig 2d'!$N$4</c:f>
              <c:strCache>
                <c:ptCount val="1"/>
                <c:pt idx="0">
                  <c:v>oxidized (30 min)</c:v>
                </c:pt>
              </c:strCache>
            </c:strRef>
          </c:tx>
          <c:spPr>
            <a:ln w="19050" cap="rnd">
              <a:solidFill>
                <a:srgbClr val="85C6D4"/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2d'!$N$5:$N$591</c:f>
              <c:numCache>
                <c:formatCode>General</c:formatCode>
                <c:ptCount val="587"/>
                <c:pt idx="0">
                  <c:v>-1.6819588625840001E-2</c:v>
                </c:pt>
                <c:pt idx="1">
                  <c:v>-4.6807023994054463E-3</c:v>
                </c:pt>
                <c:pt idx="2">
                  <c:v>-3.1438618739547085E-3</c:v>
                </c:pt>
                <c:pt idx="3">
                  <c:v>2.4146066893083115E-3</c:v>
                </c:pt>
                <c:pt idx="4">
                  <c:v>1.9148479751358537E-2</c:v>
                </c:pt>
                <c:pt idx="5">
                  <c:v>4.5504787496979331E-2</c:v>
                </c:pt>
                <c:pt idx="6">
                  <c:v>4.6665115220505073E-2</c:v>
                </c:pt>
                <c:pt idx="7">
                  <c:v>5.0166020882804203E-2</c:v>
                </c:pt>
                <c:pt idx="8">
                  <c:v>6.044036078624266E-2</c:v>
                </c:pt>
                <c:pt idx="9">
                  <c:v>6.8853252847822941E-2</c:v>
                </c:pt>
                <c:pt idx="10">
                  <c:v>8.2636360131249323E-2</c:v>
                </c:pt>
                <c:pt idx="11">
                  <c:v>9.1771716879673143E-2</c:v>
                </c:pt>
                <c:pt idx="12">
                  <c:v>9.4211505683369515E-2</c:v>
                </c:pt>
                <c:pt idx="13">
                  <c:v>0.10090554992906797</c:v>
                </c:pt>
                <c:pt idx="14">
                  <c:v>0.11366519778490368</c:v>
                </c:pt>
                <c:pt idx="15">
                  <c:v>0.12912709214614582</c:v>
                </c:pt>
                <c:pt idx="16">
                  <c:v>0.14178983027795367</c:v>
                </c:pt>
                <c:pt idx="17">
                  <c:v>0.15085774829590112</c:v>
                </c:pt>
                <c:pt idx="18">
                  <c:v>0.1640858360603894</c:v>
                </c:pt>
                <c:pt idx="19">
                  <c:v>0.17149587235426553</c:v>
                </c:pt>
                <c:pt idx="20">
                  <c:v>0.18323736798360385</c:v>
                </c:pt>
                <c:pt idx="21">
                  <c:v>0.19895786329670459</c:v>
                </c:pt>
                <c:pt idx="22">
                  <c:v>0.21864789554966724</c:v>
                </c:pt>
                <c:pt idx="23">
                  <c:v>0.24499719022755534</c:v>
                </c:pt>
                <c:pt idx="24">
                  <c:v>0.27809161404386945</c:v>
                </c:pt>
                <c:pt idx="25">
                  <c:v>0.30606372578706392</c:v>
                </c:pt>
                <c:pt idx="26">
                  <c:v>0.32907557857255326</c:v>
                </c:pt>
                <c:pt idx="27">
                  <c:v>0.35260931821926977</c:v>
                </c:pt>
                <c:pt idx="28">
                  <c:v>0.37125518802884561</c:v>
                </c:pt>
                <c:pt idx="29">
                  <c:v>0.38469606134182388</c:v>
                </c:pt>
                <c:pt idx="30">
                  <c:v>0.40486293234135584</c:v>
                </c:pt>
                <c:pt idx="31">
                  <c:v>0.42343574002099166</c:v>
                </c:pt>
                <c:pt idx="32">
                  <c:v>0.43488333361615439</c:v>
                </c:pt>
                <c:pt idx="33">
                  <c:v>0.44802738078525506</c:v>
                </c:pt>
                <c:pt idx="34">
                  <c:v>0.45956345770795803</c:v>
                </c:pt>
                <c:pt idx="35">
                  <c:v>0.47308040428765552</c:v>
                </c:pt>
                <c:pt idx="36">
                  <c:v>0.48931521220559832</c:v>
                </c:pt>
                <c:pt idx="37">
                  <c:v>0.50859933857951278</c:v>
                </c:pt>
                <c:pt idx="38">
                  <c:v>0.53504483008464199</c:v>
                </c:pt>
                <c:pt idx="39">
                  <c:v>0.56186128899931631</c:v>
                </c:pt>
                <c:pt idx="40">
                  <c:v>0.58410907598067729</c:v>
                </c:pt>
                <c:pt idx="41">
                  <c:v>0.60495068529417217</c:v>
                </c:pt>
                <c:pt idx="42">
                  <c:v>0.62345766569466055</c:v>
                </c:pt>
                <c:pt idx="43">
                  <c:v>0.64488963767249752</c:v>
                </c:pt>
                <c:pt idx="44">
                  <c:v>0.66770999318236812</c:v>
                </c:pt>
                <c:pt idx="45">
                  <c:v>0.68951926814077025</c:v>
                </c:pt>
                <c:pt idx="46">
                  <c:v>0.7074710042023763</c:v>
                </c:pt>
                <c:pt idx="47">
                  <c:v>0.73481482978306922</c:v>
                </c:pt>
                <c:pt idx="48">
                  <c:v>0.76839181292564573</c:v>
                </c:pt>
                <c:pt idx="49">
                  <c:v>0.78956326065327731</c:v>
                </c:pt>
                <c:pt idx="50">
                  <c:v>0.80707770307096782</c:v>
                </c:pt>
                <c:pt idx="51">
                  <c:v>0.82114176566078856</c:v>
                </c:pt>
                <c:pt idx="52">
                  <c:v>0.82010487868082937</c:v>
                </c:pt>
                <c:pt idx="53">
                  <c:v>0.81287301001566159</c:v>
                </c:pt>
                <c:pt idx="54">
                  <c:v>0.8069696386516686</c:v>
                </c:pt>
                <c:pt idx="55">
                  <c:v>0.80863860907548035</c:v>
                </c:pt>
                <c:pt idx="56">
                  <c:v>0.81838691781588091</c:v>
                </c:pt>
                <c:pt idx="57">
                  <c:v>0.83927115299046218</c:v>
                </c:pt>
                <c:pt idx="58">
                  <c:v>0.866198513407066</c:v>
                </c:pt>
                <c:pt idx="59">
                  <c:v>0.89164365189811201</c:v>
                </c:pt>
                <c:pt idx="60">
                  <c:v>0.92430363655855385</c:v>
                </c:pt>
                <c:pt idx="61">
                  <c:v>0.9501562474159877</c:v>
                </c:pt>
                <c:pt idx="62">
                  <c:v>0.96105995080458884</c:v>
                </c:pt>
                <c:pt idx="63">
                  <c:v>0.97598305184493095</c:v>
                </c:pt>
                <c:pt idx="64">
                  <c:v>0.98318041137415935</c:v>
                </c:pt>
                <c:pt idx="65">
                  <c:v>0.97212998033796116</c:v>
                </c:pt>
                <c:pt idx="66">
                  <c:v>0.95854425336039162</c:v>
                </c:pt>
                <c:pt idx="67">
                  <c:v>0.94256632615913061</c:v>
                </c:pt>
                <c:pt idx="68">
                  <c:v>0.93001301877169407</c:v>
                </c:pt>
                <c:pt idx="69">
                  <c:v>0.91172299106611576</c:v>
                </c:pt>
                <c:pt idx="70">
                  <c:v>0.89235320104187599</c:v>
                </c:pt>
                <c:pt idx="71">
                  <c:v>0.87725711338465673</c:v>
                </c:pt>
                <c:pt idx="72">
                  <c:v>0.85144815530778795</c:v>
                </c:pt>
                <c:pt idx="73">
                  <c:v>0.82529230731198966</c:v>
                </c:pt>
                <c:pt idx="74">
                  <c:v>0.80326345724283277</c:v>
                </c:pt>
                <c:pt idx="75">
                  <c:v>0.78420006053886149</c:v>
                </c:pt>
                <c:pt idx="76">
                  <c:v>0.7675469656900693</c:v>
                </c:pt>
                <c:pt idx="77">
                  <c:v>0.75992883605746842</c:v>
                </c:pt>
                <c:pt idx="78">
                  <c:v>0.75538728756237394</c:v>
                </c:pt>
                <c:pt idx="79">
                  <c:v>0.75114014585848587</c:v>
                </c:pt>
                <c:pt idx="80">
                  <c:v>0.75933990643895544</c:v>
                </c:pt>
                <c:pt idx="81">
                  <c:v>0.76683752097879654</c:v>
                </c:pt>
                <c:pt idx="82">
                  <c:v>0.77561710234398074</c:v>
                </c:pt>
                <c:pt idx="83">
                  <c:v>0.79197978204338226</c:v>
                </c:pt>
                <c:pt idx="84">
                  <c:v>0.80501209805244178</c:v>
                </c:pt>
                <c:pt idx="85">
                  <c:v>0.82274041820841137</c:v>
                </c:pt>
                <c:pt idx="86">
                  <c:v>0.83965888761635743</c:v>
                </c:pt>
                <c:pt idx="87">
                  <c:v>0.84516083209473913</c:v>
                </c:pt>
                <c:pt idx="88">
                  <c:v>0.84581793292160701</c:v>
                </c:pt>
                <c:pt idx="89">
                  <c:v>0.83644345768240014</c:v>
                </c:pt>
                <c:pt idx="90">
                  <c:v>0.82377785055803598</c:v>
                </c:pt>
                <c:pt idx="91">
                  <c:v>0.80286400297090654</c:v>
                </c:pt>
                <c:pt idx="92">
                  <c:v>0.77650453482800996</c:v>
                </c:pt>
                <c:pt idx="93">
                  <c:v>0.75563910910513066</c:v>
                </c:pt>
                <c:pt idx="94">
                  <c:v>0.73059900622238905</c:v>
                </c:pt>
                <c:pt idx="95">
                  <c:v>0.70128748688378273</c:v>
                </c:pt>
                <c:pt idx="96">
                  <c:v>0.67333350868200981</c:v>
                </c:pt>
                <c:pt idx="97">
                  <c:v>0.64478001836946308</c:v>
                </c:pt>
                <c:pt idx="98">
                  <c:v>0.61725224076051299</c:v>
                </c:pt>
                <c:pt idx="99">
                  <c:v>0.58852599590329291</c:v>
                </c:pt>
                <c:pt idx="100">
                  <c:v>0.56910937370936576</c:v>
                </c:pt>
                <c:pt idx="101">
                  <c:v>0.55630285234598043</c:v>
                </c:pt>
                <c:pt idx="102">
                  <c:v>0.55301579332790873</c:v>
                </c:pt>
                <c:pt idx="103">
                  <c:v>0.55626734529958632</c:v>
                </c:pt>
                <c:pt idx="104">
                  <c:v>0.56336169958344384</c:v>
                </c:pt>
                <c:pt idx="105">
                  <c:v>0.57599629025845833</c:v>
                </c:pt>
                <c:pt idx="106">
                  <c:v>0.59441778686457347</c:v>
                </c:pt>
                <c:pt idx="107">
                  <c:v>0.61607264098199355</c:v>
                </c:pt>
                <c:pt idx="108">
                  <c:v>0.64111157190013135</c:v>
                </c:pt>
                <c:pt idx="109">
                  <c:v>0.66354304402672437</c:v>
                </c:pt>
                <c:pt idx="110">
                  <c:v>0.68787602292017613</c:v>
                </c:pt>
                <c:pt idx="111">
                  <c:v>0.71106061574582846</c:v>
                </c:pt>
                <c:pt idx="112">
                  <c:v>0.72574101568082472</c:v>
                </c:pt>
                <c:pt idx="113">
                  <c:v>0.73688913750904383</c:v>
                </c:pt>
                <c:pt idx="114">
                  <c:v>0.73854392832151983</c:v>
                </c:pt>
                <c:pt idx="115">
                  <c:v>0.72410236548976648</c:v>
                </c:pt>
                <c:pt idx="116">
                  <c:v>0.68857258762442641</c:v>
                </c:pt>
                <c:pt idx="117">
                  <c:v>0.64096429888286888</c:v>
                </c:pt>
                <c:pt idx="118">
                  <c:v>0.5879937151084681</c:v>
                </c:pt>
                <c:pt idx="119">
                  <c:v>0.53028818547222822</c:v>
                </c:pt>
                <c:pt idx="120">
                  <c:v>0.47737394302585701</c:v>
                </c:pt>
                <c:pt idx="121">
                  <c:v>0.43323324806750535</c:v>
                </c:pt>
                <c:pt idx="122">
                  <c:v>0.39758151045997081</c:v>
                </c:pt>
                <c:pt idx="123">
                  <c:v>0.36736546071809933</c:v>
                </c:pt>
                <c:pt idx="124">
                  <c:v>0.34364637080812727</c:v>
                </c:pt>
                <c:pt idx="125">
                  <c:v>0.32615264083416279</c:v>
                </c:pt>
                <c:pt idx="126">
                  <c:v>0.31430451963315537</c:v>
                </c:pt>
                <c:pt idx="127">
                  <c:v>0.30872065947045813</c:v>
                </c:pt>
                <c:pt idx="128">
                  <c:v>0.30768819346588316</c:v>
                </c:pt>
                <c:pt idx="129">
                  <c:v>0.30980759282005615</c:v>
                </c:pt>
                <c:pt idx="130">
                  <c:v>0.3124757210861327</c:v>
                </c:pt>
                <c:pt idx="131">
                  <c:v>0.31790614091288794</c:v>
                </c:pt>
                <c:pt idx="132">
                  <c:v>0.32337820029388725</c:v>
                </c:pt>
                <c:pt idx="133">
                  <c:v>0.32301346402287684</c:v>
                </c:pt>
                <c:pt idx="134">
                  <c:v>0.31849737964977798</c:v>
                </c:pt>
                <c:pt idx="135">
                  <c:v>0.31466811875039252</c:v>
                </c:pt>
                <c:pt idx="136">
                  <c:v>0.30843022111384738</c:v>
                </c:pt>
                <c:pt idx="137">
                  <c:v>0.2977757400593764</c:v>
                </c:pt>
                <c:pt idx="138">
                  <c:v>0.2880834013314848</c:v>
                </c:pt>
                <c:pt idx="139">
                  <c:v>0.27464505180366572</c:v>
                </c:pt>
                <c:pt idx="140">
                  <c:v>0.26232551654373426</c:v>
                </c:pt>
                <c:pt idx="141">
                  <c:v>0.25099062301004105</c:v>
                </c:pt>
                <c:pt idx="142">
                  <c:v>0.24967871306926648</c:v>
                </c:pt>
                <c:pt idx="143">
                  <c:v>0.25496882784652275</c:v>
                </c:pt>
                <c:pt idx="144">
                  <c:v>0.26013841012560507</c:v>
                </c:pt>
                <c:pt idx="145">
                  <c:v>0.26718294431021716</c:v>
                </c:pt>
                <c:pt idx="146">
                  <c:v>0.27203461088436853</c:v>
                </c:pt>
                <c:pt idx="147">
                  <c:v>0.27398699948078298</c:v>
                </c:pt>
                <c:pt idx="148">
                  <c:v>0.27591166125126382</c:v>
                </c:pt>
                <c:pt idx="149">
                  <c:v>0.28038147622975612</c:v>
                </c:pt>
                <c:pt idx="150">
                  <c:v>0.28016986119541687</c:v>
                </c:pt>
                <c:pt idx="151">
                  <c:v>0.27621059345034504</c:v>
                </c:pt>
                <c:pt idx="152">
                  <c:v>0.27162370965124366</c:v>
                </c:pt>
                <c:pt idx="153">
                  <c:v>0.27055925829588967</c:v>
                </c:pt>
                <c:pt idx="154">
                  <c:v>0.26876349232544178</c:v>
                </c:pt>
                <c:pt idx="155">
                  <c:v>0.26721146018162634</c:v>
                </c:pt>
                <c:pt idx="156">
                  <c:v>0.26630524145311713</c:v>
                </c:pt>
                <c:pt idx="157">
                  <c:v>0.26399213433563334</c:v>
                </c:pt>
                <c:pt idx="158">
                  <c:v>0.26324740884835968</c:v>
                </c:pt>
                <c:pt idx="159">
                  <c:v>0.26113966532036414</c:v>
                </c:pt>
                <c:pt idx="160">
                  <c:v>0.26344503573092526</c:v>
                </c:pt>
                <c:pt idx="161">
                  <c:v>0.26588155304184641</c:v>
                </c:pt>
                <c:pt idx="162">
                  <c:v>0.26456525693651728</c:v>
                </c:pt>
                <c:pt idx="163">
                  <c:v>0.2665217706162627</c:v>
                </c:pt>
                <c:pt idx="164">
                  <c:v>0.26972363593020998</c:v>
                </c:pt>
                <c:pt idx="165">
                  <c:v>0.26979955834999841</c:v>
                </c:pt>
                <c:pt idx="166">
                  <c:v>0.27131344652706296</c:v>
                </c:pt>
                <c:pt idx="167">
                  <c:v>0.27063992659214042</c:v>
                </c:pt>
                <c:pt idx="168">
                  <c:v>0.27011290803442067</c:v>
                </c:pt>
                <c:pt idx="169">
                  <c:v>0.27135773750617542</c:v>
                </c:pt>
                <c:pt idx="170">
                  <c:v>0.27523641818026617</c:v>
                </c:pt>
                <c:pt idx="171">
                  <c:v>0.28017914988516779</c:v>
                </c:pt>
                <c:pt idx="172">
                  <c:v>0.2868679057856392</c:v>
                </c:pt>
                <c:pt idx="173">
                  <c:v>0.29216939210062964</c:v>
                </c:pt>
                <c:pt idx="174">
                  <c:v>0.28911432985774371</c:v>
                </c:pt>
                <c:pt idx="175">
                  <c:v>0.28219910630221917</c:v>
                </c:pt>
                <c:pt idx="176">
                  <c:v>0.27577982683701563</c:v>
                </c:pt>
                <c:pt idx="177">
                  <c:v>0.268092516481997</c:v>
                </c:pt>
                <c:pt idx="178">
                  <c:v>0.26075497664207642</c:v>
                </c:pt>
                <c:pt idx="179">
                  <c:v>0.25694931748529126</c:v>
                </c:pt>
                <c:pt idx="180">
                  <c:v>0.25540713680630817</c:v>
                </c:pt>
                <c:pt idx="181">
                  <c:v>0.2569388191192048</c:v>
                </c:pt>
                <c:pt idx="182">
                  <c:v>0.26131791127343967</c:v>
                </c:pt>
                <c:pt idx="183">
                  <c:v>0.26570696512680181</c:v>
                </c:pt>
                <c:pt idx="184">
                  <c:v>0.27334054496602783</c:v>
                </c:pt>
                <c:pt idx="185">
                  <c:v>0.28430552701868267</c:v>
                </c:pt>
                <c:pt idx="186">
                  <c:v>0.29697525922637746</c:v>
                </c:pt>
                <c:pt idx="187">
                  <c:v>0.31064883713474822</c:v>
                </c:pt>
                <c:pt idx="188">
                  <c:v>0.32281877285362504</c:v>
                </c:pt>
                <c:pt idx="189">
                  <c:v>0.33289237719487508</c:v>
                </c:pt>
                <c:pt idx="190">
                  <c:v>0.34063066801013153</c:v>
                </c:pt>
                <c:pt idx="191">
                  <c:v>0.3451338143581561</c:v>
                </c:pt>
                <c:pt idx="192">
                  <c:v>0.34582221012101078</c:v>
                </c:pt>
                <c:pt idx="193">
                  <c:v>0.34276116621720504</c:v>
                </c:pt>
                <c:pt idx="194">
                  <c:v>0.33835967909579873</c:v>
                </c:pt>
                <c:pt idx="195">
                  <c:v>0.33376143536257358</c:v>
                </c:pt>
                <c:pt idx="196">
                  <c:v>0.33257627165309106</c:v>
                </c:pt>
                <c:pt idx="197">
                  <c:v>0.33449513161860783</c:v>
                </c:pt>
                <c:pt idx="198">
                  <c:v>0.33662777649351844</c:v>
                </c:pt>
                <c:pt idx="199">
                  <c:v>0.33928243296846389</c:v>
                </c:pt>
                <c:pt idx="200">
                  <c:v>0.33948973726171311</c:v>
                </c:pt>
                <c:pt idx="201">
                  <c:v>0.33533850519572206</c:v>
                </c:pt>
                <c:pt idx="202">
                  <c:v>0.3314823819393396</c:v>
                </c:pt>
                <c:pt idx="203">
                  <c:v>0.32439331890161099</c:v>
                </c:pt>
                <c:pt idx="204">
                  <c:v>0.31709380119053848</c:v>
                </c:pt>
                <c:pt idx="205">
                  <c:v>0.31306018331482316</c:v>
                </c:pt>
                <c:pt idx="206">
                  <c:v>0.31196043957985975</c:v>
                </c:pt>
                <c:pt idx="207">
                  <c:v>0.31619991709938577</c:v>
                </c:pt>
                <c:pt idx="208">
                  <c:v>0.32376772767751544</c:v>
                </c:pt>
                <c:pt idx="209">
                  <c:v>0.33100997577176755</c:v>
                </c:pt>
                <c:pt idx="210">
                  <c:v>0.33863962778903212</c:v>
                </c:pt>
                <c:pt idx="211">
                  <c:v>0.3438796381785979</c:v>
                </c:pt>
                <c:pt idx="212">
                  <c:v>0.34557152573202748</c:v>
                </c:pt>
                <c:pt idx="213">
                  <c:v>0.34802375142989678</c:v>
                </c:pt>
                <c:pt idx="214">
                  <c:v>0.35210090605007793</c:v>
                </c:pt>
                <c:pt idx="215">
                  <c:v>0.35932265056557733</c:v>
                </c:pt>
                <c:pt idx="216">
                  <c:v>0.36575666081359298</c:v>
                </c:pt>
                <c:pt idx="217">
                  <c:v>0.3729029296482872</c:v>
                </c:pt>
                <c:pt idx="218">
                  <c:v>0.37797783227212506</c:v>
                </c:pt>
                <c:pt idx="219">
                  <c:v>0.37453470470046013</c:v>
                </c:pt>
                <c:pt idx="220">
                  <c:v>0.36299463613594146</c:v>
                </c:pt>
                <c:pt idx="221">
                  <c:v>0.35060340797204154</c:v>
                </c:pt>
                <c:pt idx="222">
                  <c:v>0.33535826614343606</c:v>
                </c:pt>
                <c:pt idx="223">
                  <c:v>0.31838695969766229</c:v>
                </c:pt>
                <c:pt idx="224">
                  <c:v>0.29963054229625852</c:v>
                </c:pt>
                <c:pt idx="225">
                  <c:v>0.28116780065863761</c:v>
                </c:pt>
                <c:pt idx="226">
                  <c:v>0.26484699548658119</c:v>
                </c:pt>
                <c:pt idx="227">
                  <c:v>0.25348932986839512</c:v>
                </c:pt>
                <c:pt idx="228">
                  <c:v>0.24562305993828998</c:v>
                </c:pt>
                <c:pt idx="229">
                  <c:v>0.24034063255261401</c:v>
                </c:pt>
                <c:pt idx="230">
                  <c:v>0.23387590174730463</c:v>
                </c:pt>
                <c:pt idx="231">
                  <c:v>0.23035504159270276</c:v>
                </c:pt>
                <c:pt idx="232">
                  <c:v>0.23079321130916927</c:v>
                </c:pt>
                <c:pt idx="233">
                  <c:v>0.23055050440201602</c:v>
                </c:pt>
                <c:pt idx="234">
                  <c:v>0.23046109858748587</c:v>
                </c:pt>
                <c:pt idx="235">
                  <c:v>0.23202039169021665</c:v>
                </c:pt>
                <c:pt idx="236">
                  <c:v>0.23404850544505082</c:v>
                </c:pt>
                <c:pt idx="237">
                  <c:v>0.23581309541651232</c:v>
                </c:pt>
                <c:pt idx="238">
                  <c:v>0.24149101444132323</c:v>
                </c:pt>
                <c:pt idx="239">
                  <c:v>0.24923255136645897</c:v>
                </c:pt>
                <c:pt idx="240">
                  <c:v>0.25620715929671511</c:v>
                </c:pt>
                <c:pt idx="241">
                  <c:v>0.26339254390049299</c:v>
                </c:pt>
                <c:pt idx="242">
                  <c:v>0.28249152307432346</c:v>
                </c:pt>
                <c:pt idx="243">
                  <c:v>0.30179075734836908</c:v>
                </c:pt>
                <c:pt idx="244">
                  <c:v>0.31182044202602388</c:v>
                </c:pt>
                <c:pt idx="245">
                  <c:v>0.32454933523895868</c:v>
                </c:pt>
                <c:pt idx="246">
                  <c:v>0.33000377453827506</c:v>
                </c:pt>
                <c:pt idx="247">
                  <c:v>0.32727605593338949</c:v>
                </c:pt>
                <c:pt idx="248">
                  <c:v>0.31977262798497247</c:v>
                </c:pt>
                <c:pt idx="249">
                  <c:v>0.30824241088528465</c:v>
                </c:pt>
                <c:pt idx="250">
                  <c:v>0.29440387025630821</c:v>
                </c:pt>
                <c:pt idx="251">
                  <c:v>0.27514150065101828</c:v>
                </c:pt>
                <c:pt idx="252">
                  <c:v>0.26534127155797382</c:v>
                </c:pt>
                <c:pt idx="253">
                  <c:v>0.25375244462451735</c:v>
                </c:pt>
                <c:pt idx="254">
                  <c:v>0.24445090967734773</c:v>
                </c:pt>
                <c:pt idx="255">
                  <c:v>0.23931273546945014</c:v>
                </c:pt>
                <c:pt idx="256">
                  <c:v>0.23546009619695049</c:v>
                </c:pt>
                <c:pt idx="257">
                  <c:v>0.22776770055987886</c:v>
                </c:pt>
                <c:pt idx="258">
                  <c:v>0.22024405332115332</c:v>
                </c:pt>
                <c:pt idx="259">
                  <c:v>0.21288363696425103</c:v>
                </c:pt>
                <c:pt idx="260">
                  <c:v>0.20749144813132087</c:v>
                </c:pt>
                <c:pt idx="261">
                  <c:v>0.19983115968293252</c:v>
                </c:pt>
                <c:pt idx="262">
                  <c:v>0.19558707262935979</c:v>
                </c:pt>
                <c:pt idx="263">
                  <c:v>0.19204703750934457</c:v>
                </c:pt>
                <c:pt idx="264">
                  <c:v>0.18760215288679233</c:v>
                </c:pt>
                <c:pt idx="265">
                  <c:v>0.17748539762110649</c:v>
                </c:pt>
                <c:pt idx="266">
                  <c:v>0.16776808502373744</c:v>
                </c:pt>
                <c:pt idx="267">
                  <c:v>0.15834202883747933</c:v>
                </c:pt>
                <c:pt idx="268">
                  <c:v>0.15007143692108071</c:v>
                </c:pt>
                <c:pt idx="269">
                  <c:v>0.13696071386925462</c:v>
                </c:pt>
                <c:pt idx="270">
                  <c:v>0.12956335596968085</c:v>
                </c:pt>
                <c:pt idx="271">
                  <c:v>0.12660872877256571</c:v>
                </c:pt>
                <c:pt idx="272">
                  <c:v>0.12194354816499364</c:v>
                </c:pt>
                <c:pt idx="273">
                  <c:v>0.11718116701791889</c:v>
                </c:pt>
                <c:pt idx="274">
                  <c:v>0.11190986459326567</c:v>
                </c:pt>
                <c:pt idx="275">
                  <c:v>0.10452006209420928</c:v>
                </c:pt>
                <c:pt idx="276">
                  <c:v>9.867260852647948E-2</c:v>
                </c:pt>
                <c:pt idx="277">
                  <c:v>9.7641452279375776E-2</c:v>
                </c:pt>
                <c:pt idx="278">
                  <c:v>9.8524069265282246E-2</c:v>
                </c:pt>
                <c:pt idx="279">
                  <c:v>9.375456640261165E-2</c:v>
                </c:pt>
                <c:pt idx="280">
                  <c:v>9.3475717151421167E-2</c:v>
                </c:pt>
                <c:pt idx="281">
                  <c:v>9.3128689439620785E-2</c:v>
                </c:pt>
                <c:pt idx="282">
                  <c:v>9.4184925439142392E-2</c:v>
                </c:pt>
                <c:pt idx="283">
                  <c:v>9.6286321792505167E-2</c:v>
                </c:pt>
                <c:pt idx="284">
                  <c:v>0.10124022342241799</c:v>
                </c:pt>
                <c:pt idx="285">
                  <c:v>9.1276078834564844E-2</c:v>
                </c:pt>
                <c:pt idx="286">
                  <c:v>8.4052161543103368E-2</c:v>
                </c:pt>
                <c:pt idx="287">
                  <c:v>9.5248802415804523E-2</c:v>
                </c:pt>
                <c:pt idx="288">
                  <c:v>9.493434313618225E-2</c:v>
                </c:pt>
                <c:pt idx="289">
                  <c:v>9.4211375867983588E-2</c:v>
                </c:pt>
                <c:pt idx="290">
                  <c:v>8.8824469578475271E-2</c:v>
                </c:pt>
                <c:pt idx="291">
                  <c:v>8.1131374823905048E-2</c:v>
                </c:pt>
                <c:pt idx="292">
                  <c:v>7.1213984806598088E-2</c:v>
                </c:pt>
                <c:pt idx="293">
                  <c:v>6.0625958351436193E-2</c:v>
                </c:pt>
                <c:pt idx="294">
                  <c:v>6.0244872594032856E-2</c:v>
                </c:pt>
                <c:pt idx="295">
                  <c:v>6.0061146836166368E-2</c:v>
                </c:pt>
                <c:pt idx="296">
                  <c:v>5.8760097874288521E-2</c:v>
                </c:pt>
                <c:pt idx="297">
                  <c:v>5.4911182635351913E-2</c:v>
                </c:pt>
                <c:pt idx="298">
                  <c:v>5.6530019662451213E-2</c:v>
                </c:pt>
                <c:pt idx="299">
                  <c:v>5.5496880648500183E-2</c:v>
                </c:pt>
                <c:pt idx="300">
                  <c:v>5.3806788753707778E-2</c:v>
                </c:pt>
                <c:pt idx="301">
                  <c:v>5.1899162533059158E-2</c:v>
                </c:pt>
                <c:pt idx="302">
                  <c:v>4.9140670066794838E-2</c:v>
                </c:pt>
                <c:pt idx="303">
                  <c:v>4.6897050442166237E-2</c:v>
                </c:pt>
                <c:pt idx="304">
                  <c:v>5.1201627476929974E-2</c:v>
                </c:pt>
                <c:pt idx="305">
                  <c:v>5.6096014191499247E-2</c:v>
                </c:pt>
                <c:pt idx="306">
                  <c:v>5.738711523353663E-2</c:v>
                </c:pt>
                <c:pt idx="307">
                  <c:v>5.8713276582985453E-2</c:v>
                </c:pt>
                <c:pt idx="308">
                  <c:v>5.8857526859861405E-2</c:v>
                </c:pt>
                <c:pt idx="309">
                  <c:v>5.8957029990709328E-2</c:v>
                </c:pt>
                <c:pt idx="310">
                  <c:v>6.0174328447448057E-2</c:v>
                </c:pt>
                <c:pt idx="311">
                  <c:v>5.9782958265516231E-2</c:v>
                </c:pt>
                <c:pt idx="312">
                  <c:v>5.8277488507457391E-2</c:v>
                </c:pt>
                <c:pt idx="313">
                  <c:v>6.335397719972824E-2</c:v>
                </c:pt>
                <c:pt idx="314">
                  <c:v>6.6832215844596463E-2</c:v>
                </c:pt>
                <c:pt idx="315">
                  <c:v>6.9696070902112259E-2</c:v>
                </c:pt>
                <c:pt idx="316">
                  <c:v>7.0855408602012102E-2</c:v>
                </c:pt>
                <c:pt idx="317">
                  <c:v>7.3442059945270727E-2</c:v>
                </c:pt>
                <c:pt idx="318">
                  <c:v>7.7811619733946097E-2</c:v>
                </c:pt>
                <c:pt idx="319">
                  <c:v>8.0438911995767803E-2</c:v>
                </c:pt>
                <c:pt idx="320">
                  <c:v>8.0679276424165891E-2</c:v>
                </c:pt>
                <c:pt idx="321">
                  <c:v>8.6904292603233485E-2</c:v>
                </c:pt>
                <c:pt idx="322">
                  <c:v>9.3920614060745894E-2</c:v>
                </c:pt>
                <c:pt idx="323">
                  <c:v>9.8896143369121794E-2</c:v>
                </c:pt>
                <c:pt idx="324">
                  <c:v>0.10294467913585596</c:v>
                </c:pt>
                <c:pt idx="325">
                  <c:v>0.10567071666775175</c:v>
                </c:pt>
                <c:pt idx="326">
                  <c:v>0.10868109485923871</c:v>
                </c:pt>
                <c:pt idx="327">
                  <c:v>0.11140163663138061</c:v>
                </c:pt>
                <c:pt idx="328">
                  <c:v>0.11368084815380013</c:v>
                </c:pt>
                <c:pt idx="329">
                  <c:v>0.115887844609805</c:v>
                </c:pt>
                <c:pt idx="330">
                  <c:v>0.11744918720014</c:v>
                </c:pt>
                <c:pt idx="331">
                  <c:v>0.11847415437179611</c:v>
                </c:pt>
                <c:pt idx="332">
                  <c:v>0.11823912470306427</c:v>
                </c:pt>
                <c:pt idx="333">
                  <c:v>0.11799099310826755</c:v>
                </c:pt>
                <c:pt idx="334">
                  <c:v>0.11763329442668299</c:v>
                </c:pt>
                <c:pt idx="335">
                  <c:v>0.11726409801810678</c:v>
                </c:pt>
                <c:pt idx="336">
                  <c:v>0.11590837284622701</c:v>
                </c:pt>
                <c:pt idx="337">
                  <c:v>0.11411998242034224</c:v>
                </c:pt>
                <c:pt idx="338">
                  <c:v>0.11360039307388203</c:v>
                </c:pt>
                <c:pt idx="339">
                  <c:v>0.1129831216381073</c:v>
                </c:pt>
                <c:pt idx="340">
                  <c:v>0.11189718619896333</c:v>
                </c:pt>
                <c:pt idx="341">
                  <c:v>0.10952472516622332</c:v>
                </c:pt>
                <c:pt idx="342">
                  <c:v>0.10959876199939764</c:v>
                </c:pt>
                <c:pt idx="343">
                  <c:v>0.10916300583379725</c:v>
                </c:pt>
                <c:pt idx="344">
                  <c:v>0.1061723827882203</c:v>
                </c:pt>
                <c:pt idx="345">
                  <c:v>0.10472630900850345</c:v>
                </c:pt>
                <c:pt idx="346">
                  <c:v>0.10439677663957868</c:v>
                </c:pt>
                <c:pt idx="347">
                  <c:v>0.10315588659339613</c:v>
                </c:pt>
                <c:pt idx="348">
                  <c:v>0.10245045818161048</c:v>
                </c:pt>
                <c:pt idx="349">
                  <c:v>0.10252030321069669</c:v>
                </c:pt>
                <c:pt idx="350">
                  <c:v>9.9682953699169533E-2</c:v>
                </c:pt>
                <c:pt idx="351">
                  <c:v>0.10094065882659536</c:v>
                </c:pt>
                <c:pt idx="352">
                  <c:v>9.9767955943730016E-2</c:v>
                </c:pt>
                <c:pt idx="353">
                  <c:v>9.9134321967499175E-2</c:v>
                </c:pt>
                <c:pt idx="354">
                  <c:v>9.8057486659444887E-2</c:v>
                </c:pt>
                <c:pt idx="355">
                  <c:v>9.5466465831821001E-2</c:v>
                </c:pt>
                <c:pt idx="356">
                  <c:v>9.3901824915362558E-2</c:v>
                </c:pt>
                <c:pt idx="357">
                  <c:v>9.2452154016566757E-2</c:v>
                </c:pt>
                <c:pt idx="358">
                  <c:v>9.0007506926436762E-2</c:v>
                </c:pt>
                <c:pt idx="359">
                  <c:v>8.7123883668949839E-2</c:v>
                </c:pt>
                <c:pt idx="360">
                  <c:v>8.8751643872087338E-2</c:v>
                </c:pt>
                <c:pt idx="361">
                  <c:v>9.0082161651840006E-2</c:v>
                </c:pt>
                <c:pt idx="362">
                  <c:v>9.0960875473455508E-2</c:v>
                </c:pt>
                <c:pt idx="363">
                  <c:v>9.0051677518096229E-2</c:v>
                </c:pt>
                <c:pt idx="364">
                  <c:v>9.0543792417139002E-2</c:v>
                </c:pt>
                <c:pt idx="365">
                  <c:v>9.0136058969525368E-2</c:v>
                </c:pt>
                <c:pt idx="366">
                  <c:v>9.0248686508432888E-2</c:v>
                </c:pt>
                <c:pt idx="367">
                  <c:v>9.0055909934819003E-2</c:v>
                </c:pt>
                <c:pt idx="368">
                  <c:v>8.7815064298190013E-2</c:v>
                </c:pt>
                <c:pt idx="369">
                  <c:v>8.6324049737204422E-2</c:v>
                </c:pt>
                <c:pt idx="370">
                  <c:v>8.5429717456619869E-2</c:v>
                </c:pt>
                <c:pt idx="371">
                  <c:v>8.6371962493066931E-2</c:v>
                </c:pt>
                <c:pt idx="372">
                  <c:v>8.5390672759648123E-2</c:v>
                </c:pt>
                <c:pt idx="373">
                  <c:v>8.3595307113742967E-2</c:v>
                </c:pt>
                <c:pt idx="374">
                  <c:v>8.0940679647823061E-2</c:v>
                </c:pt>
                <c:pt idx="375">
                  <c:v>8.0745475018830892E-2</c:v>
                </c:pt>
                <c:pt idx="376">
                  <c:v>8.0271429841355546E-2</c:v>
                </c:pt>
                <c:pt idx="377">
                  <c:v>8.0735617752193373E-2</c:v>
                </c:pt>
                <c:pt idx="378">
                  <c:v>8.0723133718357098E-2</c:v>
                </c:pt>
                <c:pt idx="379">
                  <c:v>7.9900391359702297E-2</c:v>
                </c:pt>
                <c:pt idx="380">
                  <c:v>7.9589472631560743E-2</c:v>
                </c:pt>
                <c:pt idx="381">
                  <c:v>7.7636341404110562E-2</c:v>
                </c:pt>
                <c:pt idx="382">
                  <c:v>7.4798489311228247E-2</c:v>
                </c:pt>
                <c:pt idx="383">
                  <c:v>7.5863022617077225E-2</c:v>
                </c:pt>
                <c:pt idx="384">
                  <c:v>7.6685174642076664E-2</c:v>
                </c:pt>
                <c:pt idx="385">
                  <c:v>7.7849768052050475E-2</c:v>
                </c:pt>
                <c:pt idx="386">
                  <c:v>7.9392578226872179E-2</c:v>
                </c:pt>
                <c:pt idx="387">
                  <c:v>8.0716898228469655E-2</c:v>
                </c:pt>
                <c:pt idx="388">
                  <c:v>8.3123922063844821E-2</c:v>
                </c:pt>
                <c:pt idx="389">
                  <c:v>8.4854527962716503E-2</c:v>
                </c:pt>
                <c:pt idx="390">
                  <c:v>8.631966502310133E-2</c:v>
                </c:pt>
                <c:pt idx="391">
                  <c:v>8.4795719417127421E-2</c:v>
                </c:pt>
                <c:pt idx="392">
                  <c:v>8.7394803303202998E-2</c:v>
                </c:pt>
                <c:pt idx="393">
                  <c:v>8.9346227349541882E-2</c:v>
                </c:pt>
                <c:pt idx="394">
                  <c:v>9.0446369958596659E-2</c:v>
                </c:pt>
                <c:pt idx="395">
                  <c:v>9.0526996191761661E-2</c:v>
                </c:pt>
                <c:pt idx="396">
                  <c:v>9.0233469824457666E-2</c:v>
                </c:pt>
                <c:pt idx="397">
                  <c:v>9.038977480160218E-2</c:v>
                </c:pt>
                <c:pt idx="398">
                  <c:v>9.0044056847273055E-2</c:v>
                </c:pt>
                <c:pt idx="399">
                  <c:v>8.7727751484801456E-2</c:v>
                </c:pt>
                <c:pt idx="400">
                  <c:v>8.6187248977905057E-2</c:v>
                </c:pt>
                <c:pt idx="401">
                  <c:v>8.232390102388927E-2</c:v>
                </c:pt>
                <c:pt idx="402">
                  <c:v>7.9124553693297281E-2</c:v>
                </c:pt>
                <c:pt idx="403">
                  <c:v>7.5218485598863585E-2</c:v>
                </c:pt>
                <c:pt idx="404">
                  <c:v>7.1350325772853718E-2</c:v>
                </c:pt>
                <c:pt idx="405">
                  <c:v>6.8668925152691379E-2</c:v>
                </c:pt>
                <c:pt idx="406">
                  <c:v>6.6550107429466127E-2</c:v>
                </c:pt>
                <c:pt idx="407">
                  <c:v>6.3892505088049681E-2</c:v>
                </c:pt>
                <c:pt idx="408">
                  <c:v>6.2569876312599984E-2</c:v>
                </c:pt>
                <c:pt idx="409">
                  <c:v>6.0730458286811569E-2</c:v>
                </c:pt>
                <c:pt idx="410">
                  <c:v>5.7872381827042525E-2</c:v>
                </c:pt>
                <c:pt idx="411">
                  <c:v>5.3639184761391193E-2</c:v>
                </c:pt>
                <c:pt idx="412">
                  <c:v>5.0845393025873743E-2</c:v>
                </c:pt>
                <c:pt idx="413">
                  <c:v>4.9823232477370291E-2</c:v>
                </c:pt>
                <c:pt idx="414">
                  <c:v>4.9695706628535001E-2</c:v>
                </c:pt>
                <c:pt idx="415">
                  <c:v>4.9426980801785078E-2</c:v>
                </c:pt>
                <c:pt idx="416">
                  <c:v>4.8323333902530428E-2</c:v>
                </c:pt>
                <c:pt idx="417">
                  <c:v>4.7799557103335312E-2</c:v>
                </c:pt>
                <c:pt idx="418">
                  <c:v>4.2582439185713208E-2</c:v>
                </c:pt>
                <c:pt idx="419">
                  <c:v>3.9824970012799929E-2</c:v>
                </c:pt>
                <c:pt idx="420">
                  <c:v>3.8086186469828136E-2</c:v>
                </c:pt>
                <c:pt idx="421">
                  <c:v>3.7609587410329229E-2</c:v>
                </c:pt>
                <c:pt idx="422">
                  <c:v>3.6600938177753596E-2</c:v>
                </c:pt>
                <c:pt idx="423">
                  <c:v>3.6431587842142336E-2</c:v>
                </c:pt>
                <c:pt idx="424">
                  <c:v>3.4814877176563036E-2</c:v>
                </c:pt>
                <c:pt idx="425">
                  <c:v>3.194655545444907E-2</c:v>
                </c:pt>
                <c:pt idx="426">
                  <c:v>3.1540281886010199E-2</c:v>
                </c:pt>
                <c:pt idx="427">
                  <c:v>2.9926202520289512E-2</c:v>
                </c:pt>
                <c:pt idx="428">
                  <c:v>2.9420062573619656E-2</c:v>
                </c:pt>
                <c:pt idx="429">
                  <c:v>3.206881870356703E-2</c:v>
                </c:pt>
                <c:pt idx="430">
                  <c:v>3.0613829362681172E-2</c:v>
                </c:pt>
                <c:pt idx="431">
                  <c:v>2.2399551533022526E-2</c:v>
                </c:pt>
                <c:pt idx="432">
                  <c:v>2.1174076429369179E-2</c:v>
                </c:pt>
                <c:pt idx="433">
                  <c:v>2.490258875888518E-2</c:v>
                </c:pt>
                <c:pt idx="434">
                  <c:v>3.2128284031609042E-2</c:v>
                </c:pt>
                <c:pt idx="435">
                  <c:v>5.21169064491196E-2</c:v>
                </c:pt>
                <c:pt idx="436">
                  <c:v>5.1669207086689747E-2</c:v>
                </c:pt>
                <c:pt idx="437">
                  <c:v>4.6085925472730972E-2</c:v>
                </c:pt>
                <c:pt idx="438">
                  <c:v>5.1995143605680069E-2</c:v>
                </c:pt>
                <c:pt idx="439">
                  <c:v>5.4480283305733478E-2</c:v>
                </c:pt>
                <c:pt idx="440">
                  <c:v>5.5069547253259299E-2</c:v>
                </c:pt>
                <c:pt idx="441">
                  <c:v>6.2926646705389791E-2</c:v>
                </c:pt>
                <c:pt idx="442">
                  <c:v>7.2075354132266622E-2</c:v>
                </c:pt>
                <c:pt idx="443">
                  <c:v>7.6815684069115778E-2</c:v>
                </c:pt>
                <c:pt idx="444">
                  <c:v>7.8087470177194918E-2</c:v>
                </c:pt>
                <c:pt idx="445">
                  <c:v>7.9638307149187459E-2</c:v>
                </c:pt>
                <c:pt idx="446">
                  <c:v>7.591688729960952E-2</c:v>
                </c:pt>
                <c:pt idx="447">
                  <c:v>8.2327299431148054E-2</c:v>
                </c:pt>
                <c:pt idx="448">
                  <c:v>8.2254373643624812E-2</c:v>
                </c:pt>
                <c:pt idx="449">
                  <c:v>8.2612933893246948E-2</c:v>
                </c:pt>
                <c:pt idx="450">
                  <c:v>8.4371562510105677E-2</c:v>
                </c:pt>
                <c:pt idx="451">
                  <c:v>8.8199182949139435E-2</c:v>
                </c:pt>
                <c:pt idx="452">
                  <c:v>8.7262993546625922E-2</c:v>
                </c:pt>
                <c:pt idx="453">
                  <c:v>8.9994090252452238E-2</c:v>
                </c:pt>
                <c:pt idx="454">
                  <c:v>8.7451736415336892E-2</c:v>
                </c:pt>
                <c:pt idx="455">
                  <c:v>8.9533966505993615E-2</c:v>
                </c:pt>
                <c:pt idx="456">
                  <c:v>8.9608122276169835E-2</c:v>
                </c:pt>
                <c:pt idx="457">
                  <c:v>8.8763356265863E-2</c:v>
                </c:pt>
                <c:pt idx="458">
                  <c:v>8.938614956951442E-2</c:v>
                </c:pt>
                <c:pt idx="459">
                  <c:v>8.6920961188901316E-2</c:v>
                </c:pt>
                <c:pt idx="460">
                  <c:v>8.662719549714247E-2</c:v>
                </c:pt>
                <c:pt idx="461">
                  <c:v>8.5638995814008786E-2</c:v>
                </c:pt>
                <c:pt idx="462">
                  <c:v>9.0730891924593104E-2</c:v>
                </c:pt>
                <c:pt idx="463">
                  <c:v>9.1037537623377213E-2</c:v>
                </c:pt>
                <c:pt idx="464">
                  <c:v>8.8614302094474906E-2</c:v>
                </c:pt>
                <c:pt idx="465">
                  <c:v>9.1324863311623594E-2</c:v>
                </c:pt>
                <c:pt idx="466">
                  <c:v>9.3437647157683712E-2</c:v>
                </c:pt>
                <c:pt idx="467">
                  <c:v>9.3496834271046853E-2</c:v>
                </c:pt>
                <c:pt idx="468">
                  <c:v>9.2825746742856416E-2</c:v>
                </c:pt>
                <c:pt idx="469">
                  <c:v>9.3188007093595551E-2</c:v>
                </c:pt>
                <c:pt idx="470">
                  <c:v>9.357281615933627E-2</c:v>
                </c:pt>
                <c:pt idx="471">
                  <c:v>9.1239552120948322E-2</c:v>
                </c:pt>
                <c:pt idx="472">
                  <c:v>9.3073607103270922E-2</c:v>
                </c:pt>
                <c:pt idx="473">
                  <c:v>9.3226217781103293E-2</c:v>
                </c:pt>
                <c:pt idx="474">
                  <c:v>9.2292148938304952E-2</c:v>
                </c:pt>
                <c:pt idx="475">
                  <c:v>9.3246219503724706E-2</c:v>
                </c:pt>
                <c:pt idx="476">
                  <c:v>9.4965555396449533E-2</c:v>
                </c:pt>
                <c:pt idx="477">
                  <c:v>9.5128747116089152E-2</c:v>
                </c:pt>
                <c:pt idx="478">
                  <c:v>9.3551320471936192E-2</c:v>
                </c:pt>
                <c:pt idx="479">
                  <c:v>9.5099646712829736E-2</c:v>
                </c:pt>
                <c:pt idx="480">
                  <c:v>9.6829977025965686E-2</c:v>
                </c:pt>
                <c:pt idx="481">
                  <c:v>9.7297796866711958E-2</c:v>
                </c:pt>
                <c:pt idx="482">
                  <c:v>9.799520138222953E-2</c:v>
                </c:pt>
                <c:pt idx="483">
                  <c:v>9.8349748233266088E-2</c:v>
                </c:pt>
                <c:pt idx="484">
                  <c:v>9.7995698887005489E-2</c:v>
                </c:pt>
                <c:pt idx="485">
                  <c:v>9.8934065416832709E-2</c:v>
                </c:pt>
                <c:pt idx="486">
                  <c:v>9.9457591287962638E-2</c:v>
                </c:pt>
                <c:pt idx="487">
                  <c:v>9.9763060670789855E-2</c:v>
                </c:pt>
                <c:pt idx="488">
                  <c:v>9.9002840012902521E-2</c:v>
                </c:pt>
                <c:pt idx="489">
                  <c:v>0.10195025991779838</c:v>
                </c:pt>
                <c:pt idx="490">
                  <c:v>0.10527468255985267</c:v>
                </c:pt>
                <c:pt idx="491">
                  <c:v>0.1068988253375939</c:v>
                </c:pt>
                <c:pt idx="492">
                  <c:v>0.10881887177222374</c:v>
                </c:pt>
                <c:pt idx="493">
                  <c:v>0.10974009686927831</c:v>
                </c:pt>
                <c:pt idx="494">
                  <c:v>0.11021057973850422</c:v>
                </c:pt>
                <c:pt idx="495">
                  <c:v>0.11192902215326442</c:v>
                </c:pt>
                <c:pt idx="496">
                  <c:v>0.11488525935125767</c:v>
                </c:pt>
                <c:pt idx="497">
                  <c:v>0.11813630221454989</c:v>
                </c:pt>
                <c:pt idx="498">
                  <c:v>0.11959486728035894</c:v>
                </c:pt>
                <c:pt idx="499">
                  <c:v>0.12402234503756149</c:v>
                </c:pt>
                <c:pt idx="500">
                  <c:v>0.12716395425558022</c:v>
                </c:pt>
                <c:pt idx="501">
                  <c:v>0.13031108244057321</c:v>
                </c:pt>
                <c:pt idx="502">
                  <c:v>0.13304913115920047</c:v>
                </c:pt>
                <c:pt idx="503">
                  <c:v>0.13713917013776067</c:v>
                </c:pt>
                <c:pt idx="504">
                  <c:v>0.14146961705825606</c:v>
                </c:pt>
                <c:pt idx="505">
                  <c:v>0.14490114682179256</c:v>
                </c:pt>
                <c:pt idx="506">
                  <c:v>0.14693990688873945</c:v>
                </c:pt>
                <c:pt idx="507">
                  <c:v>0.15095588727735632</c:v>
                </c:pt>
                <c:pt idx="508">
                  <c:v>0.1559085226633356</c:v>
                </c:pt>
                <c:pt idx="509">
                  <c:v>0.15968773139127984</c:v>
                </c:pt>
                <c:pt idx="510">
                  <c:v>0.16348819503171794</c:v>
                </c:pt>
                <c:pt idx="511">
                  <c:v>0.16825078649422226</c:v>
                </c:pt>
                <c:pt idx="512">
                  <c:v>0.17512462867582479</c:v>
                </c:pt>
                <c:pt idx="513">
                  <c:v>0.18190275848089901</c:v>
                </c:pt>
                <c:pt idx="514">
                  <c:v>0.18760571229413903</c:v>
                </c:pt>
                <c:pt idx="515">
                  <c:v>0.19258325482883829</c:v>
                </c:pt>
                <c:pt idx="516">
                  <c:v>0.19780914072421582</c:v>
                </c:pt>
                <c:pt idx="517">
                  <c:v>0.20048138827181841</c:v>
                </c:pt>
                <c:pt idx="518">
                  <c:v>0.20401133985480202</c:v>
                </c:pt>
                <c:pt idx="519">
                  <c:v>0.20915271085723605</c:v>
                </c:pt>
                <c:pt idx="520">
                  <c:v>0.21424890900620278</c:v>
                </c:pt>
                <c:pt idx="521">
                  <c:v>0.21910310226641699</c:v>
                </c:pt>
                <c:pt idx="522">
                  <c:v>0.22385798022921907</c:v>
                </c:pt>
                <c:pt idx="523">
                  <c:v>0.22658469802274717</c:v>
                </c:pt>
                <c:pt idx="524">
                  <c:v>0.22953294323439941</c:v>
                </c:pt>
                <c:pt idx="525">
                  <c:v>0.23229023944100233</c:v>
                </c:pt>
                <c:pt idx="526">
                  <c:v>0.23450524673921419</c:v>
                </c:pt>
                <c:pt idx="527">
                  <c:v>0.23799404321866988</c:v>
                </c:pt>
                <c:pt idx="528">
                  <c:v>0.23999825933884791</c:v>
                </c:pt>
                <c:pt idx="529">
                  <c:v>0.24395262455872335</c:v>
                </c:pt>
                <c:pt idx="530">
                  <c:v>0.24324705835406951</c:v>
                </c:pt>
                <c:pt idx="531">
                  <c:v>0.24319151477422518</c:v>
                </c:pt>
                <c:pt idx="532">
                  <c:v>0.24757831172545533</c:v>
                </c:pt>
                <c:pt idx="533">
                  <c:v>0.24994476934050652</c:v>
                </c:pt>
                <c:pt idx="534">
                  <c:v>0.24991411550396722</c:v>
                </c:pt>
                <c:pt idx="535">
                  <c:v>0.24966044028452508</c:v>
                </c:pt>
                <c:pt idx="536">
                  <c:v>0.25214669066761702</c:v>
                </c:pt>
                <c:pt idx="537">
                  <c:v>0.25693620540606738</c:v>
                </c:pt>
                <c:pt idx="538">
                  <c:v>0.25676685942181005</c:v>
                </c:pt>
                <c:pt idx="539">
                  <c:v>0.25816072856044031</c:v>
                </c:pt>
                <c:pt idx="540">
                  <c:v>0.25864240601234861</c:v>
                </c:pt>
                <c:pt idx="541">
                  <c:v>0.25685715291249961</c:v>
                </c:pt>
                <c:pt idx="542">
                  <c:v>0.25288713732372775</c:v>
                </c:pt>
                <c:pt idx="543">
                  <c:v>0.24875850908988606</c:v>
                </c:pt>
                <c:pt idx="544">
                  <c:v>0.24789570526793916</c:v>
                </c:pt>
                <c:pt idx="545">
                  <c:v>0.24659476363945348</c:v>
                </c:pt>
                <c:pt idx="546">
                  <c:v>0.2428945899996621</c:v>
                </c:pt>
                <c:pt idx="547">
                  <c:v>0.23808370721352085</c:v>
                </c:pt>
                <c:pt idx="548">
                  <c:v>0.23499679016046759</c:v>
                </c:pt>
                <c:pt idx="549">
                  <c:v>0.23076885533192107</c:v>
                </c:pt>
                <c:pt idx="550">
                  <c:v>0.22448057772195273</c:v>
                </c:pt>
                <c:pt idx="551">
                  <c:v>0.22013891011065248</c:v>
                </c:pt>
                <c:pt idx="552">
                  <c:v>0.2120754281270367</c:v>
                </c:pt>
                <c:pt idx="553">
                  <c:v>0.20953865852720144</c:v>
                </c:pt>
                <c:pt idx="554">
                  <c:v>0.20798670760865537</c:v>
                </c:pt>
                <c:pt idx="555">
                  <c:v>0.20465706044122911</c:v>
                </c:pt>
                <c:pt idx="556">
                  <c:v>0.19972456312028772</c:v>
                </c:pt>
                <c:pt idx="557">
                  <c:v>0.20125644269455276</c:v>
                </c:pt>
                <c:pt idx="558">
                  <c:v>0.20063414399477486</c:v>
                </c:pt>
                <c:pt idx="559">
                  <c:v>0.20185990293360534</c:v>
                </c:pt>
                <c:pt idx="560">
                  <c:v>0.20057219522224753</c:v>
                </c:pt>
                <c:pt idx="561">
                  <c:v>0.198403062795904</c:v>
                </c:pt>
                <c:pt idx="562">
                  <c:v>0.19245858854462602</c:v>
                </c:pt>
                <c:pt idx="563">
                  <c:v>0.18567127738319278</c:v>
                </c:pt>
                <c:pt idx="564">
                  <c:v>0.17646336616276329</c:v>
                </c:pt>
                <c:pt idx="565">
                  <c:v>0.16458399353930431</c:v>
                </c:pt>
                <c:pt idx="566">
                  <c:v>0.15717769940963119</c:v>
                </c:pt>
                <c:pt idx="567">
                  <c:v>0.15170757493058956</c:v>
                </c:pt>
                <c:pt idx="568">
                  <c:v>0.14587860011167728</c:v>
                </c:pt>
                <c:pt idx="569">
                  <c:v>0.13830206506933049</c:v>
                </c:pt>
                <c:pt idx="570">
                  <c:v>0.13705548200202491</c:v>
                </c:pt>
                <c:pt idx="571">
                  <c:v>0.14161433147952923</c:v>
                </c:pt>
                <c:pt idx="572">
                  <c:v>0.14348469415733081</c:v>
                </c:pt>
                <c:pt idx="573">
                  <c:v>0.13980353593331654</c:v>
                </c:pt>
                <c:pt idx="574">
                  <c:v>0.12674992149822473</c:v>
                </c:pt>
                <c:pt idx="575">
                  <c:v>0.11460261426916776</c:v>
                </c:pt>
                <c:pt idx="576">
                  <c:v>9.226623227552061E-2</c:v>
                </c:pt>
                <c:pt idx="577">
                  <c:v>8.8093970842204689E-2</c:v>
                </c:pt>
                <c:pt idx="578">
                  <c:v>7.2739092586628945E-2</c:v>
                </c:pt>
                <c:pt idx="579">
                  <c:v>4.3477417642325954E-2</c:v>
                </c:pt>
                <c:pt idx="580">
                  <c:v>5.1649013360585291E-2</c:v>
                </c:pt>
                <c:pt idx="581">
                  <c:v>5.4937996764841859E-2</c:v>
                </c:pt>
                <c:pt idx="582">
                  <c:v>5.6314847079155947E-2</c:v>
                </c:pt>
                <c:pt idx="583">
                  <c:v>5.936519948022749E-2</c:v>
                </c:pt>
                <c:pt idx="584">
                  <c:v>4.9268362717522919E-2</c:v>
                </c:pt>
                <c:pt idx="585">
                  <c:v>-9.8601794701122514E-4</c:v>
                </c:pt>
                <c:pt idx="586">
                  <c:v>-4.2242526006149375E-3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83EE-8743-9942-47F0944A1E12}"/>
            </c:ext>
          </c:extLst>
        </c:ser>
        <c:ser>
          <c:idx val="4"/>
          <c:order val="6"/>
          <c:tx>
            <c:strRef>
              <c:f>'Fig 2d'!$T$4</c:f>
              <c:strCache>
                <c:ptCount val="1"/>
                <c:pt idx="0">
                  <c:v>pristine fiber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'Fig 2d'!$B$5:$B$591</c:f>
              <c:numCache>
                <c:formatCode>General</c:formatCode>
                <c:ptCount val="587"/>
                <c:pt idx="0">
                  <c:v>935</c:v>
                </c:pt>
                <c:pt idx="1">
                  <c:v>937</c:v>
                </c:pt>
                <c:pt idx="2">
                  <c:v>939</c:v>
                </c:pt>
                <c:pt idx="3">
                  <c:v>941</c:v>
                </c:pt>
                <c:pt idx="4">
                  <c:v>943</c:v>
                </c:pt>
                <c:pt idx="5">
                  <c:v>945</c:v>
                </c:pt>
                <c:pt idx="6">
                  <c:v>947</c:v>
                </c:pt>
                <c:pt idx="7">
                  <c:v>949</c:v>
                </c:pt>
                <c:pt idx="8">
                  <c:v>951</c:v>
                </c:pt>
                <c:pt idx="9">
                  <c:v>953</c:v>
                </c:pt>
                <c:pt idx="10">
                  <c:v>955</c:v>
                </c:pt>
                <c:pt idx="11">
                  <c:v>957</c:v>
                </c:pt>
                <c:pt idx="12">
                  <c:v>959</c:v>
                </c:pt>
                <c:pt idx="13">
                  <c:v>961</c:v>
                </c:pt>
                <c:pt idx="14">
                  <c:v>963</c:v>
                </c:pt>
                <c:pt idx="15">
                  <c:v>965</c:v>
                </c:pt>
                <c:pt idx="16">
                  <c:v>967</c:v>
                </c:pt>
                <c:pt idx="17">
                  <c:v>969</c:v>
                </c:pt>
                <c:pt idx="18">
                  <c:v>971</c:v>
                </c:pt>
                <c:pt idx="19">
                  <c:v>973</c:v>
                </c:pt>
                <c:pt idx="20">
                  <c:v>975</c:v>
                </c:pt>
                <c:pt idx="21">
                  <c:v>977</c:v>
                </c:pt>
                <c:pt idx="22">
                  <c:v>979</c:v>
                </c:pt>
                <c:pt idx="23">
                  <c:v>981</c:v>
                </c:pt>
                <c:pt idx="24">
                  <c:v>983</c:v>
                </c:pt>
                <c:pt idx="25">
                  <c:v>985</c:v>
                </c:pt>
                <c:pt idx="26">
                  <c:v>987</c:v>
                </c:pt>
                <c:pt idx="27">
                  <c:v>989</c:v>
                </c:pt>
                <c:pt idx="28">
                  <c:v>991</c:v>
                </c:pt>
                <c:pt idx="29">
                  <c:v>993</c:v>
                </c:pt>
                <c:pt idx="30">
                  <c:v>995</c:v>
                </c:pt>
                <c:pt idx="31">
                  <c:v>997</c:v>
                </c:pt>
                <c:pt idx="32">
                  <c:v>999</c:v>
                </c:pt>
                <c:pt idx="33">
                  <c:v>1001</c:v>
                </c:pt>
                <c:pt idx="34">
                  <c:v>1003</c:v>
                </c:pt>
                <c:pt idx="35">
                  <c:v>1005</c:v>
                </c:pt>
                <c:pt idx="36">
                  <c:v>1007</c:v>
                </c:pt>
                <c:pt idx="37">
                  <c:v>1009</c:v>
                </c:pt>
                <c:pt idx="38">
                  <c:v>1011</c:v>
                </c:pt>
                <c:pt idx="39">
                  <c:v>1013</c:v>
                </c:pt>
                <c:pt idx="40">
                  <c:v>1015</c:v>
                </c:pt>
                <c:pt idx="41">
                  <c:v>1017</c:v>
                </c:pt>
                <c:pt idx="42">
                  <c:v>1019</c:v>
                </c:pt>
                <c:pt idx="43">
                  <c:v>1021</c:v>
                </c:pt>
                <c:pt idx="44">
                  <c:v>1023</c:v>
                </c:pt>
                <c:pt idx="45">
                  <c:v>1025</c:v>
                </c:pt>
                <c:pt idx="46">
                  <c:v>1027</c:v>
                </c:pt>
                <c:pt idx="47">
                  <c:v>1029</c:v>
                </c:pt>
                <c:pt idx="48">
                  <c:v>1031</c:v>
                </c:pt>
                <c:pt idx="49">
                  <c:v>1033</c:v>
                </c:pt>
                <c:pt idx="50">
                  <c:v>1035</c:v>
                </c:pt>
                <c:pt idx="51">
                  <c:v>1037</c:v>
                </c:pt>
                <c:pt idx="52">
                  <c:v>1039</c:v>
                </c:pt>
                <c:pt idx="53">
                  <c:v>1041</c:v>
                </c:pt>
                <c:pt idx="54">
                  <c:v>1043</c:v>
                </c:pt>
                <c:pt idx="55">
                  <c:v>1045</c:v>
                </c:pt>
                <c:pt idx="56">
                  <c:v>1047</c:v>
                </c:pt>
                <c:pt idx="57">
                  <c:v>1049</c:v>
                </c:pt>
                <c:pt idx="58">
                  <c:v>1051</c:v>
                </c:pt>
                <c:pt idx="59">
                  <c:v>1053</c:v>
                </c:pt>
                <c:pt idx="60">
                  <c:v>1055</c:v>
                </c:pt>
                <c:pt idx="61">
                  <c:v>1057</c:v>
                </c:pt>
                <c:pt idx="62">
                  <c:v>1059</c:v>
                </c:pt>
                <c:pt idx="63">
                  <c:v>1061</c:v>
                </c:pt>
                <c:pt idx="64">
                  <c:v>1063</c:v>
                </c:pt>
                <c:pt idx="65">
                  <c:v>1065</c:v>
                </c:pt>
                <c:pt idx="66">
                  <c:v>1067</c:v>
                </c:pt>
                <c:pt idx="67">
                  <c:v>1069</c:v>
                </c:pt>
                <c:pt idx="68">
                  <c:v>1071</c:v>
                </c:pt>
                <c:pt idx="69">
                  <c:v>1073</c:v>
                </c:pt>
                <c:pt idx="70">
                  <c:v>1075</c:v>
                </c:pt>
                <c:pt idx="71">
                  <c:v>1077</c:v>
                </c:pt>
                <c:pt idx="72">
                  <c:v>1079</c:v>
                </c:pt>
                <c:pt idx="73">
                  <c:v>1081</c:v>
                </c:pt>
                <c:pt idx="74">
                  <c:v>1083</c:v>
                </c:pt>
                <c:pt idx="75">
                  <c:v>1085</c:v>
                </c:pt>
                <c:pt idx="76">
                  <c:v>1087</c:v>
                </c:pt>
                <c:pt idx="77">
                  <c:v>1089</c:v>
                </c:pt>
                <c:pt idx="78">
                  <c:v>1091</c:v>
                </c:pt>
                <c:pt idx="79">
                  <c:v>1093</c:v>
                </c:pt>
                <c:pt idx="80">
                  <c:v>1095</c:v>
                </c:pt>
                <c:pt idx="81">
                  <c:v>1097</c:v>
                </c:pt>
                <c:pt idx="82">
                  <c:v>1099</c:v>
                </c:pt>
                <c:pt idx="83">
                  <c:v>1101</c:v>
                </c:pt>
                <c:pt idx="84">
                  <c:v>1103</c:v>
                </c:pt>
                <c:pt idx="85">
                  <c:v>1105</c:v>
                </c:pt>
                <c:pt idx="86">
                  <c:v>1107</c:v>
                </c:pt>
                <c:pt idx="87">
                  <c:v>1109</c:v>
                </c:pt>
                <c:pt idx="88">
                  <c:v>1111</c:v>
                </c:pt>
                <c:pt idx="89">
                  <c:v>1113</c:v>
                </c:pt>
                <c:pt idx="90">
                  <c:v>1115</c:v>
                </c:pt>
                <c:pt idx="91">
                  <c:v>1117</c:v>
                </c:pt>
                <c:pt idx="92">
                  <c:v>1119</c:v>
                </c:pt>
                <c:pt idx="93">
                  <c:v>1121</c:v>
                </c:pt>
                <c:pt idx="94">
                  <c:v>1123</c:v>
                </c:pt>
                <c:pt idx="95">
                  <c:v>1125</c:v>
                </c:pt>
                <c:pt idx="96">
                  <c:v>1127</c:v>
                </c:pt>
                <c:pt idx="97">
                  <c:v>1129</c:v>
                </c:pt>
                <c:pt idx="98">
                  <c:v>1131</c:v>
                </c:pt>
                <c:pt idx="99">
                  <c:v>1133</c:v>
                </c:pt>
                <c:pt idx="100">
                  <c:v>1135</c:v>
                </c:pt>
                <c:pt idx="101">
                  <c:v>1137</c:v>
                </c:pt>
                <c:pt idx="102">
                  <c:v>1139</c:v>
                </c:pt>
                <c:pt idx="103">
                  <c:v>1141</c:v>
                </c:pt>
                <c:pt idx="104">
                  <c:v>1143</c:v>
                </c:pt>
                <c:pt idx="105">
                  <c:v>1145</c:v>
                </c:pt>
                <c:pt idx="106">
                  <c:v>1147</c:v>
                </c:pt>
                <c:pt idx="107">
                  <c:v>1149</c:v>
                </c:pt>
                <c:pt idx="108">
                  <c:v>1151</c:v>
                </c:pt>
                <c:pt idx="109">
                  <c:v>1153</c:v>
                </c:pt>
                <c:pt idx="110">
                  <c:v>1155</c:v>
                </c:pt>
                <c:pt idx="111">
                  <c:v>1157</c:v>
                </c:pt>
                <c:pt idx="112">
                  <c:v>1159</c:v>
                </c:pt>
                <c:pt idx="113">
                  <c:v>1161</c:v>
                </c:pt>
                <c:pt idx="114">
                  <c:v>1163</c:v>
                </c:pt>
                <c:pt idx="115">
                  <c:v>1165</c:v>
                </c:pt>
                <c:pt idx="116">
                  <c:v>1167</c:v>
                </c:pt>
                <c:pt idx="117">
                  <c:v>1169</c:v>
                </c:pt>
                <c:pt idx="118">
                  <c:v>1171</c:v>
                </c:pt>
                <c:pt idx="119">
                  <c:v>1173</c:v>
                </c:pt>
                <c:pt idx="120">
                  <c:v>1175</c:v>
                </c:pt>
                <c:pt idx="121">
                  <c:v>1177</c:v>
                </c:pt>
                <c:pt idx="122">
                  <c:v>1179</c:v>
                </c:pt>
                <c:pt idx="123">
                  <c:v>1181</c:v>
                </c:pt>
                <c:pt idx="124">
                  <c:v>1183</c:v>
                </c:pt>
                <c:pt idx="125">
                  <c:v>1185</c:v>
                </c:pt>
                <c:pt idx="126">
                  <c:v>1187</c:v>
                </c:pt>
                <c:pt idx="127">
                  <c:v>1189</c:v>
                </c:pt>
                <c:pt idx="128">
                  <c:v>1191</c:v>
                </c:pt>
                <c:pt idx="129">
                  <c:v>1193</c:v>
                </c:pt>
                <c:pt idx="130">
                  <c:v>1195</c:v>
                </c:pt>
                <c:pt idx="131">
                  <c:v>1197</c:v>
                </c:pt>
                <c:pt idx="132">
                  <c:v>1199</c:v>
                </c:pt>
                <c:pt idx="133">
                  <c:v>1201</c:v>
                </c:pt>
                <c:pt idx="134">
                  <c:v>1203</c:v>
                </c:pt>
                <c:pt idx="135">
                  <c:v>1205</c:v>
                </c:pt>
                <c:pt idx="136">
                  <c:v>1207</c:v>
                </c:pt>
                <c:pt idx="137">
                  <c:v>1209</c:v>
                </c:pt>
                <c:pt idx="138">
                  <c:v>1211</c:v>
                </c:pt>
                <c:pt idx="139">
                  <c:v>1213</c:v>
                </c:pt>
                <c:pt idx="140">
                  <c:v>1215</c:v>
                </c:pt>
                <c:pt idx="141">
                  <c:v>1217</c:v>
                </c:pt>
                <c:pt idx="142">
                  <c:v>1219</c:v>
                </c:pt>
                <c:pt idx="143">
                  <c:v>1221</c:v>
                </c:pt>
                <c:pt idx="144">
                  <c:v>1223</c:v>
                </c:pt>
                <c:pt idx="145">
                  <c:v>1225</c:v>
                </c:pt>
                <c:pt idx="146">
                  <c:v>1227</c:v>
                </c:pt>
                <c:pt idx="147">
                  <c:v>1229</c:v>
                </c:pt>
                <c:pt idx="148">
                  <c:v>1231</c:v>
                </c:pt>
                <c:pt idx="149">
                  <c:v>1233</c:v>
                </c:pt>
                <c:pt idx="150">
                  <c:v>1235</c:v>
                </c:pt>
                <c:pt idx="151">
                  <c:v>1237</c:v>
                </c:pt>
                <c:pt idx="152">
                  <c:v>1239</c:v>
                </c:pt>
                <c:pt idx="153">
                  <c:v>1241</c:v>
                </c:pt>
                <c:pt idx="154">
                  <c:v>1243</c:v>
                </c:pt>
                <c:pt idx="155">
                  <c:v>1245</c:v>
                </c:pt>
                <c:pt idx="156">
                  <c:v>1247</c:v>
                </c:pt>
                <c:pt idx="157">
                  <c:v>1249</c:v>
                </c:pt>
                <c:pt idx="158">
                  <c:v>1251</c:v>
                </c:pt>
                <c:pt idx="159">
                  <c:v>1253</c:v>
                </c:pt>
                <c:pt idx="160">
                  <c:v>1255</c:v>
                </c:pt>
                <c:pt idx="161">
                  <c:v>1257</c:v>
                </c:pt>
                <c:pt idx="162">
                  <c:v>1259</c:v>
                </c:pt>
                <c:pt idx="163">
                  <c:v>1261</c:v>
                </c:pt>
                <c:pt idx="164">
                  <c:v>1263</c:v>
                </c:pt>
                <c:pt idx="165">
                  <c:v>1265</c:v>
                </c:pt>
                <c:pt idx="166">
                  <c:v>1267</c:v>
                </c:pt>
                <c:pt idx="167">
                  <c:v>1269</c:v>
                </c:pt>
                <c:pt idx="168">
                  <c:v>1271</c:v>
                </c:pt>
                <c:pt idx="169">
                  <c:v>1273</c:v>
                </c:pt>
                <c:pt idx="170">
                  <c:v>1275</c:v>
                </c:pt>
                <c:pt idx="171">
                  <c:v>1277</c:v>
                </c:pt>
                <c:pt idx="172">
                  <c:v>1279</c:v>
                </c:pt>
                <c:pt idx="173">
                  <c:v>1281</c:v>
                </c:pt>
                <c:pt idx="174">
                  <c:v>1283</c:v>
                </c:pt>
                <c:pt idx="175">
                  <c:v>1285</c:v>
                </c:pt>
                <c:pt idx="176">
                  <c:v>1287</c:v>
                </c:pt>
                <c:pt idx="177">
                  <c:v>1289</c:v>
                </c:pt>
                <c:pt idx="178">
                  <c:v>1291</c:v>
                </c:pt>
                <c:pt idx="179">
                  <c:v>1293</c:v>
                </c:pt>
                <c:pt idx="180">
                  <c:v>1295</c:v>
                </c:pt>
                <c:pt idx="181">
                  <c:v>1297</c:v>
                </c:pt>
                <c:pt idx="182">
                  <c:v>1299</c:v>
                </c:pt>
                <c:pt idx="183">
                  <c:v>1301</c:v>
                </c:pt>
                <c:pt idx="184">
                  <c:v>1303</c:v>
                </c:pt>
                <c:pt idx="185">
                  <c:v>1305</c:v>
                </c:pt>
                <c:pt idx="186">
                  <c:v>1307</c:v>
                </c:pt>
                <c:pt idx="187">
                  <c:v>1309</c:v>
                </c:pt>
                <c:pt idx="188">
                  <c:v>1311</c:v>
                </c:pt>
                <c:pt idx="189">
                  <c:v>1313</c:v>
                </c:pt>
                <c:pt idx="190">
                  <c:v>1315</c:v>
                </c:pt>
                <c:pt idx="191">
                  <c:v>1317</c:v>
                </c:pt>
                <c:pt idx="192">
                  <c:v>1319</c:v>
                </c:pt>
                <c:pt idx="193">
                  <c:v>1321</c:v>
                </c:pt>
                <c:pt idx="194">
                  <c:v>1323</c:v>
                </c:pt>
                <c:pt idx="195">
                  <c:v>1325</c:v>
                </c:pt>
                <c:pt idx="196">
                  <c:v>1327</c:v>
                </c:pt>
                <c:pt idx="197">
                  <c:v>1329</c:v>
                </c:pt>
                <c:pt idx="198">
                  <c:v>1331</c:v>
                </c:pt>
                <c:pt idx="199">
                  <c:v>1333</c:v>
                </c:pt>
                <c:pt idx="200">
                  <c:v>1335</c:v>
                </c:pt>
                <c:pt idx="201">
                  <c:v>1337</c:v>
                </c:pt>
                <c:pt idx="202">
                  <c:v>1339</c:v>
                </c:pt>
                <c:pt idx="203">
                  <c:v>1341</c:v>
                </c:pt>
                <c:pt idx="204">
                  <c:v>1343</c:v>
                </c:pt>
                <c:pt idx="205">
                  <c:v>1345</c:v>
                </c:pt>
                <c:pt idx="206">
                  <c:v>1347</c:v>
                </c:pt>
                <c:pt idx="207">
                  <c:v>1349</c:v>
                </c:pt>
                <c:pt idx="208">
                  <c:v>1351</c:v>
                </c:pt>
                <c:pt idx="209">
                  <c:v>1353</c:v>
                </c:pt>
                <c:pt idx="210">
                  <c:v>1355</c:v>
                </c:pt>
                <c:pt idx="211">
                  <c:v>1357</c:v>
                </c:pt>
                <c:pt idx="212">
                  <c:v>1359</c:v>
                </c:pt>
                <c:pt idx="213">
                  <c:v>1361</c:v>
                </c:pt>
                <c:pt idx="214">
                  <c:v>1363</c:v>
                </c:pt>
                <c:pt idx="215">
                  <c:v>1365</c:v>
                </c:pt>
                <c:pt idx="216">
                  <c:v>1367</c:v>
                </c:pt>
                <c:pt idx="217">
                  <c:v>1369</c:v>
                </c:pt>
                <c:pt idx="218">
                  <c:v>1371</c:v>
                </c:pt>
                <c:pt idx="219">
                  <c:v>1373</c:v>
                </c:pt>
                <c:pt idx="220">
                  <c:v>1375</c:v>
                </c:pt>
                <c:pt idx="221">
                  <c:v>1377</c:v>
                </c:pt>
                <c:pt idx="222">
                  <c:v>1379</c:v>
                </c:pt>
                <c:pt idx="223">
                  <c:v>1381</c:v>
                </c:pt>
                <c:pt idx="224">
                  <c:v>1383</c:v>
                </c:pt>
                <c:pt idx="225">
                  <c:v>1385</c:v>
                </c:pt>
                <c:pt idx="226">
                  <c:v>1387</c:v>
                </c:pt>
                <c:pt idx="227">
                  <c:v>1389</c:v>
                </c:pt>
                <c:pt idx="228">
                  <c:v>1391</c:v>
                </c:pt>
                <c:pt idx="229">
                  <c:v>1393</c:v>
                </c:pt>
                <c:pt idx="230">
                  <c:v>1395</c:v>
                </c:pt>
                <c:pt idx="231">
                  <c:v>1397</c:v>
                </c:pt>
                <c:pt idx="232">
                  <c:v>1399</c:v>
                </c:pt>
                <c:pt idx="233">
                  <c:v>1401</c:v>
                </c:pt>
                <c:pt idx="234">
                  <c:v>1403</c:v>
                </c:pt>
                <c:pt idx="235">
                  <c:v>1405</c:v>
                </c:pt>
                <c:pt idx="236">
                  <c:v>1407</c:v>
                </c:pt>
                <c:pt idx="237">
                  <c:v>1409</c:v>
                </c:pt>
                <c:pt idx="238">
                  <c:v>1411</c:v>
                </c:pt>
                <c:pt idx="239">
                  <c:v>1413</c:v>
                </c:pt>
                <c:pt idx="240">
                  <c:v>1415</c:v>
                </c:pt>
                <c:pt idx="241">
                  <c:v>1417</c:v>
                </c:pt>
                <c:pt idx="242">
                  <c:v>1419</c:v>
                </c:pt>
                <c:pt idx="243">
                  <c:v>1421</c:v>
                </c:pt>
                <c:pt idx="244">
                  <c:v>1423</c:v>
                </c:pt>
                <c:pt idx="245">
                  <c:v>1425</c:v>
                </c:pt>
                <c:pt idx="246">
                  <c:v>1427</c:v>
                </c:pt>
                <c:pt idx="247">
                  <c:v>1429</c:v>
                </c:pt>
                <c:pt idx="248">
                  <c:v>1431</c:v>
                </c:pt>
                <c:pt idx="249">
                  <c:v>1433</c:v>
                </c:pt>
                <c:pt idx="250">
                  <c:v>1435</c:v>
                </c:pt>
                <c:pt idx="251">
                  <c:v>1437</c:v>
                </c:pt>
                <c:pt idx="252">
                  <c:v>1439</c:v>
                </c:pt>
                <c:pt idx="253">
                  <c:v>1441</c:v>
                </c:pt>
                <c:pt idx="254">
                  <c:v>1443</c:v>
                </c:pt>
                <c:pt idx="255">
                  <c:v>1445</c:v>
                </c:pt>
                <c:pt idx="256">
                  <c:v>1447</c:v>
                </c:pt>
                <c:pt idx="257">
                  <c:v>1449</c:v>
                </c:pt>
                <c:pt idx="258">
                  <c:v>1451</c:v>
                </c:pt>
                <c:pt idx="259">
                  <c:v>1453</c:v>
                </c:pt>
                <c:pt idx="260">
                  <c:v>1455</c:v>
                </c:pt>
                <c:pt idx="261">
                  <c:v>1457</c:v>
                </c:pt>
                <c:pt idx="262">
                  <c:v>1459</c:v>
                </c:pt>
                <c:pt idx="263">
                  <c:v>1461</c:v>
                </c:pt>
                <c:pt idx="264">
                  <c:v>1463</c:v>
                </c:pt>
                <c:pt idx="265">
                  <c:v>1465</c:v>
                </c:pt>
                <c:pt idx="266">
                  <c:v>1467</c:v>
                </c:pt>
                <c:pt idx="267">
                  <c:v>1469</c:v>
                </c:pt>
                <c:pt idx="268">
                  <c:v>1471</c:v>
                </c:pt>
                <c:pt idx="269">
                  <c:v>1473</c:v>
                </c:pt>
                <c:pt idx="270">
                  <c:v>1475</c:v>
                </c:pt>
                <c:pt idx="271">
                  <c:v>1477</c:v>
                </c:pt>
                <c:pt idx="272">
                  <c:v>1479</c:v>
                </c:pt>
                <c:pt idx="273">
                  <c:v>1481</c:v>
                </c:pt>
                <c:pt idx="274">
                  <c:v>1483</c:v>
                </c:pt>
                <c:pt idx="275">
                  <c:v>1485</c:v>
                </c:pt>
                <c:pt idx="276">
                  <c:v>1487</c:v>
                </c:pt>
                <c:pt idx="277">
                  <c:v>1489</c:v>
                </c:pt>
                <c:pt idx="278">
                  <c:v>1491</c:v>
                </c:pt>
                <c:pt idx="279">
                  <c:v>1493</c:v>
                </c:pt>
                <c:pt idx="280">
                  <c:v>1495</c:v>
                </c:pt>
                <c:pt idx="281">
                  <c:v>1497</c:v>
                </c:pt>
                <c:pt idx="282">
                  <c:v>1499</c:v>
                </c:pt>
                <c:pt idx="283">
                  <c:v>1501</c:v>
                </c:pt>
                <c:pt idx="284">
                  <c:v>1503</c:v>
                </c:pt>
                <c:pt idx="285">
                  <c:v>1505</c:v>
                </c:pt>
                <c:pt idx="286">
                  <c:v>1507</c:v>
                </c:pt>
                <c:pt idx="287">
                  <c:v>1509</c:v>
                </c:pt>
                <c:pt idx="288">
                  <c:v>1511</c:v>
                </c:pt>
                <c:pt idx="289">
                  <c:v>1513</c:v>
                </c:pt>
                <c:pt idx="290">
                  <c:v>1515</c:v>
                </c:pt>
                <c:pt idx="291">
                  <c:v>1517</c:v>
                </c:pt>
                <c:pt idx="292">
                  <c:v>1519</c:v>
                </c:pt>
                <c:pt idx="293">
                  <c:v>1521</c:v>
                </c:pt>
                <c:pt idx="294">
                  <c:v>1523</c:v>
                </c:pt>
                <c:pt idx="295">
                  <c:v>1525</c:v>
                </c:pt>
                <c:pt idx="296">
                  <c:v>1527</c:v>
                </c:pt>
                <c:pt idx="297">
                  <c:v>1529</c:v>
                </c:pt>
                <c:pt idx="298">
                  <c:v>1531</c:v>
                </c:pt>
                <c:pt idx="299">
                  <c:v>1533</c:v>
                </c:pt>
                <c:pt idx="300">
                  <c:v>1535</c:v>
                </c:pt>
                <c:pt idx="301">
                  <c:v>1537</c:v>
                </c:pt>
                <c:pt idx="302">
                  <c:v>1539</c:v>
                </c:pt>
                <c:pt idx="303">
                  <c:v>1541</c:v>
                </c:pt>
                <c:pt idx="304">
                  <c:v>1543</c:v>
                </c:pt>
                <c:pt idx="305">
                  <c:v>1545</c:v>
                </c:pt>
                <c:pt idx="306">
                  <c:v>1547</c:v>
                </c:pt>
                <c:pt idx="307">
                  <c:v>1549</c:v>
                </c:pt>
                <c:pt idx="308">
                  <c:v>1551</c:v>
                </c:pt>
                <c:pt idx="309">
                  <c:v>1553</c:v>
                </c:pt>
                <c:pt idx="310">
                  <c:v>1555</c:v>
                </c:pt>
                <c:pt idx="311">
                  <c:v>1557</c:v>
                </c:pt>
                <c:pt idx="312">
                  <c:v>1559</c:v>
                </c:pt>
                <c:pt idx="313">
                  <c:v>1561</c:v>
                </c:pt>
                <c:pt idx="314">
                  <c:v>1563</c:v>
                </c:pt>
                <c:pt idx="315">
                  <c:v>1565</c:v>
                </c:pt>
                <c:pt idx="316">
                  <c:v>1567</c:v>
                </c:pt>
                <c:pt idx="317">
                  <c:v>1569</c:v>
                </c:pt>
                <c:pt idx="318">
                  <c:v>1571</c:v>
                </c:pt>
                <c:pt idx="319">
                  <c:v>1573</c:v>
                </c:pt>
                <c:pt idx="320">
                  <c:v>1575</c:v>
                </c:pt>
                <c:pt idx="321">
                  <c:v>1577</c:v>
                </c:pt>
                <c:pt idx="322">
                  <c:v>1579</c:v>
                </c:pt>
                <c:pt idx="323">
                  <c:v>1581</c:v>
                </c:pt>
                <c:pt idx="324">
                  <c:v>1583</c:v>
                </c:pt>
                <c:pt idx="325">
                  <c:v>1585</c:v>
                </c:pt>
                <c:pt idx="326">
                  <c:v>1587</c:v>
                </c:pt>
                <c:pt idx="327">
                  <c:v>1589</c:v>
                </c:pt>
                <c:pt idx="328">
                  <c:v>1591</c:v>
                </c:pt>
                <c:pt idx="329">
                  <c:v>1593</c:v>
                </c:pt>
                <c:pt idx="330">
                  <c:v>1595</c:v>
                </c:pt>
                <c:pt idx="331">
                  <c:v>1597</c:v>
                </c:pt>
                <c:pt idx="332">
                  <c:v>1599</c:v>
                </c:pt>
                <c:pt idx="333">
                  <c:v>1601</c:v>
                </c:pt>
                <c:pt idx="334">
                  <c:v>1603</c:v>
                </c:pt>
                <c:pt idx="335">
                  <c:v>1605</c:v>
                </c:pt>
                <c:pt idx="336">
                  <c:v>1607</c:v>
                </c:pt>
                <c:pt idx="337">
                  <c:v>1609</c:v>
                </c:pt>
                <c:pt idx="338">
                  <c:v>1611</c:v>
                </c:pt>
                <c:pt idx="339">
                  <c:v>1613</c:v>
                </c:pt>
                <c:pt idx="340">
                  <c:v>1615</c:v>
                </c:pt>
                <c:pt idx="341">
                  <c:v>1617</c:v>
                </c:pt>
                <c:pt idx="342">
                  <c:v>1619</c:v>
                </c:pt>
                <c:pt idx="343">
                  <c:v>1621</c:v>
                </c:pt>
                <c:pt idx="344">
                  <c:v>1623</c:v>
                </c:pt>
                <c:pt idx="345">
                  <c:v>1625</c:v>
                </c:pt>
                <c:pt idx="346">
                  <c:v>1627</c:v>
                </c:pt>
                <c:pt idx="347">
                  <c:v>1629</c:v>
                </c:pt>
                <c:pt idx="348">
                  <c:v>1631</c:v>
                </c:pt>
                <c:pt idx="349">
                  <c:v>1633</c:v>
                </c:pt>
                <c:pt idx="350">
                  <c:v>1635</c:v>
                </c:pt>
                <c:pt idx="351">
                  <c:v>1637</c:v>
                </c:pt>
                <c:pt idx="352">
                  <c:v>1639</c:v>
                </c:pt>
                <c:pt idx="353">
                  <c:v>1641</c:v>
                </c:pt>
                <c:pt idx="354">
                  <c:v>1643</c:v>
                </c:pt>
                <c:pt idx="355">
                  <c:v>1645</c:v>
                </c:pt>
                <c:pt idx="356">
                  <c:v>1647</c:v>
                </c:pt>
                <c:pt idx="357">
                  <c:v>1649</c:v>
                </c:pt>
                <c:pt idx="358">
                  <c:v>1651</c:v>
                </c:pt>
                <c:pt idx="359">
                  <c:v>1653</c:v>
                </c:pt>
                <c:pt idx="360">
                  <c:v>1655</c:v>
                </c:pt>
                <c:pt idx="361">
                  <c:v>1657</c:v>
                </c:pt>
                <c:pt idx="362">
                  <c:v>1659</c:v>
                </c:pt>
                <c:pt idx="363">
                  <c:v>1661</c:v>
                </c:pt>
                <c:pt idx="364">
                  <c:v>1663</c:v>
                </c:pt>
                <c:pt idx="365">
                  <c:v>1665</c:v>
                </c:pt>
                <c:pt idx="366">
                  <c:v>1667</c:v>
                </c:pt>
                <c:pt idx="367">
                  <c:v>1669</c:v>
                </c:pt>
                <c:pt idx="368">
                  <c:v>1671</c:v>
                </c:pt>
                <c:pt idx="369">
                  <c:v>1673</c:v>
                </c:pt>
                <c:pt idx="370">
                  <c:v>1675</c:v>
                </c:pt>
                <c:pt idx="371">
                  <c:v>1677</c:v>
                </c:pt>
                <c:pt idx="372">
                  <c:v>1679</c:v>
                </c:pt>
                <c:pt idx="373">
                  <c:v>1681</c:v>
                </c:pt>
                <c:pt idx="374">
                  <c:v>1683</c:v>
                </c:pt>
                <c:pt idx="375">
                  <c:v>1685</c:v>
                </c:pt>
                <c:pt idx="376">
                  <c:v>1687</c:v>
                </c:pt>
                <c:pt idx="377">
                  <c:v>1689</c:v>
                </c:pt>
                <c:pt idx="378">
                  <c:v>1691</c:v>
                </c:pt>
                <c:pt idx="379">
                  <c:v>1693</c:v>
                </c:pt>
                <c:pt idx="380">
                  <c:v>1695</c:v>
                </c:pt>
                <c:pt idx="381">
                  <c:v>1697</c:v>
                </c:pt>
                <c:pt idx="382">
                  <c:v>1699</c:v>
                </c:pt>
                <c:pt idx="383">
                  <c:v>1701</c:v>
                </c:pt>
                <c:pt idx="384">
                  <c:v>1703</c:v>
                </c:pt>
                <c:pt idx="385">
                  <c:v>1705</c:v>
                </c:pt>
                <c:pt idx="386">
                  <c:v>1707</c:v>
                </c:pt>
                <c:pt idx="387">
                  <c:v>1709</c:v>
                </c:pt>
                <c:pt idx="388">
                  <c:v>1711</c:v>
                </c:pt>
                <c:pt idx="389">
                  <c:v>1713</c:v>
                </c:pt>
                <c:pt idx="390">
                  <c:v>1715</c:v>
                </c:pt>
                <c:pt idx="391">
                  <c:v>1717</c:v>
                </c:pt>
                <c:pt idx="392">
                  <c:v>1719</c:v>
                </c:pt>
                <c:pt idx="393">
                  <c:v>1721</c:v>
                </c:pt>
                <c:pt idx="394">
                  <c:v>1723</c:v>
                </c:pt>
                <c:pt idx="395">
                  <c:v>1725</c:v>
                </c:pt>
                <c:pt idx="396">
                  <c:v>1727</c:v>
                </c:pt>
                <c:pt idx="397">
                  <c:v>1729</c:v>
                </c:pt>
                <c:pt idx="398">
                  <c:v>1731</c:v>
                </c:pt>
                <c:pt idx="399">
                  <c:v>1733</c:v>
                </c:pt>
                <c:pt idx="400">
                  <c:v>1735</c:v>
                </c:pt>
                <c:pt idx="401">
                  <c:v>1737</c:v>
                </c:pt>
                <c:pt idx="402">
                  <c:v>1739</c:v>
                </c:pt>
                <c:pt idx="403">
                  <c:v>1741</c:v>
                </c:pt>
                <c:pt idx="404">
                  <c:v>1743</c:v>
                </c:pt>
                <c:pt idx="405">
                  <c:v>1745</c:v>
                </c:pt>
                <c:pt idx="406">
                  <c:v>1747</c:v>
                </c:pt>
                <c:pt idx="407">
                  <c:v>1749</c:v>
                </c:pt>
                <c:pt idx="408">
                  <c:v>1751</c:v>
                </c:pt>
                <c:pt idx="409">
                  <c:v>1753</c:v>
                </c:pt>
                <c:pt idx="410">
                  <c:v>1755</c:v>
                </c:pt>
                <c:pt idx="411">
                  <c:v>1757</c:v>
                </c:pt>
                <c:pt idx="412">
                  <c:v>1759</c:v>
                </c:pt>
                <c:pt idx="413">
                  <c:v>1761</c:v>
                </c:pt>
                <c:pt idx="414">
                  <c:v>1763</c:v>
                </c:pt>
                <c:pt idx="415">
                  <c:v>1765</c:v>
                </c:pt>
                <c:pt idx="416">
                  <c:v>1767</c:v>
                </c:pt>
                <c:pt idx="417">
                  <c:v>1769</c:v>
                </c:pt>
                <c:pt idx="418">
                  <c:v>1771</c:v>
                </c:pt>
                <c:pt idx="419">
                  <c:v>1773</c:v>
                </c:pt>
                <c:pt idx="420">
                  <c:v>1775</c:v>
                </c:pt>
                <c:pt idx="421">
                  <c:v>1777</c:v>
                </c:pt>
                <c:pt idx="422">
                  <c:v>1779</c:v>
                </c:pt>
                <c:pt idx="423">
                  <c:v>1781</c:v>
                </c:pt>
                <c:pt idx="424">
                  <c:v>1783</c:v>
                </c:pt>
                <c:pt idx="425">
                  <c:v>1785</c:v>
                </c:pt>
                <c:pt idx="426">
                  <c:v>1787</c:v>
                </c:pt>
                <c:pt idx="427">
                  <c:v>1789</c:v>
                </c:pt>
                <c:pt idx="428">
                  <c:v>1791</c:v>
                </c:pt>
                <c:pt idx="429">
                  <c:v>1793</c:v>
                </c:pt>
                <c:pt idx="430">
                  <c:v>1795</c:v>
                </c:pt>
                <c:pt idx="431">
                  <c:v>1797</c:v>
                </c:pt>
                <c:pt idx="432">
                  <c:v>1799</c:v>
                </c:pt>
                <c:pt idx="433">
                  <c:v>2687</c:v>
                </c:pt>
                <c:pt idx="434">
                  <c:v>2689</c:v>
                </c:pt>
                <c:pt idx="435">
                  <c:v>2691</c:v>
                </c:pt>
                <c:pt idx="436">
                  <c:v>2693</c:v>
                </c:pt>
                <c:pt idx="437">
                  <c:v>2695</c:v>
                </c:pt>
                <c:pt idx="438">
                  <c:v>2697</c:v>
                </c:pt>
                <c:pt idx="439">
                  <c:v>2699</c:v>
                </c:pt>
                <c:pt idx="440">
                  <c:v>2701</c:v>
                </c:pt>
                <c:pt idx="441">
                  <c:v>2703</c:v>
                </c:pt>
                <c:pt idx="442">
                  <c:v>2705</c:v>
                </c:pt>
                <c:pt idx="443">
                  <c:v>2707</c:v>
                </c:pt>
                <c:pt idx="444">
                  <c:v>2709</c:v>
                </c:pt>
                <c:pt idx="445">
                  <c:v>2711</c:v>
                </c:pt>
                <c:pt idx="446">
                  <c:v>2713</c:v>
                </c:pt>
                <c:pt idx="447">
                  <c:v>2715</c:v>
                </c:pt>
                <c:pt idx="448">
                  <c:v>2717</c:v>
                </c:pt>
                <c:pt idx="449">
                  <c:v>2719</c:v>
                </c:pt>
                <c:pt idx="450">
                  <c:v>2721</c:v>
                </c:pt>
                <c:pt idx="451">
                  <c:v>2723</c:v>
                </c:pt>
                <c:pt idx="452">
                  <c:v>2725</c:v>
                </c:pt>
                <c:pt idx="453">
                  <c:v>2727</c:v>
                </c:pt>
                <c:pt idx="454">
                  <c:v>2729</c:v>
                </c:pt>
                <c:pt idx="455">
                  <c:v>2731</c:v>
                </c:pt>
                <c:pt idx="456">
                  <c:v>2733</c:v>
                </c:pt>
                <c:pt idx="457">
                  <c:v>2735</c:v>
                </c:pt>
                <c:pt idx="458">
                  <c:v>2737</c:v>
                </c:pt>
                <c:pt idx="459">
                  <c:v>2739</c:v>
                </c:pt>
                <c:pt idx="460">
                  <c:v>2741</c:v>
                </c:pt>
                <c:pt idx="461">
                  <c:v>2743</c:v>
                </c:pt>
                <c:pt idx="462">
                  <c:v>2745</c:v>
                </c:pt>
                <c:pt idx="463">
                  <c:v>2747</c:v>
                </c:pt>
                <c:pt idx="464">
                  <c:v>2749</c:v>
                </c:pt>
                <c:pt idx="465">
                  <c:v>2751</c:v>
                </c:pt>
                <c:pt idx="466">
                  <c:v>2753</c:v>
                </c:pt>
                <c:pt idx="467">
                  <c:v>2755</c:v>
                </c:pt>
                <c:pt idx="468">
                  <c:v>2757</c:v>
                </c:pt>
                <c:pt idx="469">
                  <c:v>2759</c:v>
                </c:pt>
                <c:pt idx="470">
                  <c:v>2761</c:v>
                </c:pt>
                <c:pt idx="471">
                  <c:v>2763</c:v>
                </c:pt>
                <c:pt idx="472">
                  <c:v>2765</c:v>
                </c:pt>
                <c:pt idx="473">
                  <c:v>2767</c:v>
                </c:pt>
                <c:pt idx="474">
                  <c:v>2769</c:v>
                </c:pt>
                <c:pt idx="475">
                  <c:v>2771</c:v>
                </c:pt>
                <c:pt idx="476">
                  <c:v>2773</c:v>
                </c:pt>
                <c:pt idx="477">
                  <c:v>2775</c:v>
                </c:pt>
                <c:pt idx="478">
                  <c:v>2777</c:v>
                </c:pt>
                <c:pt idx="479">
                  <c:v>2779</c:v>
                </c:pt>
                <c:pt idx="480">
                  <c:v>2781</c:v>
                </c:pt>
                <c:pt idx="481">
                  <c:v>2783</c:v>
                </c:pt>
                <c:pt idx="482">
                  <c:v>2785</c:v>
                </c:pt>
                <c:pt idx="483">
                  <c:v>2787</c:v>
                </c:pt>
                <c:pt idx="484">
                  <c:v>2789</c:v>
                </c:pt>
                <c:pt idx="485">
                  <c:v>2791</c:v>
                </c:pt>
                <c:pt idx="486">
                  <c:v>2793</c:v>
                </c:pt>
                <c:pt idx="487">
                  <c:v>2795</c:v>
                </c:pt>
                <c:pt idx="488">
                  <c:v>2797</c:v>
                </c:pt>
                <c:pt idx="489">
                  <c:v>2799</c:v>
                </c:pt>
                <c:pt idx="490">
                  <c:v>2801</c:v>
                </c:pt>
                <c:pt idx="491">
                  <c:v>2803</c:v>
                </c:pt>
                <c:pt idx="492">
                  <c:v>2805</c:v>
                </c:pt>
                <c:pt idx="493">
                  <c:v>2807</c:v>
                </c:pt>
                <c:pt idx="494">
                  <c:v>2809</c:v>
                </c:pt>
                <c:pt idx="495">
                  <c:v>2811</c:v>
                </c:pt>
                <c:pt idx="496">
                  <c:v>2813</c:v>
                </c:pt>
                <c:pt idx="497">
                  <c:v>2815</c:v>
                </c:pt>
                <c:pt idx="498">
                  <c:v>2817</c:v>
                </c:pt>
                <c:pt idx="499">
                  <c:v>2819</c:v>
                </c:pt>
                <c:pt idx="500">
                  <c:v>2821</c:v>
                </c:pt>
                <c:pt idx="501">
                  <c:v>2823</c:v>
                </c:pt>
                <c:pt idx="502">
                  <c:v>2825</c:v>
                </c:pt>
                <c:pt idx="503">
                  <c:v>2827</c:v>
                </c:pt>
                <c:pt idx="504">
                  <c:v>2829</c:v>
                </c:pt>
                <c:pt idx="505">
                  <c:v>2831</c:v>
                </c:pt>
                <c:pt idx="506">
                  <c:v>2833</c:v>
                </c:pt>
                <c:pt idx="507">
                  <c:v>2835</c:v>
                </c:pt>
                <c:pt idx="508">
                  <c:v>2837</c:v>
                </c:pt>
                <c:pt idx="509">
                  <c:v>2839</c:v>
                </c:pt>
                <c:pt idx="510">
                  <c:v>2841</c:v>
                </c:pt>
                <c:pt idx="511">
                  <c:v>2843</c:v>
                </c:pt>
                <c:pt idx="512">
                  <c:v>2845</c:v>
                </c:pt>
                <c:pt idx="513">
                  <c:v>2847</c:v>
                </c:pt>
                <c:pt idx="514">
                  <c:v>2849</c:v>
                </c:pt>
                <c:pt idx="515">
                  <c:v>2851</c:v>
                </c:pt>
                <c:pt idx="516">
                  <c:v>2853</c:v>
                </c:pt>
                <c:pt idx="517">
                  <c:v>2855</c:v>
                </c:pt>
                <c:pt idx="518">
                  <c:v>2857</c:v>
                </c:pt>
                <c:pt idx="519">
                  <c:v>2859</c:v>
                </c:pt>
                <c:pt idx="520">
                  <c:v>2861</c:v>
                </c:pt>
                <c:pt idx="521">
                  <c:v>2863</c:v>
                </c:pt>
                <c:pt idx="522">
                  <c:v>2865</c:v>
                </c:pt>
                <c:pt idx="523">
                  <c:v>2867</c:v>
                </c:pt>
                <c:pt idx="524">
                  <c:v>2869</c:v>
                </c:pt>
                <c:pt idx="525">
                  <c:v>2871</c:v>
                </c:pt>
                <c:pt idx="526">
                  <c:v>2873</c:v>
                </c:pt>
                <c:pt idx="527">
                  <c:v>2875</c:v>
                </c:pt>
                <c:pt idx="528">
                  <c:v>2877</c:v>
                </c:pt>
                <c:pt idx="529">
                  <c:v>2879</c:v>
                </c:pt>
                <c:pt idx="530">
                  <c:v>2881</c:v>
                </c:pt>
                <c:pt idx="531">
                  <c:v>2883</c:v>
                </c:pt>
                <c:pt idx="532">
                  <c:v>2885</c:v>
                </c:pt>
                <c:pt idx="533">
                  <c:v>2887</c:v>
                </c:pt>
                <c:pt idx="534">
                  <c:v>2889</c:v>
                </c:pt>
                <c:pt idx="535">
                  <c:v>2891</c:v>
                </c:pt>
                <c:pt idx="536">
                  <c:v>2893</c:v>
                </c:pt>
                <c:pt idx="537">
                  <c:v>2895</c:v>
                </c:pt>
                <c:pt idx="538">
                  <c:v>2897</c:v>
                </c:pt>
                <c:pt idx="539">
                  <c:v>2899</c:v>
                </c:pt>
                <c:pt idx="540">
                  <c:v>2901</c:v>
                </c:pt>
                <c:pt idx="541">
                  <c:v>2903</c:v>
                </c:pt>
                <c:pt idx="542">
                  <c:v>2905</c:v>
                </c:pt>
                <c:pt idx="543">
                  <c:v>2907</c:v>
                </c:pt>
                <c:pt idx="544">
                  <c:v>2909</c:v>
                </c:pt>
                <c:pt idx="545">
                  <c:v>2911</c:v>
                </c:pt>
                <c:pt idx="546">
                  <c:v>2913</c:v>
                </c:pt>
                <c:pt idx="547">
                  <c:v>2915</c:v>
                </c:pt>
                <c:pt idx="548">
                  <c:v>2917</c:v>
                </c:pt>
                <c:pt idx="549">
                  <c:v>2919</c:v>
                </c:pt>
                <c:pt idx="550">
                  <c:v>2921</c:v>
                </c:pt>
                <c:pt idx="551">
                  <c:v>2923</c:v>
                </c:pt>
                <c:pt idx="552">
                  <c:v>2925</c:v>
                </c:pt>
                <c:pt idx="553">
                  <c:v>2927</c:v>
                </c:pt>
                <c:pt idx="554">
                  <c:v>2929</c:v>
                </c:pt>
                <c:pt idx="555">
                  <c:v>2931</c:v>
                </c:pt>
                <c:pt idx="556">
                  <c:v>2933</c:v>
                </c:pt>
                <c:pt idx="557">
                  <c:v>2935</c:v>
                </c:pt>
                <c:pt idx="558">
                  <c:v>2937</c:v>
                </c:pt>
                <c:pt idx="559">
                  <c:v>2939</c:v>
                </c:pt>
                <c:pt idx="560">
                  <c:v>2941</c:v>
                </c:pt>
                <c:pt idx="561">
                  <c:v>2943</c:v>
                </c:pt>
                <c:pt idx="562">
                  <c:v>2945</c:v>
                </c:pt>
                <c:pt idx="563">
                  <c:v>2947</c:v>
                </c:pt>
                <c:pt idx="564">
                  <c:v>2949</c:v>
                </c:pt>
                <c:pt idx="565">
                  <c:v>2951</c:v>
                </c:pt>
                <c:pt idx="566">
                  <c:v>2953</c:v>
                </c:pt>
                <c:pt idx="567">
                  <c:v>2955</c:v>
                </c:pt>
                <c:pt idx="568">
                  <c:v>2957</c:v>
                </c:pt>
                <c:pt idx="569">
                  <c:v>2959</c:v>
                </c:pt>
                <c:pt idx="570">
                  <c:v>2961</c:v>
                </c:pt>
                <c:pt idx="571">
                  <c:v>2963</c:v>
                </c:pt>
                <c:pt idx="572">
                  <c:v>2965</c:v>
                </c:pt>
                <c:pt idx="573">
                  <c:v>2967</c:v>
                </c:pt>
                <c:pt idx="574">
                  <c:v>2969</c:v>
                </c:pt>
                <c:pt idx="575">
                  <c:v>2971</c:v>
                </c:pt>
                <c:pt idx="576">
                  <c:v>2973</c:v>
                </c:pt>
                <c:pt idx="577">
                  <c:v>2975</c:v>
                </c:pt>
                <c:pt idx="578">
                  <c:v>2977</c:v>
                </c:pt>
                <c:pt idx="579">
                  <c:v>2979</c:v>
                </c:pt>
                <c:pt idx="580">
                  <c:v>2981</c:v>
                </c:pt>
                <c:pt idx="581">
                  <c:v>2983</c:v>
                </c:pt>
                <c:pt idx="582">
                  <c:v>2985</c:v>
                </c:pt>
                <c:pt idx="583">
                  <c:v>2987</c:v>
                </c:pt>
                <c:pt idx="584">
                  <c:v>2989</c:v>
                </c:pt>
                <c:pt idx="585">
                  <c:v>2991</c:v>
                </c:pt>
                <c:pt idx="586">
                  <c:v>2993</c:v>
                </c:pt>
              </c:numCache>
            </c:numRef>
          </c:xVal>
          <c:yVal>
            <c:numRef>
              <c:f>'Fig 2d'!$T$5:$T$591</c:f>
              <c:numCache>
                <c:formatCode>General</c:formatCode>
                <c:ptCount val="587"/>
                <c:pt idx="0">
                  <c:v>-3.9731577245570991E-2</c:v>
                </c:pt>
                <c:pt idx="1">
                  <c:v>4.5366339687836758E-2</c:v>
                </c:pt>
                <c:pt idx="2">
                  <c:v>0.11230936114773409</c:v>
                </c:pt>
                <c:pt idx="3">
                  <c:v>0.15422854370746136</c:v>
                </c:pt>
                <c:pt idx="4">
                  <c:v>0.14985886531883585</c:v>
                </c:pt>
                <c:pt idx="5">
                  <c:v>0.18406421627936626</c:v>
                </c:pt>
                <c:pt idx="6">
                  <c:v>0.21061115995199653</c:v>
                </c:pt>
                <c:pt idx="7">
                  <c:v>0.22355783822322872</c:v>
                </c:pt>
                <c:pt idx="8">
                  <c:v>0.2396205581643385</c:v>
                </c:pt>
                <c:pt idx="9">
                  <c:v>0.24654366820613463</c:v>
                </c:pt>
                <c:pt idx="10">
                  <c:v>0.24629511245135138</c:v>
                </c:pt>
                <c:pt idx="11">
                  <c:v>0.24769819449914904</c:v>
                </c:pt>
                <c:pt idx="12">
                  <c:v>0.26743704532313778</c:v>
                </c:pt>
                <c:pt idx="13">
                  <c:v>0.2855418381319566</c:v>
                </c:pt>
                <c:pt idx="14">
                  <c:v>0.28750640192260252</c:v>
                </c:pt>
                <c:pt idx="15">
                  <c:v>0.29680907129476658</c:v>
                </c:pt>
                <c:pt idx="16">
                  <c:v>0.31880209243392649</c:v>
                </c:pt>
                <c:pt idx="17">
                  <c:v>0.33719654948871514</c:v>
                </c:pt>
                <c:pt idx="18">
                  <c:v>0.35629034152594952</c:v>
                </c:pt>
                <c:pt idx="19">
                  <c:v>0.3662725582478995</c:v>
                </c:pt>
                <c:pt idx="20">
                  <c:v>0.37320700694593079</c:v>
                </c:pt>
                <c:pt idx="21">
                  <c:v>0.39363175087099822</c:v>
                </c:pt>
                <c:pt idx="22">
                  <c:v>0.42043553332568495</c:v>
                </c:pt>
                <c:pt idx="23">
                  <c:v>0.44196392209052782</c:v>
                </c:pt>
                <c:pt idx="24">
                  <c:v>0.47186105447225896</c:v>
                </c:pt>
                <c:pt idx="25">
                  <c:v>0.51047592875410464</c:v>
                </c:pt>
                <c:pt idx="26">
                  <c:v>0.54920039441333612</c:v>
                </c:pt>
                <c:pt idx="27">
                  <c:v>0.58112972568819521</c:v>
                </c:pt>
                <c:pt idx="28">
                  <c:v>0.61097812674048857</c:v>
                </c:pt>
                <c:pt idx="29">
                  <c:v>0.63815170162874513</c:v>
                </c:pt>
                <c:pt idx="30">
                  <c:v>0.6585859082631077</c:v>
                </c:pt>
                <c:pt idx="31">
                  <c:v>0.67342068023392099</c:v>
                </c:pt>
                <c:pt idx="32">
                  <c:v>0.69231301721500638</c:v>
                </c:pt>
                <c:pt idx="33">
                  <c:v>0.71001674699774597</c:v>
                </c:pt>
                <c:pt idx="34">
                  <c:v>0.71981945724277807</c:v>
                </c:pt>
                <c:pt idx="35">
                  <c:v>0.72707013648156638</c:v>
                </c:pt>
                <c:pt idx="36">
                  <c:v>0.73944124176233739</c:v>
                </c:pt>
                <c:pt idx="37">
                  <c:v>0.75052938692870153</c:v>
                </c:pt>
                <c:pt idx="38">
                  <c:v>0.76016142207781645</c:v>
                </c:pt>
                <c:pt idx="39">
                  <c:v>0.77016518332889017</c:v>
                </c:pt>
                <c:pt idx="40">
                  <c:v>0.78652525889843672</c:v>
                </c:pt>
                <c:pt idx="41">
                  <c:v>0.79804920097005005</c:v>
                </c:pt>
                <c:pt idx="42">
                  <c:v>0.7994787302621561</c:v>
                </c:pt>
                <c:pt idx="43">
                  <c:v>0.81388901873082586</c:v>
                </c:pt>
                <c:pt idx="44">
                  <c:v>0.83208954255518564</c:v>
                </c:pt>
                <c:pt idx="45">
                  <c:v>0.83756022232181004</c:v>
                </c:pt>
                <c:pt idx="46">
                  <c:v>0.84309784453358072</c:v>
                </c:pt>
                <c:pt idx="47">
                  <c:v>0.8560030752001434</c:v>
                </c:pt>
                <c:pt idx="48">
                  <c:v>0.87464373946844409</c:v>
                </c:pt>
                <c:pt idx="49">
                  <c:v>0.88787912236663469</c:v>
                </c:pt>
                <c:pt idx="50">
                  <c:v>0.89628757833727279</c:v>
                </c:pt>
                <c:pt idx="51">
                  <c:v>0.9067052600661657</c:v>
                </c:pt>
                <c:pt idx="52">
                  <c:v>0.91578679136964136</c:v>
                </c:pt>
                <c:pt idx="53">
                  <c:v>0.91267749589357861</c:v>
                </c:pt>
                <c:pt idx="54">
                  <c:v>0.90200218892794715</c:v>
                </c:pt>
                <c:pt idx="55">
                  <c:v>0.89526870826138105</c:v>
                </c:pt>
                <c:pt idx="56">
                  <c:v>0.89147040633383001</c:v>
                </c:pt>
                <c:pt idx="57">
                  <c:v>0.88405768857023792</c:v>
                </c:pt>
                <c:pt idx="58">
                  <c:v>0.88433511226240524</c:v>
                </c:pt>
                <c:pt idx="59">
                  <c:v>0.90485019385555743</c:v>
                </c:pt>
                <c:pt idx="60">
                  <c:v>0.91836872929926694</c:v>
                </c:pt>
                <c:pt idx="61">
                  <c:v>0.9270627188250139</c:v>
                </c:pt>
                <c:pt idx="62">
                  <c:v>0.94639774320877312</c:v>
                </c:pt>
                <c:pt idx="63">
                  <c:v>0.96026842275442903</c:v>
                </c:pt>
                <c:pt idx="64">
                  <c:v>0.95842052843328795</c:v>
                </c:pt>
                <c:pt idx="65">
                  <c:v>0.95354541853002284</c:v>
                </c:pt>
                <c:pt idx="66">
                  <c:v>0.94225438248657445</c:v>
                </c:pt>
                <c:pt idx="67">
                  <c:v>0.92681323231193702</c:v>
                </c:pt>
                <c:pt idx="68">
                  <c:v>0.90907006435230842</c:v>
                </c:pt>
                <c:pt idx="69">
                  <c:v>0.89918341991193063</c:v>
                </c:pt>
                <c:pt idx="70">
                  <c:v>0.88238357908783216</c:v>
                </c:pt>
                <c:pt idx="71">
                  <c:v>0.86038499865205798</c:v>
                </c:pt>
                <c:pt idx="72">
                  <c:v>0.845506849015777</c:v>
                </c:pt>
                <c:pt idx="73">
                  <c:v>0.82820946377127647</c:v>
                </c:pt>
                <c:pt idx="74">
                  <c:v>0.8063996468890654</c:v>
                </c:pt>
                <c:pt idx="75">
                  <c:v>0.78794982414632153</c:v>
                </c:pt>
                <c:pt idx="76">
                  <c:v>0.76710157437607318</c:v>
                </c:pt>
                <c:pt idx="77">
                  <c:v>0.74769071844472779</c:v>
                </c:pt>
                <c:pt idx="78">
                  <c:v>0.73861439650161376</c:v>
                </c:pt>
                <c:pt idx="79">
                  <c:v>0.73355581898731181</c:v>
                </c:pt>
                <c:pt idx="80">
                  <c:v>0.72064208883806236</c:v>
                </c:pt>
                <c:pt idx="81">
                  <c:v>0.718665749872759</c:v>
                </c:pt>
                <c:pt idx="82">
                  <c:v>0.72317512227391756</c:v>
                </c:pt>
                <c:pt idx="83">
                  <c:v>0.72365360418730462</c:v>
                </c:pt>
                <c:pt idx="84">
                  <c:v>0.7258249839132479</c:v>
                </c:pt>
                <c:pt idx="85">
                  <c:v>0.73434611214336609</c:v>
                </c:pt>
                <c:pt idx="86">
                  <c:v>0.74108419609512433</c:v>
                </c:pt>
                <c:pt idx="87">
                  <c:v>0.74330274867150903</c:v>
                </c:pt>
                <c:pt idx="88">
                  <c:v>0.74738050897214103</c:v>
                </c:pt>
                <c:pt idx="89">
                  <c:v>0.74437606449983762</c:v>
                </c:pt>
                <c:pt idx="90">
                  <c:v>0.73168099761235117</c:v>
                </c:pt>
                <c:pt idx="91">
                  <c:v>0.71275537700338698</c:v>
                </c:pt>
                <c:pt idx="92">
                  <c:v>0.68022613232648066</c:v>
                </c:pt>
                <c:pt idx="93">
                  <c:v>0.65246133832873465</c:v>
                </c:pt>
                <c:pt idx="94">
                  <c:v>0.62729413198722972</c:v>
                </c:pt>
                <c:pt idx="95">
                  <c:v>0.60088610940091958</c:v>
                </c:pt>
                <c:pt idx="96">
                  <c:v>0.56644817529155034</c:v>
                </c:pt>
                <c:pt idx="97">
                  <c:v>0.53240220586558396</c:v>
                </c:pt>
                <c:pt idx="98">
                  <c:v>0.49855490643607681</c:v>
                </c:pt>
                <c:pt idx="99">
                  <c:v>0.46311907678067021</c:v>
                </c:pt>
                <c:pt idx="100">
                  <c:v>0.43153422708601691</c:v>
                </c:pt>
                <c:pt idx="101">
                  <c:v>0.40267745880304046</c:v>
                </c:pt>
                <c:pt idx="102">
                  <c:v>0.37418064505495413</c:v>
                </c:pt>
                <c:pt idx="103">
                  <c:v>0.35293814338906465</c:v>
                </c:pt>
                <c:pt idx="104">
                  <c:v>0.33422533453043735</c:v>
                </c:pt>
                <c:pt idx="105">
                  <c:v>0.32903291541692381</c:v>
                </c:pt>
                <c:pt idx="106">
                  <c:v>0.32828595663525467</c:v>
                </c:pt>
                <c:pt idx="107">
                  <c:v>0.31828369614173563</c:v>
                </c:pt>
                <c:pt idx="108">
                  <c:v>0.31548983753656934</c:v>
                </c:pt>
                <c:pt idx="109">
                  <c:v>0.33135065508033462</c:v>
                </c:pt>
                <c:pt idx="110">
                  <c:v>0.34325235153726052</c:v>
                </c:pt>
                <c:pt idx="111">
                  <c:v>0.34638595134900757</c:v>
                </c:pt>
                <c:pt idx="112">
                  <c:v>0.35946749216749935</c:v>
                </c:pt>
                <c:pt idx="113">
                  <c:v>0.38145716546288466</c:v>
                </c:pt>
                <c:pt idx="114">
                  <c:v>0.38925284336455163</c:v>
                </c:pt>
                <c:pt idx="115">
                  <c:v>0.39086425653556334</c:v>
                </c:pt>
                <c:pt idx="116">
                  <c:v>0.39274965897280123</c:v>
                </c:pt>
                <c:pt idx="117">
                  <c:v>0.3730743414211492</c:v>
                </c:pt>
                <c:pt idx="118">
                  <c:v>0.33105528001895934</c:v>
                </c:pt>
                <c:pt idx="119">
                  <c:v>0.30093912000884715</c:v>
                </c:pt>
                <c:pt idx="120">
                  <c:v>0.26389576977233725</c:v>
                </c:pt>
                <c:pt idx="121">
                  <c:v>0.20819151668608038</c:v>
                </c:pt>
                <c:pt idx="122">
                  <c:v>0.16741564171550924</c:v>
                </c:pt>
                <c:pt idx="123">
                  <c:v>0.13965614185649239</c:v>
                </c:pt>
                <c:pt idx="124">
                  <c:v>0.11155503747051858</c:v>
                </c:pt>
                <c:pt idx="125">
                  <c:v>9.1088493298828066E-2</c:v>
                </c:pt>
                <c:pt idx="126">
                  <c:v>7.1383200279579201E-2</c:v>
                </c:pt>
                <c:pt idx="127">
                  <c:v>6.2770467666245111E-2</c:v>
                </c:pt>
                <c:pt idx="128">
                  <c:v>6.2687444387445931E-2</c:v>
                </c:pt>
                <c:pt idx="129">
                  <c:v>5.1132661477516238E-2</c:v>
                </c:pt>
                <c:pt idx="130">
                  <c:v>4.4756872033891539E-2</c:v>
                </c:pt>
                <c:pt idx="131">
                  <c:v>4.541869213601344E-2</c:v>
                </c:pt>
                <c:pt idx="132">
                  <c:v>4.2353779715735236E-2</c:v>
                </c:pt>
                <c:pt idx="133">
                  <c:v>4.0192855688305655E-2</c:v>
                </c:pt>
                <c:pt idx="134">
                  <c:v>4.4598081129496883E-2</c:v>
                </c:pt>
                <c:pt idx="135">
                  <c:v>4.6429954931389482E-2</c:v>
                </c:pt>
                <c:pt idx="136">
                  <c:v>4.4308571446222952E-2</c:v>
                </c:pt>
                <c:pt idx="137">
                  <c:v>4.2263264373831946E-2</c:v>
                </c:pt>
                <c:pt idx="138">
                  <c:v>3.6983804253324183E-2</c:v>
                </c:pt>
                <c:pt idx="139">
                  <c:v>3.6498570734738445E-2</c:v>
                </c:pt>
                <c:pt idx="140">
                  <c:v>3.2241103059508287E-2</c:v>
                </c:pt>
                <c:pt idx="141">
                  <c:v>3.5435152781279095E-2</c:v>
                </c:pt>
                <c:pt idx="142">
                  <c:v>3.8351505986869351E-2</c:v>
                </c:pt>
                <c:pt idx="143">
                  <c:v>4.1024873557061282E-2</c:v>
                </c:pt>
                <c:pt idx="144">
                  <c:v>4.4248686575026008E-2</c:v>
                </c:pt>
                <c:pt idx="145">
                  <c:v>4.5551503542726898E-2</c:v>
                </c:pt>
                <c:pt idx="146">
                  <c:v>4.2289192125140054E-2</c:v>
                </c:pt>
                <c:pt idx="147">
                  <c:v>4.8045810849825725E-2</c:v>
                </c:pt>
                <c:pt idx="148">
                  <c:v>5.4124364842864897E-2</c:v>
                </c:pt>
                <c:pt idx="149">
                  <c:v>5.1875898578867562E-2</c:v>
                </c:pt>
                <c:pt idx="150">
                  <c:v>5.1436239297280452E-2</c:v>
                </c:pt>
                <c:pt idx="151">
                  <c:v>5.855634563912062E-2</c:v>
                </c:pt>
                <c:pt idx="152">
                  <c:v>6.1610257389277827E-2</c:v>
                </c:pt>
                <c:pt idx="153">
                  <c:v>5.7695840659231175E-2</c:v>
                </c:pt>
                <c:pt idx="154">
                  <c:v>5.7524007301356796E-2</c:v>
                </c:pt>
                <c:pt idx="155">
                  <c:v>6.2642953329427639E-2</c:v>
                </c:pt>
                <c:pt idx="156">
                  <c:v>7.0197618947578352E-2</c:v>
                </c:pt>
                <c:pt idx="157">
                  <c:v>6.9486315333446069E-2</c:v>
                </c:pt>
                <c:pt idx="158">
                  <c:v>6.6657675499487229E-2</c:v>
                </c:pt>
                <c:pt idx="159">
                  <c:v>7.7233982521834124E-2</c:v>
                </c:pt>
                <c:pt idx="160">
                  <c:v>8.1991541350724173E-2</c:v>
                </c:pt>
                <c:pt idx="161">
                  <c:v>7.9082077515187546E-2</c:v>
                </c:pt>
                <c:pt idx="162">
                  <c:v>8.6101975596478211E-2</c:v>
                </c:pt>
                <c:pt idx="163">
                  <c:v>9.6385326897678064E-2</c:v>
                </c:pt>
                <c:pt idx="164">
                  <c:v>9.9504113041857148E-2</c:v>
                </c:pt>
                <c:pt idx="165">
                  <c:v>0.10451467262769872</c:v>
                </c:pt>
                <c:pt idx="166">
                  <c:v>0.11045107155521153</c:v>
                </c:pt>
                <c:pt idx="167">
                  <c:v>0.11907615340100675</c:v>
                </c:pt>
                <c:pt idx="168">
                  <c:v>0.12281864680889677</c:v>
                </c:pt>
                <c:pt idx="169">
                  <c:v>0.1166510689870584</c:v>
                </c:pt>
                <c:pt idx="170">
                  <c:v>0.11714178243527233</c:v>
                </c:pt>
                <c:pt idx="171">
                  <c:v>0.12200608489996984</c:v>
                </c:pt>
                <c:pt idx="172">
                  <c:v>0.11825871222623306</c:v>
                </c:pt>
                <c:pt idx="173">
                  <c:v>0.11761131030959453</c:v>
                </c:pt>
                <c:pt idx="174">
                  <c:v>0.12030696850367383</c:v>
                </c:pt>
                <c:pt idx="175">
                  <c:v>0.11971441458578536</c:v>
                </c:pt>
                <c:pt idx="176">
                  <c:v>0.11708020628065932</c:v>
                </c:pt>
                <c:pt idx="177">
                  <c:v>0.11141700294950946</c:v>
                </c:pt>
                <c:pt idx="178">
                  <c:v>0.10587336868854498</c:v>
                </c:pt>
                <c:pt idx="179">
                  <c:v>0.10653801308290377</c:v>
                </c:pt>
                <c:pt idx="180">
                  <c:v>0.10450170604635171</c:v>
                </c:pt>
                <c:pt idx="181">
                  <c:v>0.10381153253941038</c:v>
                </c:pt>
                <c:pt idx="182">
                  <c:v>0.10458015399878462</c:v>
                </c:pt>
                <c:pt idx="183">
                  <c:v>0.10373908040201503</c:v>
                </c:pt>
                <c:pt idx="184">
                  <c:v>0.1041478068517364</c:v>
                </c:pt>
                <c:pt idx="185">
                  <c:v>0.10686478319864957</c:v>
                </c:pt>
                <c:pt idx="186">
                  <c:v>0.11309147860232813</c:v>
                </c:pt>
                <c:pt idx="187">
                  <c:v>0.12213969471150625</c:v>
                </c:pt>
                <c:pt idx="188">
                  <c:v>0.13383222308427353</c:v>
                </c:pt>
                <c:pt idx="189">
                  <c:v>0.14266467372857727</c:v>
                </c:pt>
                <c:pt idx="190">
                  <c:v>0.14775696958538723</c:v>
                </c:pt>
                <c:pt idx="191">
                  <c:v>0.16004159731966891</c:v>
                </c:pt>
                <c:pt idx="192">
                  <c:v>0.16200162636933854</c:v>
                </c:pt>
                <c:pt idx="193">
                  <c:v>0.16080469104884401</c:v>
                </c:pt>
                <c:pt idx="194">
                  <c:v>0.16526166861264235</c:v>
                </c:pt>
                <c:pt idx="195">
                  <c:v>0.1621433577684821</c:v>
                </c:pt>
                <c:pt idx="196">
                  <c:v>0.1568604043732158</c:v>
                </c:pt>
                <c:pt idx="197">
                  <c:v>0.1593448850553533</c:v>
                </c:pt>
                <c:pt idx="198">
                  <c:v>0.16073518360701095</c:v>
                </c:pt>
                <c:pt idx="199">
                  <c:v>0.15630064705851932</c:v>
                </c:pt>
                <c:pt idx="200">
                  <c:v>0.15498891280408092</c:v>
                </c:pt>
                <c:pt idx="201">
                  <c:v>0.15999698585832522</c:v>
                </c:pt>
                <c:pt idx="202">
                  <c:v>0.1587107572671328</c:v>
                </c:pt>
                <c:pt idx="203">
                  <c:v>0.14425383528277205</c:v>
                </c:pt>
                <c:pt idx="204">
                  <c:v>0.13527356362694015</c:v>
                </c:pt>
                <c:pt idx="205">
                  <c:v>0.14553210913740747</c:v>
                </c:pt>
                <c:pt idx="206">
                  <c:v>0.14284417118651715</c:v>
                </c:pt>
                <c:pt idx="207">
                  <c:v>0.14066657919011868</c:v>
                </c:pt>
                <c:pt idx="208">
                  <c:v>0.14270534389754555</c:v>
                </c:pt>
                <c:pt idx="209">
                  <c:v>0.14010299241834492</c:v>
                </c:pt>
                <c:pt idx="210">
                  <c:v>0.14002048502495493</c:v>
                </c:pt>
                <c:pt idx="211">
                  <c:v>0.14238939655262539</c:v>
                </c:pt>
                <c:pt idx="212">
                  <c:v>0.14470198638091855</c:v>
                </c:pt>
                <c:pt idx="213">
                  <c:v>0.15057522632358519</c:v>
                </c:pt>
                <c:pt idx="214">
                  <c:v>0.14817868606579218</c:v>
                </c:pt>
                <c:pt idx="215">
                  <c:v>0.13848810153030716</c:v>
                </c:pt>
                <c:pt idx="216">
                  <c:v>0.1463421538502194</c:v>
                </c:pt>
                <c:pt idx="217">
                  <c:v>0.15884430124014662</c:v>
                </c:pt>
                <c:pt idx="218">
                  <c:v>0.15251185293513944</c:v>
                </c:pt>
                <c:pt idx="219">
                  <c:v>0.15619355574119889</c:v>
                </c:pt>
                <c:pt idx="220">
                  <c:v>0.15842477095944868</c:v>
                </c:pt>
                <c:pt idx="221">
                  <c:v>0.13698466894761835</c:v>
                </c:pt>
                <c:pt idx="222">
                  <c:v>0.13390617688112091</c:v>
                </c:pt>
                <c:pt idx="223">
                  <c:v>0.13580704145027683</c:v>
                </c:pt>
                <c:pt idx="224">
                  <c:v>0.13196879087181373</c:v>
                </c:pt>
                <c:pt idx="225">
                  <c:v>0.12359900466133378</c:v>
                </c:pt>
                <c:pt idx="226">
                  <c:v>0.11144526481172597</c:v>
                </c:pt>
                <c:pt idx="227">
                  <c:v>9.8019604073957059E-2</c:v>
                </c:pt>
                <c:pt idx="228">
                  <c:v>8.695593730950589E-2</c:v>
                </c:pt>
                <c:pt idx="229">
                  <c:v>8.6564273859889129E-2</c:v>
                </c:pt>
                <c:pt idx="230">
                  <c:v>8.3036713465417508E-2</c:v>
                </c:pt>
                <c:pt idx="231">
                  <c:v>7.2246656268314086E-2</c:v>
                </c:pt>
                <c:pt idx="232">
                  <c:v>7.1360525672801711E-2</c:v>
                </c:pt>
                <c:pt idx="233">
                  <c:v>6.8887375529821368E-2</c:v>
                </c:pt>
                <c:pt idx="234">
                  <c:v>6.9819559720889268E-2</c:v>
                </c:pt>
                <c:pt idx="235">
                  <c:v>7.9003699008867848E-2</c:v>
                </c:pt>
                <c:pt idx="236">
                  <c:v>7.9727927266109916E-2</c:v>
                </c:pt>
                <c:pt idx="237">
                  <c:v>7.9776707298016614E-2</c:v>
                </c:pt>
                <c:pt idx="238">
                  <c:v>8.3302787678577836E-2</c:v>
                </c:pt>
                <c:pt idx="239">
                  <c:v>8.8362833482121969E-2</c:v>
                </c:pt>
                <c:pt idx="240">
                  <c:v>8.9058659181127306E-2</c:v>
                </c:pt>
                <c:pt idx="241">
                  <c:v>8.7677360665309345E-2</c:v>
                </c:pt>
                <c:pt idx="242">
                  <c:v>8.9350485275569533E-2</c:v>
                </c:pt>
                <c:pt idx="243">
                  <c:v>8.7790762559918842E-2</c:v>
                </c:pt>
                <c:pt idx="244">
                  <c:v>9.1339120712326888E-2</c:v>
                </c:pt>
                <c:pt idx="245">
                  <c:v>0.10508286088086824</c:v>
                </c:pt>
                <c:pt idx="246">
                  <c:v>0.10698012417303211</c:v>
                </c:pt>
                <c:pt idx="247">
                  <c:v>0.11240675796808761</c:v>
                </c:pt>
                <c:pt idx="248">
                  <c:v>0.10956398134068655</c:v>
                </c:pt>
                <c:pt idx="249">
                  <c:v>0.10235315605356668</c:v>
                </c:pt>
                <c:pt idx="250">
                  <c:v>9.9498388697988119E-2</c:v>
                </c:pt>
                <c:pt idx="251">
                  <c:v>9.5797666675997553E-2</c:v>
                </c:pt>
                <c:pt idx="252">
                  <c:v>8.6795690855172539E-2</c:v>
                </c:pt>
                <c:pt idx="253">
                  <c:v>8.299644464086775E-2</c:v>
                </c:pt>
                <c:pt idx="254">
                  <c:v>8.441388850555108E-2</c:v>
                </c:pt>
                <c:pt idx="255">
                  <c:v>8.3356598495123252E-2</c:v>
                </c:pt>
                <c:pt idx="256">
                  <c:v>7.9468665085286994E-2</c:v>
                </c:pt>
                <c:pt idx="257">
                  <c:v>7.6666729085494517E-2</c:v>
                </c:pt>
                <c:pt idx="258">
                  <c:v>8.0642204280949314E-2</c:v>
                </c:pt>
                <c:pt idx="259">
                  <c:v>8.6621937582848418E-2</c:v>
                </c:pt>
                <c:pt idx="260">
                  <c:v>9.2579471577989236E-2</c:v>
                </c:pt>
                <c:pt idx="261">
                  <c:v>9.851493974721115E-2</c:v>
                </c:pt>
                <c:pt idx="262">
                  <c:v>9.9116155489350516E-2</c:v>
                </c:pt>
                <c:pt idx="263">
                  <c:v>9.6273981329525277E-2</c:v>
                </c:pt>
                <c:pt idx="264">
                  <c:v>9.4239868609758679E-2</c:v>
                </c:pt>
                <c:pt idx="265">
                  <c:v>0.10111379276574213</c:v>
                </c:pt>
                <c:pt idx="266">
                  <c:v>0.10311912232649828</c:v>
                </c:pt>
                <c:pt idx="267">
                  <c:v>8.9443883082103076E-2</c:v>
                </c:pt>
                <c:pt idx="268">
                  <c:v>8.0289372031157616E-2</c:v>
                </c:pt>
                <c:pt idx="269">
                  <c:v>8.1301939646841279E-2</c:v>
                </c:pt>
                <c:pt idx="270">
                  <c:v>7.4210077354740014E-2</c:v>
                </c:pt>
                <c:pt idx="271">
                  <c:v>6.3198156061401833E-2</c:v>
                </c:pt>
                <c:pt idx="272">
                  <c:v>5.8632262641501072E-2</c:v>
                </c:pt>
                <c:pt idx="273">
                  <c:v>6.0142877034530376E-2</c:v>
                </c:pt>
                <c:pt idx="274">
                  <c:v>5.6861075159532676E-2</c:v>
                </c:pt>
                <c:pt idx="275">
                  <c:v>5.7737104953222589E-2</c:v>
                </c:pt>
                <c:pt idx="276">
                  <c:v>5.7803372328039768E-2</c:v>
                </c:pt>
                <c:pt idx="277">
                  <c:v>5.2942964257044166E-2</c:v>
                </c:pt>
                <c:pt idx="278">
                  <c:v>4.8455615292615939E-2</c:v>
                </c:pt>
                <c:pt idx="279">
                  <c:v>4.6801616322199452E-2</c:v>
                </c:pt>
                <c:pt idx="280">
                  <c:v>5.4374584598662817E-2</c:v>
                </c:pt>
                <c:pt idx="281">
                  <c:v>5.8276964603756101E-2</c:v>
                </c:pt>
                <c:pt idx="282">
                  <c:v>5.7529579675485769E-2</c:v>
                </c:pt>
                <c:pt idx="283">
                  <c:v>5.4561413581939493E-2</c:v>
                </c:pt>
                <c:pt idx="284">
                  <c:v>5.7961223793379153E-2</c:v>
                </c:pt>
                <c:pt idx="285">
                  <c:v>6.9777726104057761E-2</c:v>
                </c:pt>
                <c:pt idx="286">
                  <c:v>7.5074775256426696E-2</c:v>
                </c:pt>
                <c:pt idx="287">
                  <c:v>7.0535396723151345E-2</c:v>
                </c:pt>
                <c:pt idx="288">
                  <c:v>7.1533634539312801E-2</c:v>
                </c:pt>
                <c:pt idx="289">
                  <c:v>7.5499418394442477E-2</c:v>
                </c:pt>
                <c:pt idx="290">
                  <c:v>8.0815270307325923E-2</c:v>
                </c:pt>
                <c:pt idx="291">
                  <c:v>7.9824051508993507E-2</c:v>
                </c:pt>
                <c:pt idx="292">
                  <c:v>6.8115727753154873E-2</c:v>
                </c:pt>
                <c:pt idx="293">
                  <c:v>5.1698266245100426E-2</c:v>
                </c:pt>
                <c:pt idx="294">
                  <c:v>4.3157686790117139E-2</c:v>
                </c:pt>
                <c:pt idx="295">
                  <c:v>2.9422171927403273E-2</c:v>
                </c:pt>
                <c:pt idx="296">
                  <c:v>2.8136153703818827E-2</c:v>
                </c:pt>
                <c:pt idx="297">
                  <c:v>2.9526052489378809E-2</c:v>
                </c:pt>
                <c:pt idx="298">
                  <c:v>2.2572151890057731E-2</c:v>
                </c:pt>
                <c:pt idx="299">
                  <c:v>2.1151297274243495E-2</c:v>
                </c:pt>
                <c:pt idx="300">
                  <c:v>2.1804328356373217E-2</c:v>
                </c:pt>
                <c:pt idx="301">
                  <c:v>2.2579994340367324E-2</c:v>
                </c:pt>
                <c:pt idx="302">
                  <c:v>2.1701724796802227E-2</c:v>
                </c:pt>
                <c:pt idx="303">
                  <c:v>1.9673848135037617E-2</c:v>
                </c:pt>
                <c:pt idx="304">
                  <c:v>1.6906429108049612E-2</c:v>
                </c:pt>
                <c:pt idx="305">
                  <c:v>1.0546710915414873E-2</c:v>
                </c:pt>
                <c:pt idx="306">
                  <c:v>1.1513287645607592E-2</c:v>
                </c:pt>
                <c:pt idx="307">
                  <c:v>2.0657228090650532E-2</c:v>
                </c:pt>
                <c:pt idx="308">
                  <c:v>2.4504755136557529E-2</c:v>
                </c:pt>
                <c:pt idx="309">
                  <c:v>2.4558588275067843E-2</c:v>
                </c:pt>
                <c:pt idx="310">
                  <c:v>2.6081249313923742E-2</c:v>
                </c:pt>
                <c:pt idx="311">
                  <c:v>2.3097991542883996E-2</c:v>
                </c:pt>
                <c:pt idx="312">
                  <c:v>2.2672629367031738E-2</c:v>
                </c:pt>
                <c:pt idx="313">
                  <c:v>1.8397412122173017E-2</c:v>
                </c:pt>
                <c:pt idx="314">
                  <c:v>1.861294647579527E-2</c:v>
                </c:pt>
                <c:pt idx="315">
                  <c:v>3.1591808285347446E-2</c:v>
                </c:pt>
                <c:pt idx="316">
                  <c:v>3.5530259683705254E-2</c:v>
                </c:pt>
                <c:pt idx="317">
                  <c:v>3.8345605096551084E-2</c:v>
                </c:pt>
                <c:pt idx="318">
                  <c:v>3.8922118315229529E-2</c:v>
                </c:pt>
                <c:pt idx="319">
                  <c:v>4.1138179850528409E-2</c:v>
                </c:pt>
                <c:pt idx="320">
                  <c:v>4.66151904871362E-2</c:v>
                </c:pt>
                <c:pt idx="321">
                  <c:v>5.0339883593659179E-2</c:v>
                </c:pt>
                <c:pt idx="322">
                  <c:v>5.0567040475776273E-2</c:v>
                </c:pt>
                <c:pt idx="323">
                  <c:v>5.8753552532247282E-2</c:v>
                </c:pt>
                <c:pt idx="324">
                  <c:v>6.7538263032541151E-2</c:v>
                </c:pt>
                <c:pt idx="325">
                  <c:v>7.1950995305409063E-2</c:v>
                </c:pt>
                <c:pt idx="326">
                  <c:v>7.8056239378676423E-2</c:v>
                </c:pt>
                <c:pt idx="327">
                  <c:v>8.3306690189357796E-2</c:v>
                </c:pt>
                <c:pt idx="328">
                  <c:v>8.6947516291906182E-2</c:v>
                </c:pt>
                <c:pt idx="329">
                  <c:v>8.975164029520058E-2</c:v>
                </c:pt>
                <c:pt idx="330">
                  <c:v>9.0609268221845646E-2</c:v>
                </c:pt>
                <c:pt idx="331">
                  <c:v>8.9808362437098346E-2</c:v>
                </c:pt>
                <c:pt idx="332">
                  <c:v>9.2218725177030905E-2</c:v>
                </c:pt>
                <c:pt idx="333">
                  <c:v>9.2263306875754861E-2</c:v>
                </c:pt>
                <c:pt idx="334">
                  <c:v>9.024668194984721E-2</c:v>
                </c:pt>
                <c:pt idx="335">
                  <c:v>8.9186538335511573E-2</c:v>
                </c:pt>
                <c:pt idx="336">
                  <c:v>8.6578039522481776E-2</c:v>
                </c:pt>
                <c:pt idx="337">
                  <c:v>8.3431272006230475E-2</c:v>
                </c:pt>
                <c:pt idx="338">
                  <c:v>8.1237317784138494E-2</c:v>
                </c:pt>
                <c:pt idx="339">
                  <c:v>7.9682416612890355E-2</c:v>
                </c:pt>
                <c:pt idx="340">
                  <c:v>7.6079212265527524E-2</c:v>
                </c:pt>
                <c:pt idx="341">
                  <c:v>7.2128144222079679E-2</c:v>
                </c:pt>
                <c:pt idx="342">
                  <c:v>6.738468250313874E-2</c:v>
                </c:pt>
                <c:pt idx="343">
                  <c:v>6.4026464199982133E-2</c:v>
                </c:pt>
                <c:pt idx="344">
                  <c:v>6.3145595274886654E-2</c:v>
                </c:pt>
                <c:pt idx="345">
                  <c:v>6.0149346345791478E-2</c:v>
                </c:pt>
                <c:pt idx="346">
                  <c:v>5.7451189895446231E-2</c:v>
                </c:pt>
                <c:pt idx="347">
                  <c:v>5.6735708240826382E-2</c:v>
                </c:pt>
                <c:pt idx="348">
                  <c:v>5.4478680263208387E-2</c:v>
                </c:pt>
                <c:pt idx="349">
                  <c:v>5.4330353738093237E-2</c:v>
                </c:pt>
                <c:pt idx="350">
                  <c:v>5.3137249678470895E-2</c:v>
                </c:pt>
                <c:pt idx="351">
                  <c:v>5.2654918015312781E-2</c:v>
                </c:pt>
                <c:pt idx="352">
                  <c:v>5.2177885902268982E-2</c:v>
                </c:pt>
                <c:pt idx="353">
                  <c:v>5.1581166570458879E-2</c:v>
                </c:pt>
                <c:pt idx="354">
                  <c:v>5.0969548792709159E-2</c:v>
                </c:pt>
                <c:pt idx="355">
                  <c:v>5.095870753298324E-2</c:v>
                </c:pt>
                <c:pt idx="356">
                  <c:v>5.0056807258480572E-2</c:v>
                </c:pt>
                <c:pt idx="357">
                  <c:v>4.7197845177309856E-2</c:v>
                </c:pt>
                <c:pt idx="358">
                  <c:v>4.706152516357915E-2</c:v>
                </c:pt>
                <c:pt idx="359">
                  <c:v>4.8161454636316874E-2</c:v>
                </c:pt>
                <c:pt idx="360">
                  <c:v>4.523020456310798E-2</c:v>
                </c:pt>
                <c:pt idx="361">
                  <c:v>4.2454752334474731E-2</c:v>
                </c:pt>
                <c:pt idx="362">
                  <c:v>5.0180258546750747E-2</c:v>
                </c:pt>
                <c:pt idx="363">
                  <c:v>5.0907141088537826E-2</c:v>
                </c:pt>
                <c:pt idx="364">
                  <c:v>5.190880386071707E-2</c:v>
                </c:pt>
                <c:pt idx="365">
                  <c:v>5.1738393471731592E-2</c:v>
                </c:pt>
                <c:pt idx="366">
                  <c:v>5.1479008181890704E-2</c:v>
                </c:pt>
                <c:pt idx="367">
                  <c:v>5.1489261404401659E-2</c:v>
                </c:pt>
                <c:pt idx="368">
                  <c:v>4.9934403975185664E-2</c:v>
                </c:pt>
                <c:pt idx="369">
                  <c:v>5.060065960955127E-2</c:v>
                </c:pt>
                <c:pt idx="370">
                  <c:v>5.0535415888474759E-2</c:v>
                </c:pt>
                <c:pt idx="371">
                  <c:v>4.8209301204239746E-2</c:v>
                </c:pt>
                <c:pt idx="372">
                  <c:v>5.1045061068555497E-2</c:v>
                </c:pt>
                <c:pt idx="373">
                  <c:v>5.1815584629902288E-2</c:v>
                </c:pt>
                <c:pt idx="374">
                  <c:v>4.9760590726673631E-2</c:v>
                </c:pt>
                <c:pt idx="375">
                  <c:v>5.0299728859152022E-2</c:v>
                </c:pt>
                <c:pt idx="376">
                  <c:v>4.8745622259661676E-2</c:v>
                </c:pt>
                <c:pt idx="377">
                  <c:v>4.6608569206134674E-2</c:v>
                </c:pt>
                <c:pt idx="378">
                  <c:v>4.6845092294503975E-2</c:v>
                </c:pt>
                <c:pt idx="379">
                  <c:v>4.7797753167974431E-2</c:v>
                </c:pt>
                <c:pt idx="380">
                  <c:v>4.6066601370034259E-2</c:v>
                </c:pt>
                <c:pt idx="381">
                  <c:v>4.3958436095636155E-2</c:v>
                </c:pt>
                <c:pt idx="382">
                  <c:v>4.2469058684659979E-2</c:v>
                </c:pt>
                <c:pt idx="383">
                  <c:v>4.0828059214851616E-2</c:v>
                </c:pt>
                <c:pt idx="384">
                  <c:v>3.6204903867358237E-2</c:v>
                </c:pt>
                <c:pt idx="385">
                  <c:v>3.8886603392765166E-2</c:v>
                </c:pt>
                <c:pt idx="386">
                  <c:v>3.8993957613226861E-2</c:v>
                </c:pt>
                <c:pt idx="387">
                  <c:v>4.0222379981644109E-2</c:v>
                </c:pt>
                <c:pt idx="388">
                  <c:v>4.187326605260136E-2</c:v>
                </c:pt>
                <c:pt idx="389">
                  <c:v>4.2297645385578217E-2</c:v>
                </c:pt>
                <c:pt idx="390">
                  <c:v>4.1286951462093817E-2</c:v>
                </c:pt>
                <c:pt idx="391">
                  <c:v>3.9822107468783952E-2</c:v>
                </c:pt>
                <c:pt idx="392">
                  <c:v>3.9284556676026976E-2</c:v>
                </c:pt>
                <c:pt idx="393">
                  <c:v>3.9969942459724142E-2</c:v>
                </c:pt>
                <c:pt idx="394">
                  <c:v>4.0970488682713309E-2</c:v>
                </c:pt>
                <c:pt idx="395">
                  <c:v>4.1381569085089054E-2</c:v>
                </c:pt>
                <c:pt idx="396">
                  <c:v>3.9906734321460691E-2</c:v>
                </c:pt>
                <c:pt idx="397">
                  <c:v>3.7571971792386978E-2</c:v>
                </c:pt>
                <c:pt idx="398">
                  <c:v>3.7374833218001349E-2</c:v>
                </c:pt>
                <c:pt idx="399">
                  <c:v>3.8199034115053543E-2</c:v>
                </c:pt>
                <c:pt idx="400">
                  <c:v>3.669024967219129E-2</c:v>
                </c:pt>
                <c:pt idx="401">
                  <c:v>3.2584092675657185E-2</c:v>
                </c:pt>
                <c:pt idx="402">
                  <c:v>3.3918454187250598E-2</c:v>
                </c:pt>
                <c:pt idx="403">
                  <c:v>3.3958066430370297E-2</c:v>
                </c:pt>
                <c:pt idx="404">
                  <c:v>3.223862802710508E-2</c:v>
                </c:pt>
                <c:pt idx="405">
                  <c:v>3.2516219923167632E-2</c:v>
                </c:pt>
                <c:pt idx="406">
                  <c:v>3.0447537469588191E-2</c:v>
                </c:pt>
                <c:pt idx="407">
                  <c:v>2.9061337591432288E-2</c:v>
                </c:pt>
                <c:pt idx="408">
                  <c:v>3.0150245875878924E-2</c:v>
                </c:pt>
                <c:pt idx="409">
                  <c:v>2.8912091581745642E-2</c:v>
                </c:pt>
                <c:pt idx="410">
                  <c:v>2.5994078433679936E-2</c:v>
                </c:pt>
                <c:pt idx="411">
                  <c:v>2.6219153059785075E-2</c:v>
                </c:pt>
                <c:pt idx="412">
                  <c:v>2.5101515504707163E-2</c:v>
                </c:pt>
                <c:pt idx="413">
                  <c:v>2.3792433505544303E-2</c:v>
                </c:pt>
                <c:pt idx="414">
                  <c:v>2.1289181403832694E-2</c:v>
                </c:pt>
                <c:pt idx="415">
                  <c:v>1.8042513850525545E-2</c:v>
                </c:pt>
                <c:pt idx="416">
                  <c:v>1.8691537153518175E-2</c:v>
                </c:pt>
                <c:pt idx="417">
                  <c:v>1.8297905988880609E-2</c:v>
                </c:pt>
                <c:pt idx="418">
                  <c:v>1.7723716734762408E-2</c:v>
                </c:pt>
                <c:pt idx="419">
                  <c:v>1.5019348690386703E-2</c:v>
                </c:pt>
                <c:pt idx="420">
                  <c:v>1.2851570466908657E-2</c:v>
                </c:pt>
                <c:pt idx="421">
                  <c:v>1.2405286014886583E-2</c:v>
                </c:pt>
                <c:pt idx="422">
                  <c:v>1.2451887456847194E-2</c:v>
                </c:pt>
                <c:pt idx="423">
                  <c:v>1.2605850616293126E-2</c:v>
                </c:pt>
                <c:pt idx="424">
                  <c:v>1.040497252656537E-2</c:v>
                </c:pt>
                <c:pt idx="425">
                  <c:v>1.2252878403272435E-2</c:v>
                </c:pt>
                <c:pt idx="426">
                  <c:v>1.1946819801508354E-2</c:v>
                </c:pt>
                <c:pt idx="427">
                  <c:v>1.1638451214596173E-2</c:v>
                </c:pt>
                <c:pt idx="428">
                  <c:v>1.3404990034651922E-2</c:v>
                </c:pt>
                <c:pt idx="429">
                  <c:v>8.2718773941505095E-3</c:v>
                </c:pt>
                <c:pt idx="430">
                  <c:v>2.4900441676431904E-3</c:v>
                </c:pt>
                <c:pt idx="431">
                  <c:v>4.2915073328387426E-3</c:v>
                </c:pt>
                <c:pt idx="432">
                  <c:v>1.9534958128954462E-3</c:v>
                </c:pt>
                <c:pt idx="433">
                  <c:v>-1.9064854202790289E-3</c:v>
                </c:pt>
                <c:pt idx="434">
                  <c:v>-3.2231593677017152E-3</c:v>
                </c:pt>
                <c:pt idx="435">
                  <c:v>-2.0329957689504867E-3</c:v>
                </c:pt>
                <c:pt idx="436">
                  <c:v>1.9044552206673356E-4</c:v>
                </c:pt>
                <c:pt idx="437">
                  <c:v>5.8249466042818261E-3</c:v>
                </c:pt>
                <c:pt idx="438">
                  <c:v>5.8370155368428506E-3</c:v>
                </c:pt>
                <c:pt idx="439">
                  <c:v>1.7739885052478446E-2</c:v>
                </c:pt>
                <c:pt idx="440">
                  <c:v>2.3309188671097839E-2</c:v>
                </c:pt>
                <c:pt idx="441">
                  <c:v>2.3845229236376098E-2</c:v>
                </c:pt>
                <c:pt idx="442">
                  <c:v>3.6122097945873094E-2</c:v>
                </c:pt>
                <c:pt idx="443">
                  <c:v>3.5047560046339105E-2</c:v>
                </c:pt>
                <c:pt idx="444">
                  <c:v>3.778178839726596E-2</c:v>
                </c:pt>
                <c:pt idx="445">
                  <c:v>4.021036884803432E-2</c:v>
                </c:pt>
                <c:pt idx="446">
                  <c:v>4.6174656815855891E-2</c:v>
                </c:pt>
                <c:pt idx="447">
                  <c:v>5.4993381481060095E-2</c:v>
                </c:pt>
                <c:pt idx="448">
                  <c:v>5.6891706306662064E-2</c:v>
                </c:pt>
                <c:pt idx="449">
                  <c:v>5.5079725997656259E-2</c:v>
                </c:pt>
                <c:pt idx="450">
                  <c:v>4.9222425741671794E-2</c:v>
                </c:pt>
                <c:pt idx="451">
                  <c:v>5.3509392457108236E-2</c:v>
                </c:pt>
                <c:pt idx="452">
                  <c:v>5.5642154732951525E-2</c:v>
                </c:pt>
                <c:pt idx="453">
                  <c:v>5.8470473942324935E-2</c:v>
                </c:pt>
                <c:pt idx="454">
                  <c:v>5.8749317221264002E-2</c:v>
                </c:pt>
                <c:pt idx="455">
                  <c:v>5.5603315416048411E-2</c:v>
                </c:pt>
                <c:pt idx="456">
                  <c:v>5.5901156716325742E-2</c:v>
                </c:pt>
                <c:pt idx="457">
                  <c:v>5.7980511774785852E-2</c:v>
                </c:pt>
                <c:pt idx="458">
                  <c:v>5.5808600831173082E-2</c:v>
                </c:pt>
                <c:pt idx="459">
                  <c:v>5.7075571203578535E-2</c:v>
                </c:pt>
                <c:pt idx="460">
                  <c:v>5.3861327318818999E-2</c:v>
                </c:pt>
                <c:pt idx="461">
                  <c:v>5.8829329965978651E-2</c:v>
                </c:pt>
                <c:pt idx="462">
                  <c:v>6.4642869700975658E-2</c:v>
                </c:pt>
                <c:pt idx="463">
                  <c:v>6.4413326848840338E-2</c:v>
                </c:pt>
                <c:pt idx="464">
                  <c:v>6.2236211956255595E-2</c:v>
                </c:pt>
                <c:pt idx="465">
                  <c:v>6.047602086039492E-2</c:v>
                </c:pt>
                <c:pt idx="466">
                  <c:v>6.2810403239643126E-2</c:v>
                </c:pt>
                <c:pt idx="467">
                  <c:v>6.4177963149795611E-2</c:v>
                </c:pt>
                <c:pt idx="468">
                  <c:v>6.3957603418705863E-2</c:v>
                </c:pt>
                <c:pt idx="469">
                  <c:v>6.5268263513139857E-2</c:v>
                </c:pt>
                <c:pt idx="470">
                  <c:v>6.4975977450937319E-2</c:v>
                </c:pt>
                <c:pt idx="471">
                  <c:v>6.3678636579799622E-2</c:v>
                </c:pt>
                <c:pt idx="472">
                  <c:v>6.3970642151858256E-2</c:v>
                </c:pt>
                <c:pt idx="473">
                  <c:v>6.4892608745369271E-2</c:v>
                </c:pt>
                <c:pt idx="474">
                  <c:v>6.6514446048481848E-2</c:v>
                </c:pt>
                <c:pt idx="475">
                  <c:v>6.840051228232874E-2</c:v>
                </c:pt>
                <c:pt idx="476">
                  <c:v>6.7674703900545696E-2</c:v>
                </c:pt>
                <c:pt idx="477">
                  <c:v>6.7385892849676249E-2</c:v>
                </c:pt>
                <c:pt idx="478">
                  <c:v>6.7447257960257814E-2</c:v>
                </c:pt>
                <c:pt idx="479">
                  <c:v>6.3810704146493258E-2</c:v>
                </c:pt>
                <c:pt idx="480">
                  <c:v>6.4328847907364997E-2</c:v>
                </c:pt>
                <c:pt idx="481">
                  <c:v>6.7467430703179523E-2</c:v>
                </c:pt>
                <c:pt idx="482">
                  <c:v>7.0111959422185594E-2</c:v>
                </c:pt>
                <c:pt idx="483">
                  <c:v>7.0569179100386237E-2</c:v>
                </c:pt>
                <c:pt idx="484">
                  <c:v>7.3282912223642166E-2</c:v>
                </c:pt>
                <c:pt idx="485">
                  <c:v>7.2880219468656554E-2</c:v>
                </c:pt>
                <c:pt idx="486">
                  <c:v>6.9988791780701082E-2</c:v>
                </c:pt>
                <c:pt idx="487">
                  <c:v>7.1335731606737868E-2</c:v>
                </c:pt>
                <c:pt idx="488">
                  <c:v>7.2240931022547042E-2</c:v>
                </c:pt>
                <c:pt idx="489">
                  <c:v>7.6019756472098909E-2</c:v>
                </c:pt>
                <c:pt idx="490">
                  <c:v>7.7852253597948451E-2</c:v>
                </c:pt>
                <c:pt idx="491">
                  <c:v>7.8505984129827122E-2</c:v>
                </c:pt>
                <c:pt idx="492">
                  <c:v>8.008028151019024E-2</c:v>
                </c:pt>
                <c:pt idx="493">
                  <c:v>8.2636168128543089E-2</c:v>
                </c:pt>
                <c:pt idx="494">
                  <c:v>8.2647886483654759E-2</c:v>
                </c:pt>
                <c:pt idx="495">
                  <c:v>8.3366614969522454E-2</c:v>
                </c:pt>
                <c:pt idx="496">
                  <c:v>8.8558861820600382E-2</c:v>
                </c:pt>
                <c:pt idx="497">
                  <c:v>9.2955975031371943E-2</c:v>
                </c:pt>
                <c:pt idx="498">
                  <c:v>9.1594851964167862E-2</c:v>
                </c:pt>
                <c:pt idx="499">
                  <c:v>9.526070301855788E-2</c:v>
                </c:pt>
                <c:pt idx="500">
                  <c:v>0.10030212824489648</c:v>
                </c:pt>
                <c:pt idx="501">
                  <c:v>9.9781677430043889E-2</c:v>
                </c:pt>
                <c:pt idx="502">
                  <c:v>0.10206056695378095</c:v>
                </c:pt>
                <c:pt idx="503">
                  <c:v>0.1071443056064581</c:v>
                </c:pt>
                <c:pt idx="504">
                  <c:v>0.11226168684224683</c:v>
                </c:pt>
                <c:pt idx="505">
                  <c:v>0.11538970571183796</c:v>
                </c:pt>
                <c:pt idx="506">
                  <c:v>0.11925104306426768</c:v>
                </c:pt>
                <c:pt idx="507">
                  <c:v>0.12522930537123211</c:v>
                </c:pt>
                <c:pt idx="508">
                  <c:v>0.12852005001157341</c:v>
                </c:pt>
                <c:pt idx="509">
                  <c:v>0.13221598295747333</c:v>
                </c:pt>
                <c:pt idx="510">
                  <c:v>0.13749921954857572</c:v>
                </c:pt>
                <c:pt idx="511">
                  <c:v>0.14333003603340097</c:v>
                </c:pt>
                <c:pt idx="512">
                  <c:v>0.14595983225562062</c:v>
                </c:pt>
                <c:pt idx="513">
                  <c:v>0.14923246679278007</c:v>
                </c:pt>
                <c:pt idx="514">
                  <c:v>0.15493561426535449</c:v>
                </c:pt>
                <c:pt idx="515">
                  <c:v>0.15887631860383936</c:v>
                </c:pt>
                <c:pt idx="516">
                  <c:v>0.16444976599083846</c:v>
                </c:pt>
                <c:pt idx="517">
                  <c:v>0.1695261307289932</c:v>
                </c:pt>
                <c:pt idx="518">
                  <c:v>0.17400981167600907</c:v>
                </c:pt>
                <c:pt idx="519">
                  <c:v>0.17920598629099921</c:v>
                </c:pt>
                <c:pt idx="520">
                  <c:v>0.18589438290189836</c:v>
                </c:pt>
                <c:pt idx="521">
                  <c:v>0.19073612439891219</c:v>
                </c:pt>
                <c:pt idx="522">
                  <c:v>0.19582332994584395</c:v>
                </c:pt>
                <c:pt idx="523">
                  <c:v>0.20376100260074603</c:v>
                </c:pt>
                <c:pt idx="524">
                  <c:v>0.20839823882403252</c:v>
                </c:pt>
                <c:pt idx="525">
                  <c:v>0.21526398818045214</c:v>
                </c:pt>
                <c:pt idx="526">
                  <c:v>0.21614005179530124</c:v>
                </c:pt>
                <c:pt idx="527">
                  <c:v>0.21602025454503135</c:v>
                </c:pt>
                <c:pt idx="528">
                  <c:v>0.22289949628908093</c:v>
                </c:pt>
                <c:pt idx="529">
                  <c:v>0.22617784705303132</c:v>
                </c:pt>
                <c:pt idx="530">
                  <c:v>0.22585670297432001</c:v>
                </c:pt>
                <c:pt idx="531">
                  <c:v>0.22822582915361136</c:v>
                </c:pt>
                <c:pt idx="532">
                  <c:v>0.2316883185403909</c:v>
                </c:pt>
                <c:pt idx="533">
                  <c:v>0.23022858289491102</c:v>
                </c:pt>
                <c:pt idx="534">
                  <c:v>0.23046213107414948</c:v>
                </c:pt>
                <c:pt idx="535">
                  <c:v>0.23573216027725444</c:v>
                </c:pt>
                <c:pt idx="536">
                  <c:v>0.23759807811941425</c:v>
                </c:pt>
                <c:pt idx="537">
                  <c:v>0.24210542305484031</c:v>
                </c:pt>
                <c:pt idx="538">
                  <c:v>0.24688047644182129</c:v>
                </c:pt>
                <c:pt idx="539">
                  <c:v>0.24642967196102739</c:v>
                </c:pt>
                <c:pt idx="540">
                  <c:v>0.25038008793253297</c:v>
                </c:pt>
                <c:pt idx="541">
                  <c:v>0.25332866526183384</c:v>
                </c:pt>
                <c:pt idx="542">
                  <c:v>0.24960861196735365</c:v>
                </c:pt>
                <c:pt idx="543">
                  <c:v>0.24784924069638301</c:v>
                </c:pt>
                <c:pt idx="544">
                  <c:v>0.25084110550139627</c:v>
                </c:pt>
                <c:pt idx="545">
                  <c:v>0.25297289192407008</c:v>
                </c:pt>
                <c:pt idx="546">
                  <c:v>0.25192067328367168</c:v>
                </c:pt>
                <c:pt idx="547">
                  <c:v>0.24812190958456612</c:v>
                </c:pt>
                <c:pt idx="548">
                  <c:v>0.24644970490982579</c:v>
                </c:pt>
                <c:pt idx="549">
                  <c:v>0.24492075403732508</c:v>
                </c:pt>
                <c:pt idx="550">
                  <c:v>0.24108119931497779</c:v>
                </c:pt>
                <c:pt idx="551">
                  <c:v>0.23450975356562148</c:v>
                </c:pt>
                <c:pt idx="552">
                  <c:v>0.22606501245199276</c:v>
                </c:pt>
                <c:pt idx="553">
                  <c:v>0.2236891617244279</c:v>
                </c:pt>
                <c:pt idx="554">
                  <c:v>0.226922976786431</c:v>
                </c:pt>
                <c:pt idx="555">
                  <c:v>0.22409713689347444</c:v>
                </c:pt>
                <c:pt idx="556">
                  <c:v>0.22114889507006907</c:v>
                </c:pt>
                <c:pt idx="557">
                  <c:v>0.22354814823574931</c:v>
                </c:pt>
                <c:pt idx="558">
                  <c:v>0.22049281148743369</c:v>
                </c:pt>
                <c:pt idx="559">
                  <c:v>0.21671404105363376</c:v>
                </c:pt>
                <c:pt idx="560">
                  <c:v>0.21944909954490402</c:v>
                </c:pt>
                <c:pt idx="561">
                  <c:v>0.22018928327203593</c:v>
                </c:pt>
                <c:pt idx="562">
                  <c:v>0.20864029370113962</c:v>
                </c:pt>
                <c:pt idx="563">
                  <c:v>0.20361379487956471</c:v>
                </c:pt>
                <c:pt idx="564">
                  <c:v>0.19794360454794968</c:v>
                </c:pt>
                <c:pt idx="565">
                  <c:v>0.19099963181159135</c:v>
                </c:pt>
                <c:pt idx="566">
                  <c:v>0.18840906452602504</c:v>
                </c:pt>
                <c:pt idx="567">
                  <c:v>0.19081351262170154</c:v>
                </c:pt>
                <c:pt idx="568">
                  <c:v>0.17876428195667485</c:v>
                </c:pt>
                <c:pt idx="569">
                  <c:v>0.16992111135786789</c:v>
                </c:pt>
                <c:pt idx="570">
                  <c:v>0.16778291063968459</c:v>
                </c:pt>
                <c:pt idx="571">
                  <c:v>0.17218413650336992</c:v>
                </c:pt>
                <c:pt idx="572">
                  <c:v>0.17020058776890054</c:v>
                </c:pt>
                <c:pt idx="573">
                  <c:v>0.1615490289161777</c:v>
                </c:pt>
                <c:pt idx="574">
                  <c:v>0.1605187732853747</c:v>
                </c:pt>
                <c:pt idx="575">
                  <c:v>0.14401462859818681</c:v>
                </c:pt>
                <c:pt idx="576">
                  <c:v>0.12171945373552423</c:v>
                </c:pt>
                <c:pt idx="577">
                  <c:v>0.10740670368512764</c:v>
                </c:pt>
                <c:pt idx="578">
                  <c:v>0.10144572353937659</c:v>
                </c:pt>
                <c:pt idx="579">
                  <c:v>0.1012382023201788</c:v>
                </c:pt>
                <c:pt idx="580">
                  <c:v>9.3572307478662034E-2</c:v>
                </c:pt>
                <c:pt idx="581">
                  <c:v>9.2763028476886195E-2</c:v>
                </c:pt>
                <c:pt idx="582">
                  <c:v>9.3797053137629025E-2</c:v>
                </c:pt>
                <c:pt idx="583">
                  <c:v>9.7707884373890941E-2</c:v>
                </c:pt>
                <c:pt idx="584">
                  <c:v>9.2716293046767886E-2</c:v>
                </c:pt>
                <c:pt idx="585">
                  <c:v>4.8281412001589245E-2</c:v>
                </c:pt>
                <c:pt idx="586">
                  <c:v>-1.8158906409288865E-3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83EE-8743-9942-47F0944A1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4874224"/>
        <c:axId val="929195296"/>
      </c:scatterChart>
      <c:valAx>
        <c:axId val="794874224"/>
        <c:scaling>
          <c:orientation val="maxMin"/>
          <c:max val="1800"/>
          <c:min val="155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wavenumber</a:t>
                </a:r>
                <a:r>
                  <a:rPr lang="en-US" sz="800" b="1" baseline="0"/>
                  <a:t> (cm</a:t>
                </a:r>
                <a:r>
                  <a:rPr lang="en-US" sz="800" b="1" baseline="30000"/>
                  <a:t>-1</a:t>
                </a:r>
                <a:r>
                  <a:rPr lang="en-US" sz="800" b="1" baseline="0"/>
                  <a:t>)</a:t>
                </a:r>
                <a:endParaRPr lang="en-US" sz="8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29195296"/>
        <c:crosses val="autoZero"/>
        <c:crossBetween val="midCat"/>
        <c:majorUnit val="50"/>
      </c:valAx>
      <c:valAx>
        <c:axId val="929195296"/>
        <c:scaling>
          <c:orientation val="minMax"/>
          <c:max val="0.62"/>
          <c:min val="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800" b="1"/>
                  <a:t>intensity</a:t>
                </a:r>
              </a:p>
            </c:rich>
          </c:tx>
          <c:layout>
            <c:manualLayout>
              <c:xMode val="edge"/>
              <c:yMode val="edge"/>
              <c:x val="2.4981481481481478E-3"/>
              <c:y val="0.2939323232323232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8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794874224"/>
        <c:crosses val="autoZero"/>
        <c:crossBetween val="midCat"/>
      </c:valAx>
      <c:spPr>
        <a:noFill/>
        <a:ln w="12700">
          <a:solidFill>
            <a:schemeClr val="tx1"/>
          </a:solidFill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379315</xdr:colOff>
      <xdr:row>5</xdr:row>
      <xdr:rowOff>51919</xdr:rowOff>
    </xdr:from>
    <xdr:to>
      <xdr:col>23</xdr:col>
      <xdr:colOff>235874</xdr:colOff>
      <xdr:row>13</xdr:row>
      <xdr:rowOff>26371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48EBB2-E67F-954E-96D5-C1C163893D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182751</xdr:colOff>
      <xdr:row>26</xdr:row>
      <xdr:rowOff>96837</xdr:rowOff>
    </xdr:from>
    <xdr:to>
      <xdr:col>13</xdr:col>
      <xdr:colOff>41476</xdr:colOff>
      <xdr:row>34</xdr:row>
      <xdr:rowOff>101539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43FB7C1-EDAA-7B42-9CFF-63200D1057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431791</xdr:colOff>
      <xdr:row>43</xdr:row>
      <xdr:rowOff>151341</xdr:rowOff>
    </xdr:from>
    <xdr:to>
      <xdr:col>2</xdr:col>
      <xdr:colOff>764223</xdr:colOff>
      <xdr:row>51</xdr:row>
      <xdr:rowOff>123774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050DD-80B1-2C4F-84F6-BAD957D3F4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266352</xdr:colOff>
      <xdr:row>43</xdr:row>
      <xdr:rowOff>178694</xdr:rowOff>
    </xdr:from>
    <xdr:to>
      <xdr:col>12</xdr:col>
      <xdr:colOff>598785</xdr:colOff>
      <xdr:row>51</xdr:row>
      <xdr:rowOff>168077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295643-7D17-6A4C-8C26-573AEAD67B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20962</xdr:colOff>
      <xdr:row>43</xdr:row>
      <xdr:rowOff>157732</xdr:rowOff>
    </xdr:from>
    <xdr:to>
      <xdr:col>5</xdr:col>
      <xdr:colOff>353394</xdr:colOff>
      <xdr:row>51</xdr:row>
      <xdr:rowOff>130165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408EA1A-52DB-0F47-A93F-297CC07C80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381790</xdr:colOff>
      <xdr:row>43</xdr:row>
      <xdr:rowOff>131684</xdr:rowOff>
    </xdr:from>
    <xdr:to>
      <xdr:col>7</xdr:col>
      <xdr:colOff>714223</xdr:colOff>
      <xdr:row>51</xdr:row>
      <xdr:rowOff>118827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7E29633-4B81-4B4A-A661-B3AF6365B7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560412</xdr:colOff>
      <xdr:row>43</xdr:row>
      <xdr:rowOff>178028</xdr:rowOff>
    </xdr:from>
    <xdr:to>
      <xdr:col>15</xdr:col>
      <xdr:colOff>64622</xdr:colOff>
      <xdr:row>51</xdr:row>
      <xdr:rowOff>189010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DBCDB6A-0454-3641-8F3B-8FB39ADB07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140899</xdr:colOff>
      <xdr:row>43</xdr:row>
      <xdr:rowOff>174177</xdr:rowOff>
    </xdr:from>
    <xdr:to>
      <xdr:col>17</xdr:col>
      <xdr:colOff>468867</xdr:colOff>
      <xdr:row>51</xdr:row>
      <xdr:rowOff>150648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71100B-941F-524C-B923-9EB77CC1E0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17</xdr:col>
      <xdr:colOff>557605</xdr:colOff>
      <xdr:row>43</xdr:row>
      <xdr:rowOff>181479</xdr:rowOff>
    </xdr:from>
    <xdr:to>
      <xdr:col>20</xdr:col>
      <xdr:colOff>55840</xdr:colOff>
      <xdr:row>51</xdr:row>
      <xdr:rowOff>157950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0A1E629-3F93-C041-8945-56E8FBCA99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20</xdr:col>
      <xdr:colOff>128868</xdr:colOff>
      <xdr:row>43</xdr:row>
      <xdr:rowOff>170828</xdr:rowOff>
    </xdr:from>
    <xdr:to>
      <xdr:col>22</xdr:col>
      <xdr:colOff>465338</xdr:colOff>
      <xdr:row>51</xdr:row>
      <xdr:rowOff>147299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E5A861D-5631-3647-8026-30B1CA7FB1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337733</xdr:colOff>
      <xdr:row>12</xdr:row>
      <xdr:rowOff>120345</xdr:rowOff>
    </xdr:from>
    <xdr:to>
      <xdr:col>27</xdr:col>
      <xdr:colOff>201727</xdr:colOff>
      <xdr:row>20</xdr:row>
      <xdr:rowOff>121938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3278F58-1464-9442-BF27-92512E5B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0</xdr:colOff>
      <xdr:row>44</xdr:row>
      <xdr:rowOff>0</xdr:rowOff>
    </xdr:from>
    <xdr:to>
      <xdr:col>10</xdr:col>
      <xdr:colOff>332433</xdr:colOff>
      <xdr:row>51</xdr:row>
      <xdr:rowOff>191959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4F04E29-CB34-0948-87FC-467F40082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0.54158</cdr:x>
      <cdr:y>0.68744</cdr:y>
    </cdr:from>
    <cdr:to>
      <cdr:x>0.8426</cdr:x>
      <cdr:y>0.80988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C2121B98-B07A-DF6E-788E-A89650AA0901}"/>
            </a:ext>
          </a:extLst>
        </cdr:cNvPr>
        <cdr:cNvSpPr txBox="1"/>
      </cdr:nvSpPr>
      <cdr:spPr>
        <a:xfrm xmlns:a="http://schemas.openxmlformats.org/drawingml/2006/main">
          <a:off x="1074614" y="1095122"/>
          <a:ext cx="597275" cy="19504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1.60 mL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0.56729</cdr:x>
      <cdr:y>0.68245</cdr:y>
    </cdr:from>
    <cdr:to>
      <cdr:x>0.82938</cdr:x>
      <cdr:y>0.77996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AAC100-BD67-3214-7511-A5ED417ED867}"/>
            </a:ext>
          </a:extLst>
        </cdr:cNvPr>
        <cdr:cNvSpPr txBox="1"/>
      </cdr:nvSpPr>
      <cdr:spPr>
        <a:xfrm xmlns:a="http://schemas.openxmlformats.org/drawingml/2006/main">
          <a:off x="1126057" y="1106607"/>
          <a:ext cx="520241" cy="158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1.76 mL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0.51631</cdr:x>
      <cdr:y>0.67458</cdr:y>
    </cdr:from>
    <cdr:to>
      <cdr:x>0.81733</cdr:x>
      <cdr:y>0.79703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EEFC90D-1EB8-0B52-CA07-09DB6920C323}"/>
            </a:ext>
          </a:extLst>
        </cdr:cNvPr>
        <cdr:cNvSpPr txBox="1"/>
      </cdr:nvSpPr>
      <cdr:spPr>
        <a:xfrm xmlns:a="http://schemas.openxmlformats.org/drawingml/2006/main">
          <a:off x="1025196" y="1074464"/>
          <a:ext cx="597712" cy="19502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1.56 mL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0.53676</cdr:x>
      <cdr:y>0.67905</cdr:y>
    </cdr:from>
    <cdr:to>
      <cdr:x>0.83068</cdr:x>
      <cdr:y>0.79571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392AC15-0BC2-1323-52D8-FBC9C8F1DD39}"/>
            </a:ext>
          </a:extLst>
        </cdr:cNvPr>
        <cdr:cNvSpPr txBox="1"/>
      </cdr:nvSpPr>
      <cdr:spPr>
        <a:xfrm xmlns:a="http://schemas.openxmlformats.org/drawingml/2006/main">
          <a:off x="1063006" y="1100056"/>
          <a:ext cx="582083" cy="188988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1.59 mL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0.58571</cdr:x>
      <cdr:y>0.68549</cdr:y>
    </cdr:from>
    <cdr:to>
      <cdr:x>0.84802</cdr:x>
      <cdr:y>0.78171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01F11DC4-9D4E-725B-44FD-F5181B5139B1}"/>
            </a:ext>
          </a:extLst>
        </cdr:cNvPr>
        <cdr:cNvSpPr txBox="1"/>
      </cdr:nvSpPr>
      <cdr:spPr>
        <a:xfrm xmlns:a="http://schemas.openxmlformats.org/drawingml/2006/main">
          <a:off x="1162050" y="1118257"/>
          <a:ext cx="520412" cy="15696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1.84 mL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0.65493</cdr:x>
      <cdr:y>0.67872</cdr:y>
    </cdr:from>
    <cdr:to>
      <cdr:x>1</cdr:x>
      <cdr:y>0.83726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3F1C11-5D8C-86AD-D1E3-352E83002AF3}"/>
            </a:ext>
          </a:extLst>
        </cdr:cNvPr>
        <cdr:cNvSpPr txBox="1"/>
      </cdr:nvSpPr>
      <cdr:spPr>
        <a:xfrm xmlns:a="http://schemas.openxmlformats.org/drawingml/2006/main">
          <a:off x="1301635" y="1087356"/>
          <a:ext cx="685800" cy="254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2.10 mL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0.65493</cdr:x>
      <cdr:y>0.66945</cdr:y>
    </cdr:from>
    <cdr:to>
      <cdr:x>1</cdr:x>
      <cdr:y>0.82799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1FB1EBE7-89CB-C668-5A7A-49C798000B8C}"/>
            </a:ext>
          </a:extLst>
        </cdr:cNvPr>
        <cdr:cNvSpPr txBox="1"/>
      </cdr:nvSpPr>
      <cdr:spPr>
        <a:xfrm xmlns:a="http://schemas.openxmlformats.org/drawingml/2006/main">
          <a:off x="1297520" y="1068990"/>
          <a:ext cx="683638" cy="253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2.10 mL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0.6564</cdr:x>
      <cdr:y>0.67631</cdr:y>
    </cdr:from>
    <cdr:to>
      <cdr:x>1</cdr:x>
      <cdr:y>0.83485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457422C-6293-61D6-5E01-FE8BC42ACBEA}"/>
            </a:ext>
          </a:extLst>
        </cdr:cNvPr>
        <cdr:cNvSpPr txBox="1"/>
      </cdr:nvSpPr>
      <cdr:spPr>
        <a:xfrm xmlns:a="http://schemas.openxmlformats.org/drawingml/2006/main">
          <a:off x="1306021" y="1079937"/>
          <a:ext cx="683638" cy="253159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2.07 mL</a:t>
          </a:r>
        </a:p>
      </cdr:txBody>
    </cdr:sp>
  </cdr:relSizeAnchor>
</c:userShapes>
</file>

<file path=xl/drawings/drawing12.xml><?xml version="1.0" encoding="utf-8"?>
<c:userShapes xmlns:c="http://schemas.openxmlformats.org/drawingml/2006/chart">
  <cdr:relSizeAnchor xmlns:cdr="http://schemas.openxmlformats.org/drawingml/2006/chartDrawing">
    <cdr:from>
      <cdr:x>0.56729</cdr:x>
      <cdr:y>0.68245</cdr:y>
    </cdr:from>
    <cdr:to>
      <cdr:x>0.82938</cdr:x>
      <cdr:y>0.77996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DAAC100-BD67-3214-7511-A5ED417ED867}"/>
            </a:ext>
          </a:extLst>
        </cdr:cNvPr>
        <cdr:cNvSpPr txBox="1"/>
      </cdr:nvSpPr>
      <cdr:spPr>
        <a:xfrm xmlns:a="http://schemas.openxmlformats.org/drawingml/2006/main">
          <a:off x="1126057" y="1106607"/>
          <a:ext cx="520241" cy="1581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700" b="1" kern="1200">
              <a:latin typeface="Arial" panose="020B0604020202020204" pitchFamily="34" charset="0"/>
              <a:cs typeface="Arial" panose="020B0604020202020204" pitchFamily="34" charset="0"/>
            </a:rPr>
            <a:t>1.82 mL</a:t>
          </a:r>
        </a:p>
      </cdr:txBody>
    </cdr:sp>
  </cdr:relSizeAnchor>
</c:userShapes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731346</xdr:colOff>
      <xdr:row>4</xdr:row>
      <xdr:rowOff>59123</xdr:rowOff>
    </xdr:from>
    <xdr:ext cx="2080171" cy="43678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BD0DB799-CCAB-9206-2781-D60F2B2309EC}"/>
            </a:ext>
          </a:extLst>
        </xdr:cNvPr>
        <xdr:cNvSpPr txBox="1"/>
      </xdr:nvSpPr>
      <xdr:spPr>
        <a:xfrm>
          <a:off x="8275146" y="871923"/>
          <a:ext cx="2080171" cy="436786"/>
        </a:xfrm>
        <a:prstGeom prst="rect">
          <a:avLst/>
        </a:prstGeom>
        <a:solidFill>
          <a:schemeClr val="bg1"/>
        </a:solidFill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1100"/>
            <a:t>normalizing</a:t>
          </a:r>
          <a:r>
            <a:rPr lang="en-US" sz="1100" baseline="0"/>
            <a:t> the spectra based on the maximum peak height</a:t>
          </a:r>
          <a:endParaRPr lang="en-US" sz="1100"/>
        </a:p>
      </xdr:txBody>
    </xdr:sp>
    <xdr:clientData/>
  </xdr:oneCellAnchor>
  <xdr:twoCellAnchor>
    <xdr:from>
      <xdr:col>20</xdr:col>
      <xdr:colOff>468583</xdr:colOff>
      <xdr:row>2</xdr:row>
      <xdr:rowOff>46422</xdr:rowOff>
    </xdr:from>
    <xdr:to>
      <xdr:col>25</xdr:col>
      <xdr:colOff>57369</xdr:colOff>
      <xdr:row>12</xdr:row>
      <xdr:rowOff>25211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5C525A39-22A0-C926-E77E-886D2F018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CB20F-B662-F44B-A3D4-183A2B7FC20D}">
  <dimension ref="B2:T171"/>
  <sheetViews>
    <sheetView zoomScale="74" zoomScaleNormal="74" workbookViewId="0">
      <selection activeCell="L24" sqref="L24"/>
    </sheetView>
  </sheetViews>
  <sheetFormatPr baseColWidth="10" defaultRowHeight="16" x14ac:dyDescent="0.2"/>
  <sheetData>
    <row r="2" spans="2:20" ht="17" thickBot="1" x14ac:dyDescent="0.25">
      <c r="C2" t="s">
        <v>18</v>
      </c>
      <c r="H2" t="s">
        <v>19</v>
      </c>
      <c r="M2" t="s">
        <v>26</v>
      </c>
      <c r="O2" t="s">
        <v>5</v>
      </c>
      <c r="Q2" t="s">
        <v>6</v>
      </c>
      <c r="S2" t="s">
        <v>7</v>
      </c>
    </row>
    <row r="3" spans="2:20" x14ac:dyDescent="0.2">
      <c r="B3" t="s">
        <v>12</v>
      </c>
      <c r="C3" t="s">
        <v>17</v>
      </c>
      <c r="D3" t="s">
        <v>14</v>
      </c>
      <c r="E3" t="s">
        <v>15</v>
      </c>
      <c r="F3" t="s">
        <v>16</v>
      </c>
      <c r="H3" t="s">
        <v>17</v>
      </c>
      <c r="I3" t="s">
        <v>14</v>
      </c>
      <c r="J3" t="s">
        <v>15</v>
      </c>
      <c r="K3" t="s">
        <v>16</v>
      </c>
      <c r="M3" s="2" t="s">
        <v>0</v>
      </c>
      <c r="N3" s="2" t="s">
        <v>2</v>
      </c>
      <c r="O3" s="2" t="s">
        <v>0</v>
      </c>
      <c r="P3" s="2" t="s">
        <v>2</v>
      </c>
      <c r="Q3" s="2" t="s">
        <v>0</v>
      </c>
      <c r="R3" s="2" t="s">
        <v>2</v>
      </c>
      <c r="S3" s="2" t="s">
        <v>0</v>
      </c>
      <c r="T3" s="2" t="s">
        <v>2</v>
      </c>
    </row>
    <row r="4" spans="2:20" x14ac:dyDescent="0.2">
      <c r="B4">
        <v>1</v>
      </c>
      <c r="C4" s="7">
        <v>952.44200000000001</v>
      </c>
      <c r="D4" s="7">
        <v>1893.5160000000001</v>
      </c>
      <c r="E4" s="7">
        <v>2511.9250000000002</v>
      </c>
      <c r="F4" s="7">
        <v>5482.308</v>
      </c>
      <c r="H4">
        <f>AVERAGE(C4:C118)</f>
        <v>1687.504669565217</v>
      </c>
      <c r="I4">
        <f>AVERAGE(D4:D117)</f>
        <v>1544.6979824561395</v>
      </c>
      <c r="J4">
        <f>AVERAGE(E4:E171)</f>
        <v>1445.4838273809526</v>
      </c>
      <c r="K4">
        <f>AVERAGE(F4:F145)</f>
        <v>1571.9498661971832</v>
      </c>
      <c r="M4">
        <v>400</v>
      </c>
      <c r="N4">
        <v>2</v>
      </c>
      <c r="O4">
        <v>400</v>
      </c>
      <c r="P4">
        <v>0</v>
      </c>
      <c r="Q4">
        <v>400</v>
      </c>
      <c r="R4">
        <v>1</v>
      </c>
      <c r="S4">
        <v>400</v>
      </c>
      <c r="T4">
        <v>2</v>
      </c>
    </row>
    <row r="5" spans="2:20" x14ac:dyDescent="0.2">
      <c r="B5">
        <v>2</v>
      </c>
      <c r="C5" s="7">
        <v>4149.8320000000003</v>
      </c>
      <c r="D5" s="7">
        <v>2371.1770000000001</v>
      </c>
      <c r="E5" s="7">
        <v>2251.6979999999999</v>
      </c>
      <c r="F5" s="7">
        <v>2021.425</v>
      </c>
      <c r="H5" t="s">
        <v>20</v>
      </c>
      <c r="M5">
        <v>800</v>
      </c>
      <c r="N5">
        <v>30</v>
      </c>
      <c r="O5">
        <v>800</v>
      </c>
      <c r="P5">
        <v>33</v>
      </c>
      <c r="Q5">
        <v>800</v>
      </c>
      <c r="R5">
        <v>22</v>
      </c>
      <c r="S5">
        <v>800</v>
      </c>
      <c r="T5">
        <v>45</v>
      </c>
    </row>
    <row r="6" spans="2:20" x14ac:dyDescent="0.2">
      <c r="B6">
        <v>3</v>
      </c>
      <c r="C6" s="7">
        <v>3661.5129999999999</v>
      </c>
      <c r="D6" s="7">
        <v>753.41700000000003</v>
      </c>
      <c r="E6" s="7">
        <v>2900.7809999999999</v>
      </c>
      <c r="F6" s="7">
        <v>3014.1529999999998</v>
      </c>
      <c r="H6" t="s">
        <v>17</v>
      </c>
      <c r="I6" t="s">
        <v>14</v>
      </c>
      <c r="J6" t="s">
        <v>15</v>
      </c>
      <c r="K6" t="s">
        <v>16</v>
      </c>
      <c r="M6">
        <v>1200</v>
      </c>
      <c r="N6">
        <v>27</v>
      </c>
      <c r="O6">
        <v>1200</v>
      </c>
      <c r="P6">
        <v>41</v>
      </c>
      <c r="Q6">
        <v>1200</v>
      </c>
      <c r="R6">
        <v>31</v>
      </c>
      <c r="S6">
        <v>1200</v>
      </c>
      <c r="T6">
        <v>43</v>
      </c>
    </row>
    <row r="7" spans="2:20" x14ac:dyDescent="0.2">
      <c r="B7">
        <v>4</v>
      </c>
      <c r="C7" s="7">
        <v>2741.837</v>
      </c>
      <c r="D7" s="7">
        <v>1285.6179999999999</v>
      </c>
      <c r="E7" s="7">
        <v>1835.2950000000001</v>
      </c>
      <c r="F7" s="7">
        <v>3209.6950000000002</v>
      </c>
      <c r="H7">
        <f>STDEV(C4:C118)</f>
        <v>1404.713260165631</v>
      </c>
      <c r="I7">
        <f>STDEV(D4:D117)</f>
        <v>944.65239107773868</v>
      </c>
      <c r="J7">
        <f>STDEV(E4:E171)</f>
        <v>909.21318070845643</v>
      </c>
      <c r="K7">
        <f>STDEV(F4:F145)</f>
        <v>1082.0218041213802</v>
      </c>
      <c r="M7">
        <v>1600</v>
      </c>
      <c r="N7">
        <v>16</v>
      </c>
      <c r="O7">
        <v>1600</v>
      </c>
      <c r="P7">
        <v>22</v>
      </c>
      <c r="Q7">
        <v>1600</v>
      </c>
      <c r="R7">
        <v>21</v>
      </c>
      <c r="S7">
        <v>1600</v>
      </c>
      <c r="T7">
        <v>22</v>
      </c>
    </row>
    <row r="8" spans="2:20" x14ac:dyDescent="0.2">
      <c r="B8">
        <v>5</v>
      </c>
      <c r="C8" s="7">
        <v>2723.0079999999998</v>
      </c>
      <c r="D8" s="7">
        <v>1077.9100000000001</v>
      </c>
      <c r="E8" s="7">
        <v>2520.2489999999998</v>
      </c>
      <c r="F8" s="7">
        <v>2242.8960000000002</v>
      </c>
      <c r="M8">
        <v>2000</v>
      </c>
      <c r="N8">
        <v>10</v>
      </c>
      <c r="O8">
        <v>2000</v>
      </c>
      <c r="P8">
        <v>10</v>
      </c>
      <c r="Q8">
        <v>2000</v>
      </c>
      <c r="R8">
        <v>10</v>
      </c>
      <c r="S8">
        <v>2000</v>
      </c>
      <c r="T8">
        <v>15</v>
      </c>
    </row>
    <row r="9" spans="2:20" x14ac:dyDescent="0.2">
      <c r="B9">
        <v>6</v>
      </c>
      <c r="C9" s="7">
        <v>739.08799999999997</v>
      </c>
      <c r="D9" s="7">
        <v>1459.104</v>
      </c>
      <c r="E9" s="7">
        <v>1149.913</v>
      </c>
      <c r="F9" s="7">
        <v>3680.645</v>
      </c>
      <c r="H9" t="s">
        <v>21</v>
      </c>
      <c r="M9">
        <v>2400</v>
      </c>
      <c r="N9">
        <v>4</v>
      </c>
      <c r="O9">
        <v>2400</v>
      </c>
      <c r="P9">
        <v>9</v>
      </c>
      <c r="Q9">
        <v>2400</v>
      </c>
      <c r="R9">
        <v>11</v>
      </c>
      <c r="S9">
        <v>2400</v>
      </c>
      <c r="T9">
        <v>9</v>
      </c>
    </row>
    <row r="10" spans="2:20" x14ac:dyDescent="0.2">
      <c r="B10">
        <v>7</v>
      </c>
      <c r="C10" s="7">
        <v>928.23</v>
      </c>
      <c r="D10" s="7">
        <v>1048.7139999999999</v>
      </c>
      <c r="E10" s="7">
        <v>3071.1529999999998</v>
      </c>
      <c r="F10" s="7">
        <v>3393.9450000000002</v>
      </c>
      <c r="M10">
        <v>2800</v>
      </c>
      <c r="N10">
        <v>7</v>
      </c>
      <c r="O10">
        <v>2800</v>
      </c>
      <c r="P10">
        <v>3</v>
      </c>
      <c r="Q10">
        <v>2800</v>
      </c>
      <c r="R10">
        <v>5</v>
      </c>
      <c r="S10">
        <v>2800</v>
      </c>
      <c r="T10">
        <v>14</v>
      </c>
    </row>
    <row r="11" spans="2:20" x14ac:dyDescent="0.2">
      <c r="B11">
        <v>8</v>
      </c>
      <c r="C11" s="7">
        <v>4640.0150000000003</v>
      </c>
      <c r="D11" s="7">
        <v>1176.905</v>
      </c>
      <c r="E11" s="7">
        <v>1121.0740000000001</v>
      </c>
      <c r="F11" s="7">
        <v>4050.14</v>
      </c>
      <c r="M11">
        <v>3200</v>
      </c>
      <c r="N11">
        <v>5</v>
      </c>
      <c r="O11">
        <v>3200</v>
      </c>
      <c r="P11">
        <v>7</v>
      </c>
      <c r="Q11">
        <v>3200</v>
      </c>
      <c r="R11">
        <v>3</v>
      </c>
      <c r="S11">
        <v>3200</v>
      </c>
      <c r="T11">
        <v>7</v>
      </c>
    </row>
    <row r="12" spans="2:20" x14ac:dyDescent="0.2">
      <c r="B12">
        <v>9</v>
      </c>
      <c r="C12" s="7">
        <v>1045.577</v>
      </c>
      <c r="D12" s="7">
        <v>3082.89</v>
      </c>
      <c r="E12" s="7">
        <v>1259.4369999999999</v>
      </c>
      <c r="F12" s="7">
        <v>1061.6130000000001</v>
      </c>
      <c r="M12">
        <v>3600</v>
      </c>
      <c r="N12">
        <v>3</v>
      </c>
      <c r="O12">
        <v>3600</v>
      </c>
      <c r="P12">
        <v>5</v>
      </c>
      <c r="Q12">
        <v>3600</v>
      </c>
      <c r="R12">
        <v>5</v>
      </c>
      <c r="S12">
        <v>3600</v>
      </c>
      <c r="T12">
        <v>6</v>
      </c>
    </row>
    <row r="13" spans="2:20" x14ac:dyDescent="0.2">
      <c r="B13">
        <v>10</v>
      </c>
      <c r="C13" s="7">
        <v>3151.8510000000001</v>
      </c>
      <c r="D13" s="7">
        <v>3010.4949999999999</v>
      </c>
      <c r="E13" s="7">
        <v>1244.836</v>
      </c>
      <c r="F13" s="7">
        <v>632.06899999999996</v>
      </c>
      <c r="M13">
        <v>4000</v>
      </c>
      <c r="N13">
        <v>2</v>
      </c>
      <c r="O13">
        <v>4000</v>
      </c>
      <c r="P13">
        <v>7</v>
      </c>
      <c r="Q13">
        <v>4000</v>
      </c>
      <c r="R13">
        <v>2</v>
      </c>
      <c r="S13">
        <v>4000</v>
      </c>
      <c r="T13">
        <v>4</v>
      </c>
    </row>
    <row r="14" spans="2:20" x14ac:dyDescent="0.2">
      <c r="B14">
        <v>11</v>
      </c>
      <c r="C14" s="7">
        <v>2940.0639999999999</v>
      </c>
      <c r="D14" s="7">
        <v>2585.502</v>
      </c>
      <c r="E14" s="7">
        <v>635.452</v>
      </c>
      <c r="F14" s="7">
        <v>854.52800000000002</v>
      </c>
      <c r="M14">
        <v>4400</v>
      </c>
      <c r="N14">
        <v>2</v>
      </c>
      <c r="O14">
        <v>4400</v>
      </c>
      <c r="P14">
        <v>2</v>
      </c>
      <c r="Q14">
        <v>4400</v>
      </c>
      <c r="R14">
        <v>2</v>
      </c>
      <c r="S14">
        <v>4400</v>
      </c>
      <c r="T14">
        <v>0</v>
      </c>
    </row>
    <row r="15" spans="2:20" x14ac:dyDescent="0.2">
      <c r="B15">
        <v>12</v>
      </c>
      <c r="C15" s="7">
        <v>844.65800000000002</v>
      </c>
      <c r="D15" s="7">
        <v>5204.9610000000002</v>
      </c>
      <c r="E15" s="7">
        <v>910.46299999999997</v>
      </c>
      <c r="F15" s="7">
        <v>688.36599999999999</v>
      </c>
      <c r="M15">
        <v>4800</v>
      </c>
      <c r="N15">
        <v>5</v>
      </c>
      <c r="O15">
        <v>4800</v>
      </c>
      <c r="P15">
        <v>2</v>
      </c>
      <c r="Q15">
        <v>4800</v>
      </c>
      <c r="R15">
        <v>0</v>
      </c>
      <c r="S15">
        <v>4800</v>
      </c>
      <c r="T15">
        <v>1</v>
      </c>
    </row>
    <row r="16" spans="2:20" x14ac:dyDescent="0.2">
      <c r="B16">
        <v>13</v>
      </c>
      <c r="C16" s="7">
        <v>1031.3520000000001</v>
      </c>
      <c r="D16" s="7">
        <v>2474.2890000000002</v>
      </c>
      <c r="E16" s="7">
        <v>1063.316</v>
      </c>
      <c r="F16" s="7">
        <v>2531.5340000000001</v>
      </c>
      <c r="M16">
        <v>5200</v>
      </c>
      <c r="N16">
        <v>0</v>
      </c>
      <c r="O16">
        <v>5200</v>
      </c>
      <c r="P16">
        <v>0</v>
      </c>
      <c r="Q16">
        <v>5200</v>
      </c>
      <c r="R16">
        <v>0</v>
      </c>
      <c r="S16">
        <v>5200</v>
      </c>
      <c r="T16">
        <v>0</v>
      </c>
    </row>
    <row r="17" spans="2:20" x14ac:dyDescent="0.2">
      <c r="B17">
        <v>14</v>
      </c>
      <c r="C17" s="7">
        <v>2663.7829999999999</v>
      </c>
      <c r="D17" s="7">
        <v>1972.443</v>
      </c>
      <c r="E17" s="7">
        <v>1849.056</v>
      </c>
      <c r="F17" s="7">
        <v>3821.9520000000002</v>
      </c>
      <c r="M17">
        <v>5600</v>
      </c>
      <c r="N17">
        <v>1</v>
      </c>
      <c r="O17">
        <v>5600</v>
      </c>
      <c r="P17">
        <v>1</v>
      </c>
      <c r="Q17">
        <v>5600</v>
      </c>
      <c r="R17">
        <v>1</v>
      </c>
      <c r="S17">
        <v>5600</v>
      </c>
      <c r="T17">
        <v>0</v>
      </c>
    </row>
    <row r="18" spans="2:20" x14ac:dyDescent="0.2">
      <c r="B18">
        <v>15</v>
      </c>
      <c r="C18" s="7">
        <v>1875.665</v>
      </c>
      <c r="D18" s="7">
        <v>714.79300000000001</v>
      </c>
      <c r="E18" s="7">
        <v>1221.1990000000001</v>
      </c>
      <c r="F18" s="7">
        <v>1287.009</v>
      </c>
      <c r="M18">
        <v>6000</v>
      </c>
      <c r="N18">
        <v>0</v>
      </c>
      <c r="O18">
        <v>6000</v>
      </c>
      <c r="P18">
        <v>0</v>
      </c>
      <c r="Q18">
        <v>6000</v>
      </c>
      <c r="R18">
        <v>0</v>
      </c>
      <c r="S18">
        <v>6000</v>
      </c>
      <c r="T18">
        <v>0</v>
      </c>
    </row>
    <row r="19" spans="2:20" ht="17" thickBot="1" x14ac:dyDescent="0.25">
      <c r="B19">
        <v>16</v>
      </c>
      <c r="C19" s="7">
        <v>573.803</v>
      </c>
      <c r="D19" s="7">
        <v>736.3</v>
      </c>
      <c r="E19" s="7">
        <v>1040.8979999999999</v>
      </c>
      <c r="F19" s="7">
        <v>1097.9459999999999</v>
      </c>
      <c r="M19" s="1" t="s">
        <v>1</v>
      </c>
      <c r="N19" s="1">
        <v>1</v>
      </c>
      <c r="O19" s="1" t="s">
        <v>1</v>
      </c>
      <c r="P19" s="1">
        <v>0</v>
      </c>
      <c r="Q19" s="1" t="s">
        <v>1</v>
      </c>
      <c r="R19" s="1">
        <v>0</v>
      </c>
      <c r="S19" s="1" t="s">
        <v>1</v>
      </c>
      <c r="T19" s="1">
        <v>0</v>
      </c>
    </row>
    <row r="20" spans="2:20" x14ac:dyDescent="0.2">
      <c r="B20">
        <v>17</v>
      </c>
      <c r="C20" s="7">
        <v>794.62400000000002</v>
      </c>
      <c r="D20" s="7">
        <v>941.45100000000002</v>
      </c>
      <c r="E20" s="7">
        <v>3995.5949999999998</v>
      </c>
      <c r="F20" s="7">
        <v>3519.451</v>
      </c>
      <c r="M20" t="s">
        <v>4</v>
      </c>
      <c r="N20">
        <f>SUM(N4:N19)</f>
        <v>115</v>
      </c>
      <c r="P20">
        <f>SUM(P4:P19)</f>
        <v>142</v>
      </c>
      <c r="R20">
        <f>SUM(R4:R19)</f>
        <v>114</v>
      </c>
      <c r="T20">
        <f>SUM(T4:T19)</f>
        <v>168</v>
      </c>
    </row>
    <row r="21" spans="2:20" x14ac:dyDescent="0.2">
      <c r="B21">
        <v>18</v>
      </c>
      <c r="C21" s="7">
        <v>677.46799999999996</v>
      </c>
      <c r="D21" s="7">
        <v>759.78</v>
      </c>
      <c r="E21" s="7">
        <v>2856.3209999999999</v>
      </c>
      <c r="F21" s="7">
        <v>1676.18</v>
      </c>
    </row>
    <row r="22" spans="2:20" ht="17" thickBot="1" x14ac:dyDescent="0.25">
      <c r="B22">
        <v>19</v>
      </c>
      <c r="C22" s="7">
        <v>1122.9359999999999</v>
      </c>
      <c r="D22" s="7">
        <v>2250.797</v>
      </c>
      <c r="E22" s="7">
        <v>1569.557</v>
      </c>
      <c r="F22" s="7">
        <v>3965.3490000000002</v>
      </c>
      <c r="M22" t="s">
        <v>8</v>
      </c>
      <c r="O22" t="s">
        <v>9</v>
      </c>
      <c r="Q22" t="s">
        <v>10</v>
      </c>
      <c r="S22" t="s">
        <v>11</v>
      </c>
    </row>
    <row r="23" spans="2:20" x14ac:dyDescent="0.2">
      <c r="B23">
        <v>20</v>
      </c>
      <c r="C23" s="7">
        <v>591.49199999999996</v>
      </c>
      <c r="D23" s="7">
        <v>721.19100000000003</v>
      </c>
      <c r="E23" s="7">
        <v>2004.9760000000001</v>
      </c>
      <c r="F23" s="7">
        <v>1774.5129999999999</v>
      </c>
      <c r="M23" s="2" t="s">
        <v>0</v>
      </c>
      <c r="N23" s="2" t="s">
        <v>2</v>
      </c>
      <c r="O23" s="2" t="s">
        <v>0</v>
      </c>
      <c r="P23" s="2" t="s">
        <v>2</v>
      </c>
      <c r="Q23" s="2" t="s">
        <v>0</v>
      </c>
      <c r="R23" s="2" t="s">
        <v>2</v>
      </c>
      <c r="S23" s="2" t="s">
        <v>0</v>
      </c>
      <c r="T23" s="2" t="s">
        <v>2</v>
      </c>
    </row>
    <row r="24" spans="2:20" x14ac:dyDescent="0.2">
      <c r="B24">
        <v>21</v>
      </c>
      <c r="C24" s="7">
        <v>485.017</v>
      </c>
      <c r="D24" s="7">
        <v>1085.7260000000001</v>
      </c>
      <c r="E24" s="7">
        <v>2692.1030000000001</v>
      </c>
      <c r="F24" s="7">
        <v>2986.6120000000001</v>
      </c>
      <c r="M24">
        <v>400</v>
      </c>
      <c r="N24" s="3">
        <f>N4/$N$20</f>
        <v>1.7391304347826087E-2</v>
      </c>
      <c r="O24">
        <v>400</v>
      </c>
      <c r="P24" s="4">
        <f>P4/$P$20</f>
        <v>0</v>
      </c>
      <c r="Q24">
        <v>400</v>
      </c>
      <c r="R24" s="3">
        <f t="shared" ref="R24:R38" si="0">R4/$R$20</f>
        <v>8.771929824561403E-3</v>
      </c>
      <c r="S24">
        <v>400</v>
      </c>
      <c r="T24" s="3">
        <f>T4/$T$20</f>
        <v>1.1904761904761904E-2</v>
      </c>
    </row>
    <row r="25" spans="2:20" x14ac:dyDescent="0.2">
      <c r="B25">
        <v>22</v>
      </c>
      <c r="C25" s="7">
        <v>4721.643</v>
      </c>
      <c r="D25" s="7">
        <v>839.96</v>
      </c>
      <c r="E25" s="7">
        <v>1885.7570000000001</v>
      </c>
      <c r="F25" s="7">
        <v>4464.1949999999997</v>
      </c>
      <c r="M25">
        <v>800</v>
      </c>
      <c r="N25" s="3">
        <f t="shared" ref="N25:N38" si="1">N5/$N$20</f>
        <v>0.2608695652173913</v>
      </c>
      <c r="O25">
        <v>800</v>
      </c>
      <c r="P25" s="4">
        <f t="shared" ref="P25:P38" si="2">P5/$P$20</f>
        <v>0.23239436619718309</v>
      </c>
      <c r="Q25">
        <v>800</v>
      </c>
      <c r="R25" s="3">
        <f t="shared" si="0"/>
        <v>0.19298245614035087</v>
      </c>
      <c r="S25">
        <v>800</v>
      </c>
      <c r="T25" s="3">
        <f t="shared" ref="T25:T39" si="3">T5/$T$20</f>
        <v>0.26785714285714285</v>
      </c>
    </row>
    <row r="26" spans="2:20" x14ac:dyDescent="0.2">
      <c r="B26">
        <v>23</v>
      </c>
      <c r="C26" s="7">
        <v>1505.3330000000001</v>
      </c>
      <c r="D26" s="7">
        <v>1524.893</v>
      </c>
      <c r="E26" s="7">
        <v>3694.0729999999999</v>
      </c>
      <c r="F26" s="7">
        <v>2805.3629999999998</v>
      </c>
      <c r="M26">
        <v>1200</v>
      </c>
      <c r="N26" s="3">
        <f t="shared" si="1"/>
        <v>0.23478260869565218</v>
      </c>
      <c r="O26">
        <v>1200</v>
      </c>
      <c r="P26" s="4">
        <f t="shared" si="2"/>
        <v>0.28873239436619719</v>
      </c>
      <c r="Q26">
        <v>1200</v>
      </c>
      <c r="R26" s="3">
        <f t="shared" si="0"/>
        <v>0.27192982456140352</v>
      </c>
      <c r="S26">
        <v>1200</v>
      </c>
      <c r="T26" s="3">
        <f t="shared" si="3"/>
        <v>0.25595238095238093</v>
      </c>
    </row>
    <row r="27" spans="2:20" x14ac:dyDescent="0.2">
      <c r="B27">
        <v>24</v>
      </c>
      <c r="C27" s="7">
        <v>1547.693</v>
      </c>
      <c r="D27" s="7">
        <v>1656.5239999999999</v>
      </c>
      <c r="E27" s="7">
        <v>1878.9760000000001</v>
      </c>
      <c r="F27" s="7">
        <v>4431.5519999999997</v>
      </c>
      <c r="M27">
        <v>1600</v>
      </c>
      <c r="N27" s="3">
        <f t="shared" si="1"/>
        <v>0.1391304347826087</v>
      </c>
      <c r="O27">
        <v>1600</v>
      </c>
      <c r="P27" s="4">
        <f t="shared" si="2"/>
        <v>0.15492957746478872</v>
      </c>
      <c r="Q27">
        <v>1600</v>
      </c>
      <c r="R27" s="3">
        <f t="shared" si="0"/>
        <v>0.18421052631578946</v>
      </c>
      <c r="S27">
        <v>1600</v>
      </c>
      <c r="T27" s="3">
        <f t="shared" si="3"/>
        <v>0.13095238095238096</v>
      </c>
    </row>
    <row r="28" spans="2:20" x14ac:dyDescent="0.2">
      <c r="B28">
        <v>25</v>
      </c>
      <c r="C28" s="7">
        <v>1758.6849999999999</v>
      </c>
      <c r="D28" s="7">
        <v>1312.4259999999999</v>
      </c>
      <c r="E28" s="7">
        <v>3259.4160000000002</v>
      </c>
      <c r="F28" s="7">
        <v>2095.4450000000002</v>
      </c>
      <c r="M28">
        <v>2000</v>
      </c>
      <c r="N28" s="3">
        <f t="shared" si="1"/>
        <v>8.6956521739130432E-2</v>
      </c>
      <c r="O28">
        <v>2000</v>
      </c>
      <c r="P28" s="4">
        <f t="shared" si="2"/>
        <v>7.0422535211267609E-2</v>
      </c>
      <c r="Q28">
        <v>2000</v>
      </c>
      <c r="R28" s="3">
        <f t="shared" si="0"/>
        <v>8.771929824561403E-2</v>
      </c>
      <c r="S28">
        <v>2000</v>
      </c>
      <c r="T28" s="3">
        <f t="shared" si="3"/>
        <v>8.9285714285714288E-2</v>
      </c>
    </row>
    <row r="29" spans="2:20" x14ac:dyDescent="0.2">
      <c r="B29">
        <v>26</v>
      </c>
      <c r="C29" s="7">
        <v>632</v>
      </c>
      <c r="D29" s="7">
        <v>1302.4760000000001</v>
      </c>
      <c r="E29" s="7">
        <v>846.49300000000005</v>
      </c>
      <c r="F29" s="7">
        <v>624.346</v>
      </c>
      <c r="M29">
        <v>2400</v>
      </c>
      <c r="N29" s="3">
        <f t="shared" si="1"/>
        <v>3.4782608695652174E-2</v>
      </c>
      <c r="O29">
        <v>2400</v>
      </c>
      <c r="P29" s="4">
        <f t="shared" si="2"/>
        <v>6.3380281690140844E-2</v>
      </c>
      <c r="Q29">
        <v>2400</v>
      </c>
      <c r="R29" s="3">
        <f t="shared" si="0"/>
        <v>9.6491228070175433E-2</v>
      </c>
      <c r="S29">
        <v>2400</v>
      </c>
      <c r="T29" s="3">
        <f t="shared" si="3"/>
        <v>5.3571428571428568E-2</v>
      </c>
    </row>
    <row r="30" spans="2:20" x14ac:dyDescent="0.2">
      <c r="B30">
        <v>27</v>
      </c>
      <c r="C30" s="7">
        <v>4069.268</v>
      </c>
      <c r="D30" s="7">
        <v>1436.194</v>
      </c>
      <c r="E30" s="7">
        <v>669.29300000000001</v>
      </c>
      <c r="F30" s="7">
        <v>1120.5340000000001</v>
      </c>
      <c r="M30">
        <v>2800</v>
      </c>
      <c r="N30" s="3">
        <f t="shared" si="1"/>
        <v>6.0869565217391307E-2</v>
      </c>
      <c r="O30">
        <v>2800</v>
      </c>
      <c r="P30" s="4">
        <f t="shared" si="2"/>
        <v>2.1126760563380281E-2</v>
      </c>
      <c r="Q30">
        <v>2800</v>
      </c>
      <c r="R30" s="3">
        <f t="shared" si="0"/>
        <v>4.3859649122807015E-2</v>
      </c>
      <c r="S30">
        <v>2800</v>
      </c>
      <c r="T30" s="3">
        <f t="shared" si="3"/>
        <v>8.3333333333333329E-2</v>
      </c>
    </row>
    <row r="31" spans="2:20" x14ac:dyDescent="0.2">
      <c r="B31">
        <v>28</v>
      </c>
      <c r="C31" s="7">
        <v>1496.867</v>
      </c>
      <c r="D31" s="7">
        <v>1256.3579999999999</v>
      </c>
      <c r="E31" s="7">
        <v>755.84299999999996</v>
      </c>
      <c r="F31" s="7">
        <v>1703.2629999999999</v>
      </c>
      <c r="M31">
        <v>3200</v>
      </c>
      <c r="N31" s="3">
        <f t="shared" si="1"/>
        <v>4.3478260869565216E-2</v>
      </c>
      <c r="O31">
        <v>3200</v>
      </c>
      <c r="P31" s="4">
        <f t="shared" si="2"/>
        <v>4.9295774647887321E-2</v>
      </c>
      <c r="Q31">
        <v>3200</v>
      </c>
      <c r="R31" s="3">
        <f t="shared" si="0"/>
        <v>2.6315789473684209E-2</v>
      </c>
      <c r="S31">
        <v>3200</v>
      </c>
      <c r="T31" s="3">
        <f t="shared" si="3"/>
        <v>4.1666666666666664E-2</v>
      </c>
    </row>
    <row r="32" spans="2:20" x14ac:dyDescent="0.2">
      <c r="B32">
        <v>29</v>
      </c>
      <c r="C32" s="7">
        <v>1092.7670000000001</v>
      </c>
      <c r="D32" s="7">
        <v>1373.126</v>
      </c>
      <c r="E32" s="7">
        <v>2302.5509999999999</v>
      </c>
      <c r="F32" s="7">
        <v>2665.337</v>
      </c>
      <c r="M32">
        <v>3600</v>
      </c>
      <c r="N32" s="3">
        <f t="shared" si="1"/>
        <v>2.6086956521739129E-2</v>
      </c>
      <c r="O32">
        <v>3600</v>
      </c>
      <c r="P32" s="4">
        <f t="shared" si="2"/>
        <v>3.5211267605633804E-2</v>
      </c>
      <c r="Q32">
        <v>3600</v>
      </c>
      <c r="R32" s="3">
        <f t="shared" si="0"/>
        <v>4.3859649122807015E-2</v>
      </c>
      <c r="S32">
        <v>3600</v>
      </c>
      <c r="T32" s="3">
        <f t="shared" si="3"/>
        <v>3.5714285714285712E-2</v>
      </c>
    </row>
    <row r="33" spans="2:20" x14ac:dyDescent="0.2">
      <c r="B33">
        <v>30</v>
      </c>
      <c r="C33" s="7">
        <v>544.35799999999995</v>
      </c>
      <c r="D33" s="7">
        <v>3637.7809999999999</v>
      </c>
      <c r="E33" s="7">
        <v>1518.742</v>
      </c>
      <c r="F33" s="7">
        <v>1800.125</v>
      </c>
      <c r="M33">
        <v>4000</v>
      </c>
      <c r="N33" s="3">
        <f t="shared" si="1"/>
        <v>1.7391304347826087E-2</v>
      </c>
      <c r="O33">
        <v>4000</v>
      </c>
      <c r="P33" s="4">
        <f t="shared" si="2"/>
        <v>4.9295774647887321E-2</v>
      </c>
      <c r="Q33">
        <v>4000</v>
      </c>
      <c r="R33" s="3">
        <f t="shared" si="0"/>
        <v>1.7543859649122806E-2</v>
      </c>
      <c r="S33">
        <v>4000</v>
      </c>
      <c r="T33" s="3">
        <f t="shared" si="3"/>
        <v>2.3809523809523808E-2</v>
      </c>
    </row>
    <row r="34" spans="2:20" x14ac:dyDescent="0.2">
      <c r="B34">
        <v>31</v>
      </c>
      <c r="C34" s="7">
        <v>812.36300000000006</v>
      </c>
      <c r="D34" s="7">
        <v>3323.4789999999998</v>
      </c>
      <c r="E34" s="7">
        <v>846.38300000000004</v>
      </c>
      <c r="F34" s="7">
        <v>1608.633</v>
      </c>
      <c r="M34">
        <v>4400</v>
      </c>
      <c r="N34" s="3">
        <f t="shared" si="1"/>
        <v>1.7391304347826087E-2</v>
      </c>
      <c r="O34">
        <v>4400</v>
      </c>
      <c r="P34" s="4">
        <f t="shared" si="2"/>
        <v>1.4084507042253521E-2</v>
      </c>
      <c r="Q34">
        <v>4400</v>
      </c>
      <c r="R34" s="3">
        <f t="shared" si="0"/>
        <v>1.7543859649122806E-2</v>
      </c>
      <c r="S34">
        <v>4400</v>
      </c>
      <c r="T34" s="3">
        <f t="shared" si="3"/>
        <v>0</v>
      </c>
    </row>
    <row r="35" spans="2:20" x14ac:dyDescent="0.2">
      <c r="B35">
        <v>32</v>
      </c>
      <c r="C35" s="7">
        <v>529.07500000000005</v>
      </c>
      <c r="D35" s="7">
        <v>1076.537</v>
      </c>
      <c r="E35" s="7">
        <v>3527.4789999999998</v>
      </c>
      <c r="F35" s="7">
        <v>538.46900000000005</v>
      </c>
      <c r="M35">
        <v>4800</v>
      </c>
      <c r="N35" s="3">
        <f t="shared" si="1"/>
        <v>4.3478260869565216E-2</v>
      </c>
      <c r="O35">
        <v>4800</v>
      </c>
      <c r="P35" s="4">
        <f t="shared" si="2"/>
        <v>1.4084507042253521E-2</v>
      </c>
      <c r="Q35">
        <v>4800</v>
      </c>
      <c r="R35" s="3">
        <f t="shared" si="0"/>
        <v>0</v>
      </c>
      <c r="S35">
        <v>4800</v>
      </c>
      <c r="T35" s="3">
        <f t="shared" si="3"/>
        <v>5.9523809523809521E-3</v>
      </c>
    </row>
    <row r="36" spans="2:20" x14ac:dyDescent="0.2">
      <c r="B36">
        <v>33</v>
      </c>
      <c r="C36" s="7">
        <v>889.29200000000003</v>
      </c>
      <c r="D36" s="7">
        <v>918.85599999999999</v>
      </c>
      <c r="E36" s="7">
        <v>1749.6369999999999</v>
      </c>
      <c r="F36" s="7">
        <v>866.13300000000004</v>
      </c>
      <c r="M36">
        <v>5200</v>
      </c>
      <c r="N36" s="3">
        <f t="shared" si="1"/>
        <v>0</v>
      </c>
      <c r="O36">
        <v>5200</v>
      </c>
      <c r="P36" s="4">
        <f t="shared" si="2"/>
        <v>0</v>
      </c>
      <c r="Q36">
        <v>5200</v>
      </c>
      <c r="R36" s="3">
        <f t="shared" si="0"/>
        <v>0</v>
      </c>
      <c r="S36">
        <v>5200</v>
      </c>
      <c r="T36" s="3">
        <f t="shared" si="3"/>
        <v>0</v>
      </c>
    </row>
    <row r="37" spans="2:20" x14ac:dyDescent="0.2">
      <c r="B37">
        <v>34</v>
      </c>
      <c r="C37" s="7">
        <v>839.87099999999998</v>
      </c>
      <c r="D37" s="7">
        <v>4245.4089999999997</v>
      </c>
      <c r="E37" s="7">
        <v>756.18100000000004</v>
      </c>
      <c r="F37" s="7">
        <v>2274.4679999999998</v>
      </c>
      <c r="M37">
        <v>5600</v>
      </c>
      <c r="N37" s="3">
        <f t="shared" si="1"/>
        <v>8.6956521739130436E-3</v>
      </c>
      <c r="O37">
        <v>5600</v>
      </c>
      <c r="P37" s="4">
        <f t="shared" si="2"/>
        <v>7.0422535211267607E-3</v>
      </c>
      <c r="Q37">
        <v>5600</v>
      </c>
      <c r="R37" s="3">
        <f t="shared" si="0"/>
        <v>8.771929824561403E-3</v>
      </c>
      <c r="S37">
        <v>5600</v>
      </c>
      <c r="T37" s="3">
        <f t="shared" si="3"/>
        <v>0</v>
      </c>
    </row>
    <row r="38" spans="2:20" x14ac:dyDescent="0.2">
      <c r="B38">
        <v>35</v>
      </c>
      <c r="C38" s="7">
        <v>1330.13</v>
      </c>
      <c r="D38" s="7">
        <v>685.65800000000002</v>
      </c>
      <c r="E38" s="7">
        <v>1034.6389999999999</v>
      </c>
      <c r="F38" s="7">
        <v>1137.67</v>
      </c>
      <c r="M38">
        <v>6000</v>
      </c>
      <c r="N38" s="3">
        <f t="shared" si="1"/>
        <v>0</v>
      </c>
      <c r="O38">
        <v>6000</v>
      </c>
      <c r="P38" s="4">
        <f t="shared" si="2"/>
        <v>0</v>
      </c>
      <c r="Q38">
        <v>6000</v>
      </c>
      <c r="R38" s="3">
        <f t="shared" si="0"/>
        <v>0</v>
      </c>
      <c r="S38">
        <v>6000</v>
      </c>
      <c r="T38" s="3">
        <f t="shared" si="3"/>
        <v>0</v>
      </c>
    </row>
    <row r="39" spans="2:20" ht="17" thickBot="1" x14ac:dyDescent="0.25">
      <c r="B39">
        <v>36</v>
      </c>
      <c r="C39" s="7">
        <v>989.68100000000004</v>
      </c>
      <c r="D39" s="7">
        <v>715.13</v>
      </c>
      <c r="E39" s="7">
        <v>1454.864</v>
      </c>
      <c r="F39" s="7">
        <v>3519.145</v>
      </c>
      <c r="M39" s="1" t="s">
        <v>1</v>
      </c>
      <c r="N39" s="1">
        <v>1</v>
      </c>
      <c r="O39" s="1" t="s">
        <v>1</v>
      </c>
      <c r="P39" s="1">
        <v>0</v>
      </c>
      <c r="Q39" s="1" t="s">
        <v>1</v>
      </c>
      <c r="R39" s="1">
        <v>0</v>
      </c>
      <c r="S39" s="1" t="s">
        <v>1</v>
      </c>
      <c r="T39" s="5">
        <f t="shared" si="3"/>
        <v>0</v>
      </c>
    </row>
    <row r="40" spans="2:20" x14ac:dyDescent="0.2">
      <c r="B40">
        <v>37</v>
      </c>
      <c r="C40" s="7">
        <v>769.32100000000003</v>
      </c>
      <c r="D40" s="7">
        <v>1739.77</v>
      </c>
      <c r="E40" s="7">
        <v>1032.4469999999999</v>
      </c>
      <c r="F40" s="7">
        <v>948.10900000000004</v>
      </c>
    </row>
    <row r="41" spans="2:20" x14ac:dyDescent="0.2">
      <c r="B41">
        <v>38</v>
      </c>
      <c r="C41" s="7">
        <v>735.42200000000003</v>
      </c>
      <c r="D41" s="7">
        <v>297.185</v>
      </c>
      <c r="E41" s="7">
        <v>1418.848</v>
      </c>
      <c r="F41" s="7">
        <v>3680.2280000000001</v>
      </c>
    </row>
    <row r="42" spans="2:20" x14ac:dyDescent="0.2">
      <c r="B42">
        <v>39</v>
      </c>
      <c r="C42" s="7">
        <v>1061.0630000000001</v>
      </c>
      <c r="D42" s="7">
        <v>2877.71</v>
      </c>
      <c r="E42" s="7">
        <v>1023.301</v>
      </c>
      <c r="F42" s="7">
        <v>1723.127</v>
      </c>
    </row>
    <row r="43" spans="2:20" x14ac:dyDescent="0.2">
      <c r="B43">
        <v>40</v>
      </c>
      <c r="C43" s="7">
        <v>649.89099999999996</v>
      </c>
      <c r="D43" s="7">
        <v>1205.5</v>
      </c>
      <c r="E43" s="7">
        <v>946.303</v>
      </c>
      <c r="F43" s="7">
        <v>1340.692</v>
      </c>
    </row>
    <row r="44" spans="2:20" x14ac:dyDescent="0.2">
      <c r="B44">
        <v>41</v>
      </c>
      <c r="C44" s="7">
        <v>747.23099999999999</v>
      </c>
      <c r="D44" s="7">
        <v>1832.9169999999999</v>
      </c>
      <c r="E44" s="7">
        <v>863.64499999999998</v>
      </c>
      <c r="F44" s="7">
        <v>1784.3489999999999</v>
      </c>
    </row>
    <row r="45" spans="2:20" x14ac:dyDescent="0.2">
      <c r="B45">
        <v>42</v>
      </c>
      <c r="C45" s="7">
        <v>708.70299999999997</v>
      </c>
      <c r="D45" s="7">
        <v>2133.46</v>
      </c>
      <c r="E45" s="7">
        <v>750.12099999999998</v>
      </c>
      <c r="F45" s="7">
        <v>501.56299999999999</v>
      </c>
    </row>
    <row r="46" spans="2:20" x14ac:dyDescent="0.2">
      <c r="B46">
        <v>43</v>
      </c>
      <c r="C46" s="7">
        <v>3766.5909999999999</v>
      </c>
      <c r="D46" s="7">
        <v>2136.8910000000001</v>
      </c>
      <c r="E46" s="7">
        <v>2808.7930000000001</v>
      </c>
      <c r="F46" s="7">
        <v>979.51700000000005</v>
      </c>
    </row>
    <row r="47" spans="2:20" x14ac:dyDescent="0.2">
      <c r="B47">
        <v>44</v>
      </c>
      <c r="C47" s="7">
        <v>2743.194</v>
      </c>
      <c r="D47" s="7">
        <v>873.63599999999997</v>
      </c>
      <c r="E47" s="7">
        <v>1621.837</v>
      </c>
      <c r="F47" s="7">
        <v>1073.2080000000001</v>
      </c>
    </row>
    <row r="48" spans="2:20" x14ac:dyDescent="0.2">
      <c r="B48">
        <v>45</v>
      </c>
      <c r="C48" s="7">
        <v>1274.633</v>
      </c>
      <c r="D48" s="7">
        <v>683.88400000000001</v>
      </c>
      <c r="E48" s="7">
        <v>2103.5309999999999</v>
      </c>
      <c r="F48" s="7">
        <v>609.45299999999997</v>
      </c>
    </row>
    <row r="49" spans="2:6" x14ac:dyDescent="0.2">
      <c r="B49">
        <v>46</v>
      </c>
      <c r="C49" s="7">
        <v>2993.31</v>
      </c>
      <c r="D49" s="7">
        <v>901.97299999999996</v>
      </c>
      <c r="E49" s="7">
        <v>518.65300000000002</v>
      </c>
      <c r="F49" s="7">
        <v>1316.989</v>
      </c>
    </row>
    <row r="50" spans="2:6" x14ac:dyDescent="0.2">
      <c r="B50">
        <v>47</v>
      </c>
      <c r="C50" s="7">
        <v>1930.0060000000001</v>
      </c>
      <c r="D50" s="7">
        <v>1483.3630000000001</v>
      </c>
      <c r="E50" s="7">
        <v>1227.2919999999999</v>
      </c>
      <c r="F50" s="7">
        <v>1134.1089999999999</v>
      </c>
    </row>
    <row r="51" spans="2:6" x14ac:dyDescent="0.2">
      <c r="B51">
        <v>48</v>
      </c>
      <c r="C51" s="7">
        <v>702.13300000000004</v>
      </c>
      <c r="D51" s="7">
        <v>1931.9090000000001</v>
      </c>
      <c r="E51" s="7">
        <v>795.83900000000006</v>
      </c>
      <c r="F51" s="7">
        <v>878.38400000000001</v>
      </c>
    </row>
    <row r="52" spans="2:6" x14ac:dyDescent="0.2">
      <c r="B52">
        <v>49</v>
      </c>
      <c r="C52" s="7">
        <v>1367.624</v>
      </c>
      <c r="D52" s="7">
        <v>3223.5439999999999</v>
      </c>
      <c r="E52" s="7">
        <v>1117.896</v>
      </c>
      <c r="F52" s="7">
        <v>1497.76</v>
      </c>
    </row>
    <row r="53" spans="2:6" x14ac:dyDescent="0.2">
      <c r="B53">
        <v>50</v>
      </c>
      <c r="C53" s="7">
        <v>936.81799999999998</v>
      </c>
      <c r="D53" s="7">
        <v>1411.1089999999999</v>
      </c>
      <c r="E53" s="7">
        <v>1172.4380000000001</v>
      </c>
      <c r="F53" s="7">
        <v>3063.7060000000001</v>
      </c>
    </row>
    <row r="54" spans="2:6" x14ac:dyDescent="0.2">
      <c r="B54">
        <v>51</v>
      </c>
      <c r="C54" s="7">
        <v>591.48599999999999</v>
      </c>
      <c r="D54" s="7">
        <v>2094.4989999999998</v>
      </c>
      <c r="E54" s="7">
        <v>724.21799999999996</v>
      </c>
      <c r="F54" s="7">
        <v>664.93399999999997</v>
      </c>
    </row>
    <row r="55" spans="2:6" x14ac:dyDescent="0.2">
      <c r="B55">
        <v>52</v>
      </c>
      <c r="C55" s="7">
        <v>1138.9870000000001</v>
      </c>
      <c r="D55" s="7">
        <v>2226.7469999999998</v>
      </c>
      <c r="E55" s="7">
        <v>1084.2560000000001</v>
      </c>
      <c r="F55" s="7">
        <v>1483.53</v>
      </c>
    </row>
    <row r="56" spans="2:6" x14ac:dyDescent="0.2">
      <c r="B56">
        <v>53</v>
      </c>
      <c r="C56" s="7">
        <v>1616.1469999999999</v>
      </c>
      <c r="D56" s="7">
        <v>2117.44</v>
      </c>
      <c r="E56" s="7">
        <v>638.42399999999998</v>
      </c>
      <c r="F56" s="7">
        <v>1469.7270000000001</v>
      </c>
    </row>
    <row r="57" spans="2:6" x14ac:dyDescent="0.2">
      <c r="B57">
        <v>54</v>
      </c>
      <c r="C57" s="7">
        <v>758.38199999999995</v>
      </c>
      <c r="D57" s="7">
        <v>2304.8420000000001</v>
      </c>
      <c r="E57" s="7">
        <v>682.56500000000005</v>
      </c>
      <c r="F57" s="7">
        <v>1417.742</v>
      </c>
    </row>
    <row r="58" spans="2:6" x14ac:dyDescent="0.2">
      <c r="B58">
        <v>55</v>
      </c>
      <c r="C58" s="7">
        <v>700.76900000000001</v>
      </c>
      <c r="D58" s="7">
        <v>2131.91</v>
      </c>
      <c r="E58" s="7">
        <v>662.44600000000003</v>
      </c>
      <c r="F58" s="7">
        <v>437.49599999999998</v>
      </c>
    </row>
    <row r="59" spans="2:6" x14ac:dyDescent="0.2">
      <c r="B59">
        <v>56</v>
      </c>
      <c r="C59" s="7">
        <v>1294.009</v>
      </c>
      <c r="D59" s="7">
        <v>840.76</v>
      </c>
      <c r="E59" s="7">
        <v>968</v>
      </c>
      <c r="F59" s="7">
        <v>673.50800000000004</v>
      </c>
    </row>
    <row r="60" spans="2:6" x14ac:dyDescent="0.2">
      <c r="B60">
        <v>57</v>
      </c>
      <c r="C60" s="7">
        <v>835.99199999999996</v>
      </c>
      <c r="D60" s="7">
        <v>746.17499999999995</v>
      </c>
      <c r="E60" s="7">
        <v>780.21100000000001</v>
      </c>
      <c r="F60" s="7">
        <v>1909.64</v>
      </c>
    </row>
    <row r="61" spans="2:6" x14ac:dyDescent="0.2">
      <c r="B61">
        <v>58</v>
      </c>
      <c r="C61" s="7">
        <v>2253.8270000000002</v>
      </c>
      <c r="D61" s="7">
        <v>469.548</v>
      </c>
      <c r="E61" s="7">
        <v>2332.5120000000002</v>
      </c>
      <c r="F61" s="7">
        <v>3772.645</v>
      </c>
    </row>
    <row r="62" spans="2:6" x14ac:dyDescent="0.2">
      <c r="B62">
        <v>59</v>
      </c>
      <c r="C62" s="7">
        <v>2909.32</v>
      </c>
      <c r="D62" s="7">
        <v>898.13599999999997</v>
      </c>
      <c r="E62" s="7">
        <v>1363.0309999999999</v>
      </c>
      <c r="F62" s="7">
        <v>1059.54</v>
      </c>
    </row>
    <row r="63" spans="2:6" x14ac:dyDescent="0.2">
      <c r="B63">
        <v>60</v>
      </c>
      <c r="C63" s="7">
        <v>5572.5150000000003</v>
      </c>
      <c r="D63" s="7">
        <v>1549.13</v>
      </c>
      <c r="E63" s="7">
        <v>1875.585</v>
      </c>
      <c r="F63" s="7">
        <v>2023.636</v>
      </c>
    </row>
    <row r="64" spans="2:6" x14ac:dyDescent="0.2">
      <c r="B64">
        <v>61</v>
      </c>
      <c r="C64" s="7">
        <v>1928.9159999999999</v>
      </c>
      <c r="D64" s="7">
        <v>1137.5250000000001</v>
      </c>
      <c r="E64" s="7">
        <v>2138.8029999999999</v>
      </c>
      <c r="F64" s="7">
        <v>1424.7339999999999</v>
      </c>
    </row>
    <row r="65" spans="2:6" x14ac:dyDescent="0.2">
      <c r="B65">
        <v>62</v>
      </c>
      <c r="C65" s="7">
        <v>1042.2349999999999</v>
      </c>
      <c r="D65" s="7">
        <v>1172.539</v>
      </c>
      <c r="E65" s="7">
        <v>3336.6880000000001</v>
      </c>
      <c r="F65" s="7">
        <v>949.322</v>
      </c>
    </row>
    <row r="66" spans="2:6" x14ac:dyDescent="0.2">
      <c r="B66">
        <v>63</v>
      </c>
      <c r="C66" s="7">
        <v>587.67200000000003</v>
      </c>
      <c r="D66" s="7">
        <v>943.10400000000004</v>
      </c>
      <c r="E66" s="7">
        <v>2131.1089999999999</v>
      </c>
      <c r="F66" s="7">
        <v>973.45799999999997</v>
      </c>
    </row>
    <row r="67" spans="2:6" x14ac:dyDescent="0.2">
      <c r="B67">
        <v>64</v>
      </c>
      <c r="C67" s="7">
        <v>1047.011</v>
      </c>
      <c r="D67" s="7">
        <v>1181.1410000000001</v>
      </c>
      <c r="E67" s="7">
        <v>2459.1280000000002</v>
      </c>
      <c r="F67" s="7">
        <v>1569.989</v>
      </c>
    </row>
    <row r="68" spans="2:6" x14ac:dyDescent="0.2">
      <c r="B68">
        <v>65</v>
      </c>
      <c r="C68" s="7">
        <v>650.125</v>
      </c>
      <c r="D68" s="7">
        <v>790.95799999999997</v>
      </c>
      <c r="E68" s="7">
        <v>2796.1570000000002</v>
      </c>
      <c r="F68" s="7">
        <v>587.226</v>
      </c>
    </row>
    <row r="69" spans="2:6" x14ac:dyDescent="0.2">
      <c r="B69">
        <v>66</v>
      </c>
      <c r="C69" s="7">
        <v>1579.942</v>
      </c>
      <c r="D69" s="7">
        <v>647.35699999999997</v>
      </c>
      <c r="E69" s="7">
        <v>2161.373</v>
      </c>
      <c r="F69" s="7">
        <v>937.83199999999999</v>
      </c>
    </row>
    <row r="70" spans="2:6" x14ac:dyDescent="0.2">
      <c r="B70">
        <v>67</v>
      </c>
      <c r="C70" s="7">
        <v>882.73500000000001</v>
      </c>
      <c r="D70" s="7">
        <v>583.71900000000005</v>
      </c>
      <c r="E70" s="7">
        <v>4505.3940000000002</v>
      </c>
      <c r="F70" s="7">
        <v>870.43799999999999</v>
      </c>
    </row>
    <row r="71" spans="2:6" x14ac:dyDescent="0.2">
      <c r="B71">
        <v>68</v>
      </c>
      <c r="C71" s="7">
        <v>1185.645</v>
      </c>
      <c r="D71" s="7">
        <v>3363.3339999999998</v>
      </c>
      <c r="E71" s="7">
        <v>3063.5940000000001</v>
      </c>
      <c r="F71" s="7">
        <v>852.18299999999999</v>
      </c>
    </row>
    <row r="72" spans="2:6" x14ac:dyDescent="0.2">
      <c r="B72">
        <v>69</v>
      </c>
      <c r="C72" s="7">
        <v>632.47799999999995</v>
      </c>
      <c r="D72" s="7">
        <v>1405.15</v>
      </c>
      <c r="E72" s="7">
        <v>1734.2850000000001</v>
      </c>
      <c r="F72" s="7">
        <v>928.46600000000001</v>
      </c>
    </row>
    <row r="73" spans="2:6" x14ac:dyDescent="0.2">
      <c r="B73">
        <v>70</v>
      </c>
      <c r="C73" s="7">
        <v>548.83399999999995</v>
      </c>
      <c r="D73" s="7">
        <v>2438.6179999999999</v>
      </c>
      <c r="E73" s="7">
        <v>2952.5050000000001</v>
      </c>
      <c r="F73" s="7">
        <v>1274.5920000000001</v>
      </c>
    </row>
    <row r="74" spans="2:6" x14ac:dyDescent="0.2">
      <c r="B74">
        <v>71</v>
      </c>
      <c r="C74" s="7">
        <v>721.93100000000004</v>
      </c>
      <c r="D74" s="7">
        <v>964.69899999999996</v>
      </c>
      <c r="E74" s="7">
        <v>2573.4299999999998</v>
      </c>
      <c r="F74" s="7">
        <v>1264.2750000000001</v>
      </c>
    </row>
    <row r="75" spans="2:6" x14ac:dyDescent="0.2">
      <c r="B75">
        <v>72</v>
      </c>
      <c r="C75" s="7">
        <v>936.84400000000005</v>
      </c>
      <c r="D75" s="7">
        <v>865.14599999999996</v>
      </c>
      <c r="E75" s="7">
        <v>2624.7049999999999</v>
      </c>
      <c r="F75" s="7">
        <v>601.06399999999996</v>
      </c>
    </row>
    <row r="76" spans="2:6" x14ac:dyDescent="0.2">
      <c r="B76">
        <v>73</v>
      </c>
      <c r="C76" s="7">
        <v>1240.7170000000001</v>
      </c>
      <c r="D76" s="7">
        <v>1612.6690000000001</v>
      </c>
      <c r="E76" s="7">
        <v>1622.2180000000001</v>
      </c>
      <c r="F76" s="7">
        <v>1014.293</v>
      </c>
    </row>
    <row r="77" spans="2:6" x14ac:dyDescent="0.2">
      <c r="B77">
        <v>74</v>
      </c>
      <c r="C77" s="7">
        <v>1606.9349999999999</v>
      </c>
      <c r="D77" s="7">
        <v>1013.175</v>
      </c>
      <c r="E77" s="7">
        <v>1383.6489999999999</v>
      </c>
      <c r="F77" s="7">
        <v>902.37699999999995</v>
      </c>
    </row>
    <row r="78" spans="2:6" x14ac:dyDescent="0.2">
      <c r="B78">
        <v>75</v>
      </c>
      <c r="C78" s="7">
        <v>4724.5870000000004</v>
      </c>
      <c r="D78" s="7">
        <v>1205.009</v>
      </c>
      <c r="E78" s="7">
        <v>3019.03</v>
      </c>
      <c r="F78" s="7">
        <v>1008.345</v>
      </c>
    </row>
    <row r="79" spans="2:6" x14ac:dyDescent="0.2">
      <c r="B79">
        <v>76</v>
      </c>
      <c r="C79" s="7">
        <v>1904.414</v>
      </c>
      <c r="D79" s="7">
        <v>626.76400000000001</v>
      </c>
      <c r="E79" s="7">
        <v>581.95299999999997</v>
      </c>
      <c r="F79" s="7">
        <v>4038.163</v>
      </c>
    </row>
    <row r="80" spans="2:6" x14ac:dyDescent="0.2">
      <c r="B80">
        <v>77</v>
      </c>
      <c r="C80" s="7">
        <v>3237.973</v>
      </c>
      <c r="D80" s="7">
        <v>2729.174</v>
      </c>
      <c r="E80" s="7">
        <v>561.30899999999997</v>
      </c>
      <c r="F80" s="7">
        <v>1240.5530000000001</v>
      </c>
    </row>
    <row r="81" spans="2:6" x14ac:dyDescent="0.2">
      <c r="B81">
        <v>78</v>
      </c>
      <c r="C81" s="7">
        <v>1356.854</v>
      </c>
      <c r="D81" s="7">
        <v>1235.249</v>
      </c>
      <c r="E81" s="7">
        <v>470.57400000000001</v>
      </c>
      <c r="F81" s="7">
        <v>885.59299999999996</v>
      </c>
    </row>
    <row r="82" spans="2:6" x14ac:dyDescent="0.2">
      <c r="B82">
        <v>79</v>
      </c>
      <c r="C82" s="7">
        <v>1107.614</v>
      </c>
      <c r="D82" s="7">
        <v>3611.1370000000002</v>
      </c>
      <c r="E82" s="7">
        <v>2406.828</v>
      </c>
      <c r="F82" s="7">
        <v>952.89400000000001</v>
      </c>
    </row>
    <row r="83" spans="2:6" x14ac:dyDescent="0.2">
      <c r="B83">
        <v>80</v>
      </c>
      <c r="C83" s="7">
        <v>2934.4830000000002</v>
      </c>
      <c r="D83" s="7">
        <v>3347.616</v>
      </c>
      <c r="E83" s="7">
        <v>2438.7829999999999</v>
      </c>
      <c r="F83" s="7">
        <v>874.44500000000005</v>
      </c>
    </row>
    <row r="84" spans="2:6" x14ac:dyDescent="0.2">
      <c r="B84">
        <v>81</v>
      </c>
      <c r="C84" s="7">
        <v>2406.7779999999998</v>
      </c>
      <c r="D84" s="7">
        <v>3449.201</v>
      </c>
      <c r="E84" s="7">
        <v>2495.8780000000002</v>
      </c>
      <c r="F84" s="7">
        <v>1172.5360000000001</v>
      </c>
    </row>
    <row r="85" spans="2:6" x14ac:dyDescent="0.2">
      <c r="B85">
        <v>82</v>
      </c>
      <c r="C85" s="7">
        <v>1240.614</v>
      </c>
      <c r="D85" s="7">
        <v>1995.982</v>
      </c>
      <c r="E85" s="7">
        <v>3213.8119999999999</v>
      </c>
      <c r="F85" s="7">
        <v>914.44899999999996</v>
      </c>
    </row>
    <row r="86" spans="2:6" x14ac:dyDescent="0.2">
      <c r="B86">
        <v>83</v>
      </c>
      <c r="C86" s="7">
        <v>1132.796</v>
      </c>
      <c r="D86" s="7">
        <v>4257.9859999999999</v>
      </c>
      <c r="E86" s="7">
        <v>3373.2359999999999</v>
      </c>
      <c r="F86" s="7">
        <v>765.29300000000001</v>
      </c>
    </row>
    <row r="87" spans="2:6" x14ac:dyDescent="0.2">
      <c r="B87">
        <v>84</v>
      </c>
      <c r="C87" s="7">
        <v>460.39100000000002</v>
      </c>
      <c r="D87" s="7">
        <v>871.18</v>
      </c>
      <c r="E87" s="7">
        <v>2445.8330000000001</v>
      </c>
      <c r="F87" s="7">
        <v>803.93700000000001</v>
      </c>
    </row>
    <row r="88" spans="2:6" x14ac:dyDescent="0.2">
      <c r="B88">
        <v>85</v>
      </c>
      <c r="C88" s="7">
        <v>542.26499999999999</v>
      </c>
      <c r="D88" s="7">
        <v>1454.7539999999999</v>
      </c>
      <c r="E88" s="7">
        <v>3974.3649999999998</v>
      </c>
      <c r="F88" s="7">
        <v>1190.7539999999999</v>
      </c>
    </row>
    <row r="89" spans="2:6" x14ac:dyDescent="0.2">
      <c r="B89">
        <v>86</v>
      </c>
      <c r="C89" s="7">
        <v>335.642</v>
      </c>
      <c r="D89" s="7">
        <v>945.43700000000001</v>
      </c>
      <c r="E89" s="7">
        <v>1327.99</v>
      </c>
      <c r="F89" s="7">
        <v>616.6</v>
      </c>
    </row>
    <row r="90" spans="2:6" x14ac:dyDescent="0.2">
      <c r="B90">
        <v>87</v>
      </c>
      <c r="C90" s="7">
        <v>667.66800000000001</v>
      </c>
      <c r="D90" s="7">
        <v>2623.3609999999999</v>
      </c>
      <c r="E90" s="7">
        <v>1356.3430000000001</v>
      </c>
      <c r="F90" s="7">
        <v>832.03300000000002</v>
      </c>
    </row>
    <row r="91" spans="2:6" x14ac:dyDescent="0.2">
      <c r="B91">
        <v>88</v>
      </c>
      <c r="C91" s="7">
        <v>374.04399999999998</v>
      </c>
      <c r="D91" s="7">
        <v>880.71900000000005</v>
      </c>
      <c r="E91" s="7">
        <v>2710.32</v>
      </c>
      <c r="F91" s="7">
        <v>815.22699999999998</v>
      </c>
    </row>
    <row r="92" spans="2:6" x14ac:dyDescent="0.2">
      <c r="B92">
        <v>89</v>
      </c>
      <c r="C92" s="7">
        <v>630.34</v>
      </c>
      <c r="D92" s="7">
        <v>691.97900000000004</v>
      </c>
      <c r="E92" s="7">
        <v>3982.8820000000001</v>
      </c>
      <c r="F92" s="7">
        <v>664.50300000000004</v>
      </c>
    </row>
    <row r="93" spans="2:6" x14ac:dyDescent="0.2">
      <c r="B93">
        <v>90</v>
      </c>
      <c r="C93" s="7">
        <v>2387.3409999999999</v>
      </c>
      <c r="D93" s="7">
        <v>976.26099999999997</v>
      </c>
      <c r="E93" s="7">
        <v>1605.643</v>
      </c>
      <c r="F93" s="7">
        <v>2386.154</v>
      </c>
    </row>
    <row r="94" spans="2:6" x14ac:dyDescent="0.2">
      <c r="B94">
        <v>91</v>
      </c>
      <c r="C94" s="7">
        <v>1450.0519999999999</v>
      </c>
      <c r="D94" s="7">
        <v>2215.9279999999999</v>
      </c>
      <c r="E94" s="7">
        <v>2403.2689999999998</v>
      </c>
      <c r="F94" s="7">
        <v>479.798</v>
      </c>
    </row>
    <row r="95" spans="2:6" x14ac:dyDescent="0.2">
      <c r="B95">
        <v>92</v>
      </c>
      <c r="C95" s="7">
        <v>1254.4580000000001</v>
      </c>
      <c r="D95" s="7">
        <v>1582.3969999999999</v>
      </c>
      <c r="E95" s="7">
        <v>915.82799999999997</v>
      </c>
      <c r="F95" s="7">
        <v>848.13499999999999</v>
      </c>
    </row>
    <row r="96" spans="2:6" x14ac:dyDescent="0.2">
      <c r="B96">
        <v>93</v>
      </c>
      <c r="C96" s="7">
        <v>983.95</v>
      </c>
      <c r="D96" s="7">
        <v>1558.423</v>
      </c>
      <c r="E96" s="7">
        <v>1155.75</v>
      </c>
      <c r="F96" s="7">
        <v>2229.1529999999998</v>
      </c>
    </row>
    <row r="97" spans="2:6" x14ac:dyDescent="0.2">
      <c r="B97">
        <v>94</v>
      </c>
      <c r="C97" s="7">
        <v>4516.4759999999997</v>
      </c>
      <c r="D97" s="7">
        <v>1968.221</v>
      </c>
      <c r="E97" s="7">
        <v>627.09799999999996</v>
      </c>
      <c r="F97" s="7">
        <v>635.28399999999999</v>
      </c>
    </row>
    <row r="98" spans="2:6" x14ac:dyDescent="0.2">
      <c r="B98">
        <v>95</v>
      </c>
      <c r="C98" s="7">
        <v>4564.2110000000002</v>
      </c>
      <c r="D98" s="7">
        <v>1017.504</v>
      </c>
      <c r="E98" s="7">
        <v>1676.846</v>
      </c>
      <c r="F98" s="7">
        <v>755.66499999999996</v>
      </c>
    </row>
    <row r="99" spans="2:6" x14ac:dyDescent="0.2">
      <c r="B99">
        <v>96</v>
      </c>
      <c r="C99" s="7">
        <v>684.38699999999994</v>
      </c>
      <c r="D99" s="7">
        <v>1860.6010000000001</v>
      </c>
      <c r="E99" s="7">
        <v>3327.7719999999999</v>
      </c>
      <c r="F99" s="7">
        <v>714.24900000000002</v>
      </c>
    </row>
    <row r="100" spans="2:6" x14ac:dyDescent="0.2">
      <c r="B100">
        <v>97</v>
      </c>
      <c r="C100" s="7">
        <v>1626.5840000000001</v>
      </c>
      <c r="D100" s="7">
        <v>813.98400000000004</v>
      </c>
      <c r="E100" s="7">
        <v>811.03800000000001</v>
      </c>
      <c r="F100" s="7">
        <v>1044.865</v>
      </c>
    </row>
    <row r="101" spans="2:6" x14ac:dyDescent="0.2">
      <c r="B101">
        <v>98</v>
      </c>
      <c r="C101" s="7">
        <v>1445.0419999999999</v>
      </c>
      <c r="D101" s="7">
        <v>805.93600000000004</v>
      </c>
      <c r="E101" s="7">
        <v>1040.788</v>
      </c>
      <c r="F101" s="7">
        <v>599.52499999999998</v>
      </c>
    </row>
    <row r="102" spans="2:6" x14ac:dyDescent="0.2">
      <c r="B102">
        <v>99</v>
      </c>
      <c r="C102" s="7">
        <v>1537.146</v>
      </c>
      <c r="D102" s="7">
        <v>1105.7550000000001</v>
      </c>
      <c r="E102" s="7">
        <v>474.23500000000001</v>
      </c>
      <c r="F102" s="7">
        <v>524.68799999999999</v>
      </c>
    </row>
    <row r="103" spans="2:6" x14ac:dyDescent="0.2">
      <c r="B103">
        <v>100</v>
      </c>
      <c r="C103" s="7">
        <v>1404.248</v>
      </c>
      <c r="D103" s="7">
        <v>520.59699999999998</v>
      </c>
      <c r="E103" s="7">
        <v>871.17399999999998</v>
      </c>
      <c r="F103" s="7">
        <v>790.39300000000003</v>
      </c>
    </row>
    <row r="104" spans="2:6" x14ac:dyDescent="0.2">
      <c r="B104">
        <v>101</v>
      </c>
      <c r="C104" s="7">
        <v>997.03700000000003</v>
      </c>
      <c r="D104" s="7">
        <v>998.59</v>
      </c>
      <c r="E104" s="7">
        <v>966.58199999999999</v>
      </c>
      <c r="F104" s="7">
        <v>806.70500000000004</v>
      </c>
    </row>
    <row r="105" spans="2:6" x14ac:dyDescent="0.2">
      <c r="B105">
        <v>102</v>
      </c>
      <c r="C105" s="7">
        <v>3466.297</v>
      </c>
      <c r="D105" s="7">
        <v>1133.308</v>
      </c>
      <c r="E105" s="7">
        <v>1565.828</v>
      </c>
      <c r="F105" s="7">
        <v>1151.126</v>
      </c>
    </row>
    <row r="106" spans="2:6" x14ac:dyDescent="0.2">
      <c r="B106">
        <v>103</v>
      </c>
      <c r="C106" s="7">
        <v>2147.645</v>
      </c>
      <c r="D106" s="7">
        <v>1248.963</v>
      </c>
      <c r="E106" s="7">
        <v>1020.374</v>
      </c>
      <c r="F106" s="7">
        <v>978.45399999999995</v>
      </c>
    </row>
    <row r="107" spans="2:6" x14ac:dyDescent="0.2">
      <c r="B107">
        <v>104</v>
      </c>
      <c r="C107" s="7">
        <v>881.625</v>
      </c>
      <c r="D107" s="7">
        <v>586.04999999999995</v>
      </c>
      <c r="E107" s="7">
        <v>1385.3889999999999</v>
      </c>
      <c r="F107" s="7">
        <v>1849.575</v>
      </c>
    </row>
    <row r="108" spans="2:6" x14ac:dyDescent="0.2">
      <c r="B108">
        <v>105</v>
      </c>
      <c r="C108" s="7">
        <v>1872.444</v>
      </c>
      <c r="D108" s="7">
        <v>909.80399999999997</v>
      </c>
      <c r="E108" s="7">
        <v>1125.165</v>
      </c>
      <c r="F108" s="7">
        <v>512.95399999999995</v>
      </c>
    </row>
    <row r="109" spans="2:6" x14ac:dyDescent="0.2">
      <c r="B109">
        <v>106</v>
      </c>
      <c r="C109" s="7">
        <v>2699.857</v>
      </c>
      <c r="D109" s="7">
        <v>566.84299999999996</v>
      </c>
      <c r="E109" s="7">
        <v>358.85599999999999</v>
      </c>
      <c r="F109" s="7">
        <v>1038.693</v>
      </c>
    </row>
    <row r="110" spans="2:6" x14ac:dyDescent="0.2">
      <c r="B110">
        <v>107</v>
      </c>
      <c r="C110" s="7">
        <v>3499.4110000000001</v>
      </c>
      <c r="D110" s="7">
        <v>1218.9970000000001</v>
      </c>
      <c r="E110" s="7">
        <v>528.90899999999999</v>
      </c>
      <c r="F110" s="7">
        <v>796.81299999999999</v>
      </c>
    </row>
    <row r="111" spans="2:6" x14ac:dyDescent="0.2">
      <c r="B111">
        <v>108</v>
      </c>
      <c r="C111" s="7">
        <v>2710.8649999999998</v>
      </c>
      <c r="D111" s="7">
        <v>627.91899999999998</v>
      </c>
      <c r="E111" s="7">
        <v>647.06200000000001</v>
      </c>
      <c r="F111" s="7">
        <v>781.57100000000003</v>
      </c>
    </row>
    <row r="112" spans="2:6" x14ac:dyDescent="0.2">
      <c r="B112">
        <v>109</v>
      </c>
      <c r="C112" s="7">
        <v>1607.97</v>
      </c>
      <c r="D112" s="7">
        <v>550.34199999999998</v>
      </c>
      <c r="E112" s="7">
        <v>668.51499999999999</v>
      </c>
      <c r="F112" s="7">
        <v>986.73299999999995</v>
      </c>
    </row>
    <row r="113" spans="2:6" x14ac:dyDescent="0.2">
      <c r="B113">
        <v>110</v>
      </c>
      <c r="C113" s="7">
        <v>598.86800000000005</v>
      </c>
      <c r="D113" s="7">
        <v>992.68899999999996</v>
      </c>
      <c r="E113" s="7">
        <v>656.70500000000004</v>
      </c>
      <c r="F113" s="7">
        <v>759.17</v>
      </c>
    </row>
    <row r="114" spans="2:6" x14ac:dyDescent="0.2">
      <c r="B114">
        <v>111</v>
      </c>
      <c r="C114" s="7">
        <v>937.26700000000005</v>
      </c>
      <c r="D114" s="7">
        <v>423.048</v>
      </c>
      <c r="E114" s="7">
        <v>473.53100000000001</v>
      </c>
      <c r="F114" s="7">
        <v>3967.4229999999998</v>
      </c>
    </row>
    <row r="115" spans="2:6" x14ac:dyDescent="0.2">
      <c r="B115">
        <v>112</v>
      </c>
      <c r="C115" s="7">
        <v>623.09199999999998</v>
      </c>
      <c r="D115" s="7">
        <v>703.197</v>
      </c>
      <c r="E115" s="7">
        <v>889.67499999999995</v>
      </c>
      <c r="F115" s="7">
        <v>1522.575</v>
      </c>
    </row>
    <row r="116" spans="2:6" x14ac:dyDescent="0.2">
      <c r="B116">
        <v>113</v>
      </c>
      <c r="C116" s="7">
        <v>1084.7650000000001</v>
      </c>
      <c r="D116" s="7">
        <v>2206.52</v>
      </c>
      <c r="E116" s="7">
        <v>1002.5359999999999</v>
      </c>
      <c r="F116" s="7">
        <v>2190.9189999999999</v>
      </c>
    </row>
    <row r="117" spans="2:6" x14ac:dyDescent="0.2">
      <c r="B117">
        <v>114</v>
      </c>
      <c r="C117" s="7">
        <v>2278.2220000000002</v>
      </c>
      <c r="D117" s="7">
        <v>1435.1869999999999</v>
      </c>
      <c r="E117" s="7">
        <v>956.38900000000001</v>
      </c>
      <c r="F117" s="7">
        <v>3687.2869999999998</v>
      </c>
    </row>
    <row r="118" spans="2:6" x14ac:dyDescent="0.2">
      <c r="B118">
        <f>B117+1</f>
        <v>115</v>
      </c>
      <c r="C118" s="7">
        <v>10004.638999999999</v>
      </c>
      <c r="E118" s="7">
        <v>738.29399999999998</v>
      </c>
      <c r="F118" s="7">
        <v>1575.27</v>
      </c>
    </row>
    <row r="119" spans="2:6" x14ac:dyDescent="0.2">
      <c r="B119">
        <f t="shared" ref="B119:B171" si="4">B118+1</f>
        <v>116</v>
      </c>
      <c r="E119" s="7">
        <v>800.23099999999999</v>
      </c>
      <c r="F119" s="7">
        <v>3158.2449999999999</v>
      </c>
    </row>
    <row r="120" spans="2:6" x14ac:dyDescent="0.2">
      <c r="B120">
        <f t="shared" si="4"/>
        <v>117</v>
      </c>
      <c r="E120" s="7">
        <v>768.87800000000004</v>
      </c>
      <c r="F120" s="7">
        <v>2957.2339999999999</v>
      </c>
    </row>
    <row r="121" spans="2:6" x14ac:dyDescent="0.2">
      <c r="B121">
        <f t="shared" si="4"/>
        <v>118</v>
      </c>
      <c r="E121" s="7">
        <v>883.80100000000004</v>
      </c>
      <c r="F121" s="7">
        <v>3599.2330000000002</v>
      </c>
    </row>
    <row r="122" spans="2:6" x14ac:dyDescent="0.2">
      <c r="B122">
        <f t="shared" si="4"/>
        <v>119</v>
      </c>
      <c r="E122" s="7">
        <v>519.947</v>
      </c>
      <c r="F122" s="7">
        <v>2611.7179999999998</v>
      </c>
    </row>
    <row r="123" spans="2:6" x14ac:dyDescent="0.2">
      <c r="B123">
        <f t="shared" si="4"/>
        <v>120</v>
      </c>
      <c r="E123" s="7">
        <v>1761.5029999999999</v>
      </c>
      <c r="F123" s="7">
        <v>1533.7829999999999</v>
      </c>
    </row>
    <row r="124" spans="2:6" x14ac:dyDescent="0.2">
      <c r="B124">
        <f t="shared" si="4"/>
        <v>121</v>
      </c>
      <c r="E124" s="7">
        <v>531.62900000000002</v>
      </c>
      <c r="F124" s="7">
        <v>1217.7560000000001</v>
      </c>
    </row>
    <row r="125" spans="2:6" x14ac:dyDescent="0.2">
      <c r="B125">
        <f t="shared" si="4"/>
        <v>122</v>
      </c>
      <c r="E125" s="7">
        <v>621.50099999999998</v>
      </c>
      <c r="F125" s="7">
        <v>834.88699999999994</v>
      </c>
    </row>
    <row r="126" spans="2:6" x14ac:dyDescent="0.2">
      <c r="B126">
        <f t="shared" si="4"/>
        <v>123</v>
      </c>
      <c r="E126" s="7">
        <v>821.351</v>
      </c>
      <c r="F126" s="7">
        <v>697.92700000000002</v>
      </c>
    </row>
    <row r="127" spans="2:6" x14ac:dyDescent="0.2">
      <c r="B127">
        <f t="shared" si="4"/>
        <v>124</v>
      </c>
      <c r="E127" s="7">
        <v>894.33100000000002</v>
      </c>
      <c r="F127" s="7">
        <v>586.61900000000003</v>
      </c>
    </row>
    <row r="128" spans="2:6" x14ac:dyDescent="0.2">
      <c r="B128">
        <f t="shared" si="4"/>
        <v>125</v>
      </c>
      <c r="E128" s="7">
        <v>1183.268</v>
      </c>
      <c r="F128" s="7">
        <v>494.53399999999999</v>
      </c>
    </row>
    <row r="129" spans="2:6" x14ac:dyDescent="0.2">
      <c r="B129">
        <f t="shared" si="4"/>
        <v>126</v>
      </c>
      <c r="E129" s="7">
        <v>2101.616</v>
      </c>
      <c r="F129" s="7">
        <v>568.33100000000002</v>
      </c>
    </row>
    <row r="130" spans="2:6" x14ac:dyDescent="0.2">
      <c r="B130">
        <f t="shared" si="4"/>
        <v>127</v>
      </c>
      <c r="E130" s="7">
        <v>1946.54</v>
      </c>
      <c r="F130" s="7">
        <v>3172.68</v>
      </c>
    </row>
    <row r="131" spans="2:6" x14ac:dyDescent="0.2">
      <c r="B131">
        <f t="shared" si="4"/>
        <v>128</v>
      </c>
      <c r="E131" s="7">
        <v>2431.701</v>
      </c>
      <c r="F131" s="7">
        <v>2327.9690000000001</v>
      </c>
    </row>
    <row r="132" spans="2:6" x14ac:dyDescent="0.2">
      <c r="B132">
        <f t="shared" si="4"/>
        <v>129</v>
      </c>
      <c r="E132" s="7">
        <v>529.452</v>
      </c>
      <c r="F132" s="7">
        <v>1264.335</v>
      </c>
    </row>
    <row r="133" spans="2:6" x14ac:dyDescent="0.2">
      <c r="B133">
        <f t="shared" si="4"/>
        <v>130</v>
      </c>
      <c r="E133" s="7">
        <v>901.68700000000001</v>
      </c>
      <c r="F133" s="7">
        <v>1281.7049999999999</v>
      </c>
    </row>
    <row r="134" spans="2:6" x14ac:dyDescent="0.2">
      <c r="B134">
        <f t="shared" si="4"/>
        <v>131</v>
      </c>
      <c r="E134" s="7">
        <v>1200.117</v>
      </c>
      <c r="F134" s="7">
        <v>686.36099999999999</v>
      </c>
    </row>
    <row r="135" spans="2:6" x14ac:dyDescent="0.2">
      <c r="B135">
        <f t="shared" si="4"/>
        <v>132</v>
      </c>
      <c r="E135" s="7">
        <v>752.97400000000005</v>
      </c>
      <c r="F135" s="7">
        <v>578.98400000000004</v>
      </c>
    </row>
    <row r="136" spans="2:6" x14ac:dyDescent="0.2">
      <c r="B136">
        <f t="shared" si="4"/>
        <v>133</v>
      </c>
      <c r="E136" s="7">
        <v>1223.586</v>
      </c>
      <c r="F136" s="7">
        <v>599.52499999999998</v>
      </c>
    </row>
    <row r="137" spans="2:6" x14ac:dyDescent="0.2">
      <c r="B137">
        <f t="shared" si="4"/>
        <v>134</v>
      </c>
      <c r="E137" s="7">
        <v>673.59199999999998</v>
      </c>
      <c r="F137" s="7">
        <v>556.51599999999996</v>
      </c>
    </row>
    <row r="138" spans="2:6" x14ac:dyDescent="0.2">
      <c r="B138">
        <f t="shared" si="4"/>
        <v>135</v>
      </c>
      <c r="E138" s="7">
        <v>998.197</v>
      </c>
      <c r="F138" s="7">
        <v>1219.548</v>
      </c>
    </row>
    <row r="139" spans="2:6" x14ac:dyDescent="0.2">
      <c r="B139">
        <f t="shared" si="4"/>
        <v>136</v>
      </c>
      <c r="E139" s="7">
        <v>1277.1189999999999</v>
      </c>
      <c r="F139" s="7">
        <v>1462.2940000000001</v>
      </c>
    </row>
    <row r="140" spans="2:6" x14ac:dyDescent="0.2">
      <c r="B140">
        <f t="shared" si="4"/>
        <v>137</v>
      </c>
      <c r="E140" s="7">
        <v>833.30899999999997</v>
      </c>
      <c r="F140" s="7">
        <v>1815.413</v>
      </c>
    </row>
    <row r="141" spans="2:6" x14ac:dyDescent="0.2">
      <c r="B141">
        <f t="shared" si="4"/>
        <v>138</v>
      </c>
      <c r="E141" s="7">
        <v>733.49300000000005</v>
      </c>
      <c r="F141" s="7">
        <v>1046.694</v>
      </c>
    </row>
    <row r="142" spans="2:6" x14ac:dyDescent="0.2">
      <c r="B142">
        <f t="shared" si="4"/>
        <v>139</v>
      </c>
      <c r="E142" s="7">
        <v>1384.701</v>
      </c>
      <c r="F142" s="7">
        <v>1257.7280000000001</v>
      </c>
    </row>
    <row r="143" spans="2:6" x14ac:dyDescent="0.2">
      <c r="B143">
        <f t="shared" si="4"/>
        <v>140</v>
      </c>
      <c r="E143" s="7">
        <v>1384.701</v>
      </c>
      <c r="F143" s="7">
        <v>955.49400000000003</v>
      </c>
    </row>
    <row r="144" spans="2:6" x14ac:dyDescent="0.2">
      <c r="B144">
        <f t="shared" si="4"/>
        <v>141</v>
      </c>
      <c r="E144" s="7">
        <v>1175.0989999999999</v>
      </c>
      <c r="F144" s="7">
        <v>1282.414</v>
      </c>
    </row>
    <row r="145" spans="2:6" x14ac:dyDescent="0.2">
      <c r="B145">
        <f t="shared" si="4"/>
        <v>142</v>
      </c>
      <c r="E145" s="7">
        <v>489.35</v>
      </c>
      <c r="F145" s="7">
        <v>819.60400000000004</v>
      </c>
    </row>
    <row r="146" spans="2:6" x14ac:dyDescent="0.2">
      <c r="B146">
        <f t="shared" si="4"/>
        <v>143</v>
      </c>
      <c r="E146" s="7">
        <v>485.06099999999998</v>
      </c>
    </row>
    <row r="147" spans="2:6" x14ac:dyDescent="0.2">
      <c r="B147">
        <f t="shared" si="4"/>
        <v>144</v>
      </c>
      <c r="E147" s="7">
        <v>853.904</v>
      </c>
    </row>
    <row r="148" spans="2:6" x14ac:dyDescent="0.2">
      <c r="B148">
        <f t="shared" si="4"/>
        <v>145</v>
      </c>
      <c r="E148" s="7">
        <v>582.96</v>
      </c>
    </row>
    <row r="149" spans="2:6" x14ac:dyDescent="0.2">
      <c r="B149">
        <f t="shared" si="4"/>
        <v>146</v>
      </c>
      <c r="E149" s="7">
        <v>620.69799999999998</v>
      </c>
    </row>
    <row r="150" spans="2:6" x14ac:dyDescent="0.2">
      <c r="B150">
        <f t="shared" si="4"/>
        <v>147</v>
      </c>
      <c r="E150" s="7">
        <v>751.65</v>
      </c>
    </row>
    <row r="151" spans="2:6" x14ac:dyDescent="0.2">
      <c r="B151">
        <f t="shared" si="4"/>
        <v>148</v>
      </c>
      <c r="E151" s="7">
        <v>981.13900000000001</v>
      </c>
    </row>
    <row r="152" spans="2:6" x14ac:dyDescent="0.2">
      <c r="B152">
        <f t="shared" si="4"/>
        <v>149</v>
      </c>
      <c r="E152" s="7">
        <v>699.83600000000001</v>
      </c>
    </row>
    <row r="153" spans="2:6" x14ac:dyDescent="0.2">
      <c r="B153">
        <f t="shared" si="4"/>
        <v>150</v>
      </c>
      <c r="E153" s="7">
        <v>691.85900000000004</v>
      </c>
    </row>
    <row r="154" spans="2:6" x14ac:dyDescent="0.2">
      <c r="B154">
        <f t="shared" si="4"/>
        <v>151</v>
      </c>
      <c r="E154" s="7">
        <v>829.41</v>
      </c>
    </row>
    <row r="155" spans="2:6" x14ac:dyDescent="0.2">
      <c r="B155">
        <f t="shared" si="4"/>
        <v>152</v>
      </c>
      <c r="E155" s="7">
        <v>367.63600000000002</v>
      </c>
    </row>
    <row r="156" spans="2:6" x14ac:dyDescent="0.2">
      <c r="B156">
        <f t="shared" si="4"/>
        <v>153</v>
      </c>
      <c r="E156" s="7">
        <v>414.52100000000002</v>
      </c>
    </row>
    <row r="157" spans="2:6" x14ac:dyDescent="0.2">
      <c r="B157">
        <f t="shared" si="4"/>
        <v>154</v>
      </c>
      <c r="E157" s="7">
        <v>809.51599999999996</v>
      </c>
    </row>
    <row r="158" spans="2:6" x14ac:dyDescent="0.2">
      <c r="B158">
        <f t="shared" si="4"/>
        <v>155</v>
      </c>
      <c r="E158" s="7">
        <v>599.10900000000004</v>
      </c>
    </row>
    <row r="159" spans="2:6" x14ac:dyDescent="0.2">
      <c r="B159">
        <f t="shared" si="4"/>
        <v>156</v>
      </c>
      <c r="E159" s="7">
        <v>654.85799999999995</v>
      </c>
    </row>
    <row r="160" spans="2:6" x14ac:dyDescent="0.2">
      <c r="B160">
        <f t="shared" si="4"/>
        <v>157</v>
      </c>
      <c r="E160" s="7">
        <v>846.85599999999999</v>
      </c>
    </row>
    <row r="161" spans="2:5" x14ac:dyDescent="0.2">
      <c r="B161">
        <f t="shared" si="4"/>
        <v>158</v>
      </c>
      <c r="E161" s="7">
        <v>703.43700000000001</v>
      </c>
    </row>
    <row r="162" spans="2:5" x14ac:dyDescent="0.2">
      <c r="B162">
        <f t="shared" si="4"/>
        <v>159</v>
      </c>
      <c r="E162" s="7">
        <v>1667.529</v>
      </c>
    </row>
    <row r="163" spans="2:5" x14ac:dyDescent="0.2">
      <c r="B163">
        <f t="shared" si="4"/>
        <v>160</v>
      </c>
      <c r="E163" s="7">
        <v>639.33000000000004</v>
      </c>
    </row>
    <row r="164" spans="2:5" x14ac:dyDescent="0.2">
      <c r="B164">
        <f t="shared" si="4"/>
        <v>161</v>
      </c>
      <c r="E164" s="7">
        <v>1445.92</v>
      </c>
    </row>
    <row r="165" spans="2:5" x14ac:dyDescent="0.2">
      <c r="B165">
        <f t="shared" si="4"/>
        <v>162</v>
      </c>
      <c r="E165" s="7">
        <v>1674.694</v>
      </c>
    </row>
    <row r="166" spans="2:5" x14ac:dyDescent="0.2">
      <c r="B166">
        <f t="shared" si="4"/>
        <v>163</v>
      </c>
      <c r="E166" s="7">
        <v>524.33799999999997</v>
      </c>
    </row>
    <row r="167" spans="2:5" x14ac:dyDescent="0.2">
      <c r="B167">
        <f t="shared" si="4"/>
        <v>164</v>
      </c>
      <c r="E167" s="7">
        <v>990.20500000000004</v>
      </c>
    </row>
    <row r="168" spans="2:5" x14ac:dyDescent="0.2">
      <c r="B168">
        <f t="shared" si="4"/>
        <v>165</v>
      </c>
      <c r="E168" s="7">
        <v>910.58299999999997</v>
      </c>
    </row>
    <row r="169" spans="2:5" x14ac:dyDescent="0.2">
      <c r="B169">
        <f t="shared" si="4"/>
        <v>166</v>
      </c>
      <c r="E169" s="7">
        <v>1261.317</v>
      </c>
    </row>
    <row r="170" spans="2:5" x14ac:dyDescent="0.2">
      <c r="B170">
        <f t="shared" si="4"/>
        <v>167</v>
      </c>
      <c r="E170" s="7">
        <v>1275.1310000000001</v>
      </c>
    </row>
    <row r="171" spans="2:5" x14ac:dyDescent="0.2">
      <c r="B171">
        <f t="shared" si="4"/>
        <v>168</v>
      </c>
      <c r="E171" s="7">
        <v>602.87099999999998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4B8E-7540-6F4F-8996-89F2B684640F}">
  <dimension ref="B2:N45"/>
  <sheetViews>
    <sheetView zoomScaleNormal="100" workbookViewId="0">
      <selection activeCell="M41" sqref="M41"/>
    </sheetView>
  </sheetViews>
  <sheetFormatPr baseColWidth="10" defaultRowHeight="16" x14ac:dyDescent="0.2"/>
  <cols>
    <col min="2" max="2" width="12.6640625" customWidth="1"/>
  </cols>
  <sheetData>
    <row r="2" spans="2:10" x14ac:dyDescent="0.2">
      <c r="B2" t="s">
        <v>22</v>
      </c>
      <c r="C2" t="s">
        <v>23</v>
      </c>
      <c r="D2" t="s">
        <v>24</v>
      </c>
      <c r="E2" t="s">
        <v>23</v>
      </c>
      <c r="F2" t="s">
        <v>24</v>
      </c>
      <c r="G2" t="s">
        <v>23</v>
      </c>
      <c r="H2" t="s">
        <v>24</v>
      </c>
      <c r="I2" t="s">
        <v>23</v>
      </c>
      <c r="J2" t="s">
        <v>24</v>
      </c>
    </row>
    <row r="3" spans="2:10" x14ac:dyDescent="0.2">
      <c r="C3">
        <v>7.07</v>
      </c>
      <c r="D3" s="7">
        <v>-6.4020000000000001</v>
      </c>
      <c r="E3">
        <v>7.7</v>
      </c>
      <c r="F3" s="7">
        <v>-6.5810000000000004</v>
      </c>
      <c r="G3">
        <v>8.1999999999999993</v>
      </c>
      <c r="H3" s="7">
        <v>-6.3730000000000002</v>
      </c>
      <c r="I3">
        <v>8.5</v>
      </c>
      <c r="J3" s="7">
        <v>-6.7210000000000001</v>
      </c>
    </row>
    <row r="4" spans="2:10" x14ac:dyDescent="0.2">
      <c r="D4" s="7">
        <v>-5.6680000000000001</v>
      </c>
      <c r="F4" s="7">
        <v>-6.5570000000000004</v>
      </c>
      <c r="H4" s="7">
        <v>-6.3890000000000002</v>
      </c>
      <c r="J4" s="7">
        <v>-6.774</v>
      </c>
    </row>
    <row r="5" spans="2:10" x14ac:dyDescent="0.2">
      <c r="D5" s="7">
        <v>-6.4020000000000001</v>
      </c>
      <c r="F5" s="7">
        <v>-6.5380000000000003</v>
      </c>
      <c r="H5" s="7">
        <v>-6.3630000000000004</v>
      </c>
      <c r="J5" s="7">
        <v>-6.6950000000000003</v>
      </c>
    </row>
    <row r="6" spans="2:10" x14ac:dyDescent="0.2">
      <c r="D6" s="7">
        <v>-5.6680000000000001</v>
      </c>
      <c r="H6" s="7">
        <v>-6.367</v>
      </c>
      <c r="J6" s="7">
        <v>-6.726</v>
      </c>
    </row>
    <row r="10" spans="2:10" x14ac:dyDescent="0.2">
      <c r="B10" t="s">
        <v>6</v>
      </c>
      <c r="C10" t="s">
        <v>23</v>
      </c>
      <c r="D10" t="s">
        <v>24</v>
      </c>
      <c r="E10" t="s">
        <v>23</v>
      </c>
      <c r="F10" t="s">
        <v>24</v>
      </c>
      <c r="G10" t="s">
        <v>23</v>
      </c>
      <c r="H10" t="s">
        <v>24</v>
      </c>
      <c r="I10" t="s">
        <v>23</v>
      </c>
      <c r="J10" t="s">
        <v>24</v>
      </c>
    </row>
    <row r="11" spans="2:10" x14ac:dyDescent="0.2">
      <c r="C11">
        <v>7.07</v>
      </c>
      <c r="D11" s="7">
        <v>-2.339</v>
      </c>
      <c r="E11">
        <v>7.7</v>
      </c>
      <c r="F11" s="7">
        <v>-4.4210000000000003</v>
      </c>
      <c r="G11">
        <v>8.1999999999999993</v>
      </c>
      <c r="H11" s="7">
        <v>-7.2008999999999999</v>
      </c>
      <c r="I11">
        <v>8.5</v>
      </c>
      <c r="J11" s="7">
        <v>-7.0350000000000001</v>
      </c>
    </row>
    <row r="12" spans="2:10" x14ac:dyDescent="0.2">
      <c r="D12" s="7">
        <v>-2.6</v>
      </c>
      <c r="F12" s="7">
        <v>-4.74</v>
      </c>
      <c r="H12" s="7">
        <v>-7.242</v>
      </c>
      <c r="J12" s="7">
        <v>-6.8849999999999998</v>
      </c>
    </row>
    <row r="13" spans="2:10" x14ac:dyDescent="0.2">
      <c r="D13" s="7">
        <v>-2.8849999999999998</v>
      </c>
      <c r="F13" s="7">
        <v>-4.4059999999999997</v>
      </c>
      <c r="H13" s="7">
        <v>-6.8639999999999999</v>
      </c>
      <c r="J13" s="7">
        <v>-6.8639999999999999</v>
      </c>
    </row>
    <row r="14" spans="2:10" x14ac:dyDescent="0.2">
      <c r="D14" s="7">
        <v>-3.028</v>
      </c>
      <c r="F14" s="7">
        <v>-4.38</v>
      </c>
      <c r="H14" s="7">
        <v>-7.2309999999999999</v>
      </c>
      <c r="J14" s="7">
        <v>-6.8029999999999999</v>
      </c>
    </row>
    <row r="15" spans="2:10" x14ac:dyDescent="0.2">
      <c r="H15" s="7">
        <v>-6.7220000000000004</v>
      </c>
    </row>
    <row r="18" spans="2:10" x14ac:dyDescent="0.2">
      <c r="B18" t="s">
        <v>7</v>
      </c>
      <c r="C18" t="s">
        <v>23</v>
      </c>
      <c r="D18" t="s">
        <v>24</v>
      </c>
      <c r="E18" t="s">
        <v>23</v>
      </c>
      <c r="F18" t="s">
        <v>24</v>
      </c>
      <c r="G18" t="s">
        <v>23</v>
      </c>
      <c r="H18" t="s">
        <v>24</v>
      </c>
      <c r="I18" t="s">
        <v>23</v>
      </c>
      <c r="J18" t="s">
        <v>24</v>
      </c>
    </row>
    <row r="19" spans="2:10" x14ac:dyDescent="0.2">
      <c r="C19">
        <v>7.07</v>
      </c>
      <c r="D19" s="7">
        <v>6.0220000000000003E-2</v>
      </c>
      <c r="E19">
        <v>7.7</v>
      </c>
      <c r="F19" s="7">
        <v>-2.194</v>
      </c>
      <c r="G19">
        <v>8.1999999999999993</v>
      </c>
      <c r="H19" s="7">
        <v>-2.8490000000000002</v>
      </c>
      <c r="I19">
        <v>8.6999999999999993</v>
      </c>
      <c r="J19" s="7">
        <v>-3.5819999999999999</v>
      </c>
    </row>
    <row r="20" spans="2:10" x14ac:dyDescent="0.2">
      <c r="D20" s="7">
        <v>1.746E-2</v>
      </c>
      <c r="F20" s="7">
        <v>-2.234</v>
      </c>
      <c r="H20" s="7">
        <v>-2.7789999999999999</v>
      </c>
      <c r="J20" s="7">
        <v>-3.6269999999999998</v>
      </c>
    </row>
    <row r="21" spans="2:10" x14ac:dyDescent="0.2">
      <c r="D21" s="7">
        <v>-6.6519999999999996E-2</v>
      </c>
      <c r="F21" s="7">
        <v>-2.71</v>
      </c>
      <c r="H21" s="7">
        <v>-2.706</v>
      </c>
      <c r="J21" s="7">
        <v>-3.5880000000000001</v>
      </c>
    </row>
    <row r="22" spans="2:10" x14ac:dyDescent="0.2">
      <c r="D22" s="7">
        <v>-0.21890000000000001</v>
      </c>
      <c r="F22" s="7">
        <v>-2.1829999999999998</v>
      </c>
      <c r="J22" s="7">
        <v>-3.081</v>
      </c>
    </row>
    <row r="23" spans="2:10" x14ac:dyDescent="0.2">
      <c r="F23" s="7">
        <v>-2.2229999999999999</v>
      </c>
      <c r="J23" s="7">
        <v>-3.4390000000000001</v>
      </c>
    </row>
    <row r="24" spans="2:10" x14ac:dyDescent="0.2">
      <c r="J24" s="7">
        <v>-3.4430000000000001</v>
      </c>
    </row>
    <row r="26" spans="2:10" x14ac:dyDescent="0.2">
      <c r="B26" t="s">
        <v>5</v>
      </c>
      <c r="C26" t="s">
        <v>23</v>
      </c>
      <c r="D26" t="s">
        <v>24</v>
      </c>
      <c r="E26" t="s">
        <v>23</v>
      </c>
      <c r="F26" t="s">
        <v>24</v>
      </c>
      <c r="G26" t="s">
        <v>23</v>
      </c>
      <c r="H26" t="s">
        <v>24</v>
      </c>
      <c r="I26" t="s">
        <v>23</v>
      </c>
      <c r="J26" t="s">
        <v>24</v>
      </c>
    </row>
    <row r="27" spans="2:10" x14ac:dyDescent="0.2">
      <c r="C27">
        <v>7.07</v>
      </c>
      <c r="D27" s="7">
        <v>3.0089999999999999</v>
      </c>
      <c r="E27">
        <v>7.7</v>
      </c>
      <c r="F27" s="7">
        <v>-0.29189999999999999</v>
      </c>
      <c r="G27">
        <v>8.1999999999999993</v>
      </c>
      <c r="H27" s="7">
        <v>-1.4550000000000001</v>
      </c>
      <c r="I27">
        <v>8.6999999999999993</v>
      </c>
      <c r="J27" s="7">
        <v>-2.8250000000000002</v>
      </c>
    </row>
    <row r="28" spans="2:10" x14ac:dyDescent="0.2">
      <c r="D28" s="7">
        <v>2.601</v>
      </c>
      <c r="F28" s="7">
        <v>-0.31859999999999999</v>
      </c>
      <c r="H28" s="7">
        <v>-1.55</v>
      </c>
      <c r="J28" s="7">
        <v>-2.8319999999999999</v>
      </c>
    </row>
    <row r="29" spans="2:10" x14ac:dyDescent="0.2">
      <c r="D29" s="7">
        <v>2.7090000000000001</v>
      </c>
      <c r="F29" s="7">
        <v>-0.4662</v>
      </c>
      <c r="H29" s="7">
        <v>-1.466</v>
      </c>
      <c r="J29" s="7">
        <v>-2.7349999999999999</v>
      </c>
    </row>
    <row r="30" spans="2:10" x14ac:dyDescent="0.2">
      <c r="D30" s="7">
        <v>2.173</v>
      </c>
      <c r="F30" s="7">
        <v>-0.56389999999999996</v>
      </c>
      <c r="H30" s="7">
        <v>-1.143</v>
      </c>
      <c r="J30" s="7">
        <v>-2.8740000000000001</v>
      </c>
    </row>
    <row r="31" spans="2:10" x14ac:dyDescent="0.2">
      <c r="D31" s="7">
        <v>1.2310000000000001</v>
      </c>
      <c r="F31" s="7">
        <v>-0.60129999999999995</v>
      </c>
      <c r="H31" s="7">
        <v>-1.252</v>
      </c>
      <c r="J31" s="7">
        <v>-2.89</v>
      </c>
    </row>
    <row r="32" spans="2:10" x14ac:dyDescent="0.2">
      <c r="D32" s="7">
        <v>1.07</v>
      </c>
      <c r="F32" s="7">
        <v>-0.65290000000000004</v>
      </c>
      <c r="H32" s="7">
        <v>-1.6339999999999999</v>
      </c>
      <c r="J32" s="7">
        <v>-3.202</v>
      </c>
    </row>
    <row r="33" spans="2:14" x14ac:dyDescent="0.2">
      <c r="D33" s="7">
        <v>1.395</v>
      </c>
      <c r="F33" s="7">
        <v>-0.57210000000000005</v>
      </c>
    </row>
    <row r="34" spans="2:14" x14ac:dyDescent="0.2">
      <c r="D34" s="7">
        <v>1.1359999999999999</v>
      </c>
      <c r="F34" s="7">
        <v>-0.65290000000000004</v>
      </c>
    </row>
    <row r="36" spans="2:14" x14ac:dyDescent="0.2">
      <c r="B36" t="s">
        <v>25</v>
      </c>
      <c r="C36" t="s">
        <v>26</v>
      </c>
      <c r="F36" t="s">
        <v>14</v>
      </c>
      <c r="I36" t="s">
        <v>15</v>
      </c>
      <c r="L36" t="s">
        <v>16</v>
      </c>
    </row>
    <row r="37" spans="2:14" x14ac:dyDescent="0.2">
      <c r="C37" t="s">
        <v>27</v>
      </c>
      <c r="D37" t="s">
        <v>28</v>
      </c>
      <c r="E37" t="s">
        <v>29</v>
      </c>
      <c r="F37" t="s">
        <v>27</v>
      </c>
      <c r="G37" t="s">
        <v>28</v>
      </c>
      <c r="H37" t="s">
        <v>29</v>
      </c>
      <c r="I37" t="s">
        <v>27</v>
      </c>
      <c r="J37" t="s">
        <v>28</v>
      </c>
      <c r="K37" t="s">
        <v>29</v>
      </c>
      <c r="L37" t="s">
        <v>27</v>
      </c>
      <c r="M37" t="s">
        <v>28</v>
      </c>
      <c r="N37" t="s">
        <v>29</v>
      </c>
    </row>
    <row r="38" spans="2:14" x14ac:dyDescent="0.2">
      <c r="C38">
        <f>C3</f>
        <v>7.07</v>
      </c>
      <c r="D38" s="6">
        <f>AVERAGE(D3:D6)</f>
        <v>-6.0350000000000001</v>
      </c>
      <c r="E38" s="6">
        <f>STDEV(D3:D6)</f>
        <v>0.42377509758518533</v>
      </c>
      <c r="F38" s="6">
        <f>C11</f>
        <v>7.07</v>
      </c>
      <c r="G38" s="6">
        <f>AVERAGE(D11:D14)</f>
        <v>-2.7130000000000001</v>
      </c>
      <c r="H38" s="6">
        <f>STDEV(D11:D14)</f>
        <v>0.30629724125430835</v>
      </c>
      <c r="I38" s="6">
        <v>7.07</v>
      </c>
      <c r="J38" s="6">
        <f>AVERAGE(D19:D22)</f>
        <v>-5.1935000000000002E-2</v>
      </c>
      <c r="K38" s="6">
        <f>STDEV(D19:D22)</f>
        <v>0.12313196646958362</v>
      </c>
      <c r="L38" s="6">
        <v>7.07</v>
      </c>
      <c r="M38" s="6">
        <f>AVERAGE(D27:D34)</f>
        <v>1.9154999999999998</v>
      </c>
      <c r="N38" s="6">
        <f>STDEV(D27:D34)</f>
        <v>0.79494402318653934</v>
      </c>
    </row>
    <row r="39" spans="2:14" x14ac:dyDescent="0.2">
      <c r="C39">
        <f>E3</f>
        <v>7.7</v>
      </c>
      <c r="D39" s="6">
        <f>AVERAGE(F3:F5)</f>
        <v>-6.5586666666666673</v>
      </c>
      <c r="E39" s="6">
        <f>STDEV(F3:F5)</f>
        <v>2.1548395145192054E-2</v>
      </c>
      <c r="F39" s="6">
        <f>E11</f>
        <v>7.7</v>
      </c>
      <c r="G39" s="6">
        <f>AVERAGE(F11:F14)</f>
        <v>-4.4867499999999998</v>
      </c>
      <c r="H39" s="6">
        <f>STDEV(F11:F14)</f>
        <v>0.16968082783076402</v>
      </c>
      <c r="I39" s="6">
        <v>7.7</v>
      </c>
      <c r="J39" s="6">
        <f>AVERAGE(F19:F23)</f>
        <v>-2.3088000000000002</v>
      </c>
      <c r="K39" s="6">
        <f>STDEV(F19:F23)</f>
        <v>0.22523476641051668</v>
      </c>
      <c r="L39" s="6">
        <v>7.7</v>
      </c>
      <c r="M39" s="6">
        <f>AVERAGE(F27:F34)</f>
        <v>-0.51497499999999996</v>
      </c>
      <c r="N39" s="6">
        <f>STDEV(F27:F34)</f>
        <v>0.14235776610859216</v>
      </c>
    </row>
    <row r="40" spans="2:14" x14ac:dyDescent="0.2">
      <c r="C40">
        <f>G3</f>
        <v>8.1999999999999993</v>
      </c>
      <c r="D40" s="6">
        <f>AVERAGE(H3:H6)</f>
        <v>-6.3730000000000002</v>
      </c>
      <c r="E40" s="6">
        <f>STDEV(H3:H6)</f>
        <v>1.1430952132988148E-2</v>
      </c>
      <c r="F40" s="6">
        <f>G11</f>
        <v>8.1999999999999993</v>
      </c>
      <c r="G40" s="6">
        <f>AVERAGE(H11:H15)</f>
        <v>-7.0519800000000004</v>
      </c>
      <c r="H40" s="6">
        <f>STDEV(H11:H15)</f>
        <v>0.24215501646672513</v>
      </c>
      <c r="I40" s="6">
        <v>8.1999999999999993</v>
      </c>
      <c r="J40" s="6">
        <f>AVERAGE(H19:H21)</f>
        <v>-2.778</v>
      </c>
      <c r="K40" s="6">
        <f>STDEV(H19:H21)</f>
        <v>7.150524456289914E-2</v>
      </c>
      <c r="L40" s="6">
        <v>8.1999999999999993</v>
      </c>
      <c r="M40" s="6">
        <f>AVERAGE(H27:H32)</f>
        <v>-1.4166666666666667</v>
      </c>
      <c r="N40" s="6">
        <f>STDEV(H27:H32)</f>
        <v>0.18489095885593454</v>
      </c>
    </row>
    <row r="41" spans="2:14" x14ac:dyDescent="0.2">
      <c r="C41">
        <f>I3</f>
        <v>8.5</v>
      </c>
      <c r="D41" s="6">
        <f>AVERAGE(J3:J6)</f>
        <v>-6.7290000000000001</v>
      </c>
      <c r="E41" s="6">
        <f>STDEV(J3:J6)</f>
        <v>3.2934277989150766E-2</v>
      </c>
      <c r="F41" s="6">
        <f>I11</f>
        <v>8.5</v>
      </c>
      <c r="G41" s="6">
        <f>AVERAGE(J11:J14)</f>
        <v>-6.8967499999999999</v>
      </c>
      <c r="H41" s="6">
        <f>STDEV(J11:J14)</f>
        <v>9.8510151761125722E-2</v>
      </c>
      <c r="I41" s="6">
        <v>8.6999999999999993</v>
      </c>
      <c r="J41" s="6">
        <f>AVERAGE(J19:J24)</f>
        <v>-3.4600000000000004</v>
      </c>
      <c r="K41" s="6">
        <f>STDEV(J19:J24)</f>
        <v>0.20175628862565845</v>
      </c>
      <c r="L41" s="6">
        <v>8.6999999999999993</v>
      </c>
      <c r="M41" s="6">
        <f>AVERAGE(J27:J32)</f>
        <v>-2.8930000000000002</v>
      </c>
      <c r="N41" s="6">
        <f>STDEV(J27:J32)</f>
        <v>0.16072336482291552</v>
      </c>
    </row>
    <row r="42" spans="2:14" x14ac:dyDescent="0.2"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4" spans="2:14" x14ac:dyDescent="0.2">
      <c r="B44" t="s">
        <v>30</v>
      </c>
      <c r="C44">
        <v>0</v>
      </c>
      <c r="D44">
        <v>0</v>
      </c>
    </row>
    <row r="45" spans="2:14" x14ac:dyDescent="0.2">
      <c r="C45">
        <v>10</v>
      </c>
      <c r="D45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0E9C9-DA80-E646-98A9-8C74C8E392BE}">
  <dimension ref="B2:AA39"/>
  <sheetViews>
    <sheetView topLeftCell="O1" zoomScale="192" zoomScaleNormal="192" workbookViewId="0">
      <selection activeCell="Y8" sqref="Y8:AA10"/>
    </sheetView>
  </sheetViews>
  <sheetFormatPr baseColWidth="10" defaultRowHeight="16" x14ac:dyDescent="0.2"/>
  <cols>
    <col min="24" max="24" width="18.83203125" customWidth="1"/>
  </cols>
  <sheetData>
    <row r="2" spans="2:27" x14ac:dyDescent="0.2">
      <c r="B2" t="s">
        <v>14</v>
      </c>
      <c r="I2" t="s">
        <v>15</v>
      </c>
      <c r="P2" t="s">
        <v>16</v>
      </c>
    </row>
    <row r="3" spans="2:27" x14ac:dyDescent="0.2">
      <c r="B3" t="s">
        <v>31</v>
      </c>
      <c r="C3" t="s">
        <v>32</v>
      </c>
      <c r="D3" t="s">
        <v>33</v>
      </c>
      <c r="E3" t="s">
        <v>32</v>
      </c>
      <c r="F3" t="s">
        <v>33</v>
      </c>
      <c r="G3" t="s">
        <v>32</v>
      </c>
      <c r="I3" t="s">
        <v>31</v>
      </c>
      <c r="J3" t="s">
        <v>32</v>
      </c>
      <c r="K3" t="s">
        <v>31</v>
      </c>
      <c r="L3" t="s">
        <v>32</v>
      </c>
      <c r="M3" t="s">
        <v>31</v>
      </c>
      <c r="N3" t="s">
        <v>32</v>
      </c>
      <c r="P3" t="s">
        <v>31</v>
      </c>
      <c r="Q3" t="s">
        <v>32</v>
      </c>
      <c r="R3" t="s">
        <v>31</v>
      </c>
      <c r="S3" t="s">
        <v>32</v>
      </c>
      <c r="T3" t="s">
        <v>31</v>
      </c>
      <c r="U3" t="s">
        <v>32</v>
      </c>
      <c r="Y3" t="s">
        <v>34</v>
      </c>
    </row>
    <row r="4" spans="2:27" ht="17" thickBot="1" x14ac:dyDescent="0.25">
      <c r="C4" t="s">
        <v>35</v>
      </c>
      <c r="E4" s="8" t="s">
        <v>36</v>
      </c>
      <c r="G4" t="s">
        <v>37</v>
      </c>
      <c r="J4" t="s">
        <v>35</v>
      </c>
      <c r="L4" t="s">
        <v>36</v>
      </c>
      <c r="N4" t="s">
        <v>37</v>
      </c>
      <c r="Q4" t="s">
        <v>35</v>
      </c>
      <c r="S4" t="s">
        <v>36</v>
      </c>
      <c r="U4" t="s">
        <v>37</v>
      </c>
      <c r="W4" s="1"/>
      <c r="X4" s="1"/>
      <c r="Y4" s="1" t="s">
        <v>13</v>
      </c>
      <c r="Z4" s="1" t="s">
        <v>46</v>
      </c>
      <c r="AA4" s="1" t="s">
        <v>47</v>
      </c>
    </row>
    <row r="5" spans="2:27" x14ac:dyDescent="0.2">
      <c r="B5">
        <v>0</v>
      </c>
      <c r="C5" s="7">
        <v>10.58</v>
      </c>
      <c r="D5">
        <v>0</v>
      </c>
      <c r="E5" s="7">
        <v>10.18</v>
      </c>
      <c r="F5">
        <v>0</v>
      </c>
      <c r="G5" s="7">
        <v>9.7569999999999997</v>
      </c>
      <c r="I5">
        <v>0</v>
      </c>
      <c r="J5" s="7">
        <v>10.92</v>
      </c>
      <c r="K5">
        <v>0</v>
      </c>
      <c r="L5" s="7">
        <v>10.59</v>
      </c>
      <c r="M5">
        <v>0</v>
      </c>
      <c r="N5" s="7">
        <v>10.76</v>
      </c>
      <c r="P5">
        <v>0</v>
      </c>
      <c r="Q5" s="7">
        <v>12.55</v>
      </c>
      <c r="R5">
        <v>0</v>
      </c>
      <c r="S5" s="7">
        <v>12.42</v>
      </c>
      <c r="T5">
        <f>0</f>
        <v>0</v>
      </c>
      <c r="U5" s="7">
        <v>12.33</v>
      </c>
      <c r="W5" t="s">
        <v>35</v>
      </c>
      <c r="X5" t="s">
        <v>41</v>
      </c>
      <c r="Y5">
        <v>1.597</v>
      </c>
      <c r="Z5">
        <v>1.8240000000000001</v>
      </c>
      <c r="AA5">
        <v>2.1080000000000001</v>
      </c>
    </row>
    <row r="6" spans="2:27" x14ac:dyDescent="0.2">
      <c r="B6">
        <f>B5+0.1</f>
        <v>0.1</v>
      </c>
      <c r="C6" s="7">
        <v>10.98</v>
      </c>
      <c r="D6">
        <f>D5+0.1</f>
        <v>0.1</v>
      </c>
      <c r="E6" s="7">
        <v>10.62</v>
      </c>
      <c r="F6">
        <f>F5+0.1</f>
        <v>0.1</v>
      </c>
      <c r="G6" s="7">
        <v>10.08</v>
      </c>
      <c r="I6">
        <f>I5+0.1</f>
        <v>0.1</v>
      </c>
      <c r="J6" s="7">
        <v>10.94</v>
      </c>
      <c r="K6">
        <f>K5+0.1</f>
        <v>0.1</v>
      </c>
      <c r="L6" s="7">
        <v>10.98</v>
      </c>
      <c r="M6">
        <f>M5+0.1</f>
        <v>0.1</v>
      </c>
      <c r="N6" s="7">
        <v>11.23</v>
      </c>
      <c r="P6">
        <f>P5+0.1</f>
        <v>0.1</v>
      </c>
      <c r="Q6" s="7">
        <v>12.82</v>
      </c>
      <c r="R6">
        <f>R5+0.1</f>
        <v>0.1</v>
      </c>
      <c r="S6" s="7">
        <v>12.75</v>
      </c>
      <c r="T6">
        <f>T5+0.1</f>
        <v>0.1</v>
      </c>
      <c r="U6" s="7">
        <v>12.63</v>
      </c>
      <c r="W6" t="s">
        <v>36</v>
      </c>
      <c r="X6" t="s">
        <v>41</v>
      </c>
      <c r="Y6">
        <v>1.5549999999999999</v>
      </c>
      <c r="Z6">
        <v>1.756</v>
      </c>
      <c r="AA6">
        <v>2.1040000000000001</v>
      </c>
    </row>
    <row r="7" spans="2:27" ht="17" thickBot="1" x14ac:dyDescent="0.25">
      <c r="B7">
        <f t="shared" ref="B7:B35" si="0">B6+0.1</f>
        <v>0.2</v>
      </c>
      <c r="C7" s="7">
        <v>11</v>
      </c>
      <c r="D7">
        <f t="shared" ref="D7:F22" si="1">D6+0.1</f>
        <v>0.2</v>
      </c>
      <c r="E7" s="7">
        <v>10.68</v>
      </c>
      <c r="F7">
        <f t="shared" si="1"/>
        <v>0.2</v>
      </c>
      <c r="G7" s="7">
        <v>10.1</v>
      </c>
      <c r="I7">
        <f t="shared" ref="I7:K22" si="2">I6+0.1</f>
        <v>0.2</v>
      </c>
      <c r="J7" s="7">
        <v>10.98</v>
      </c>
      <c r="K7">
        <f t="shared" si="2"/>
        <v>0.2</v>
      </c>
      <c r="L7" s="7">
        <v>11.05</v>
      </c>
      <c r="M7">
        <f t="shared" ref="M7:M35" si="3">M6+0.1</f>
        <v>0.2</v>
      </c>
      <c r="N7" s="7">
        <v>11.3</v>
      </c>
      <c r="P7">
        <f t="shared" ref="P7:P35" si="4">P6+0.1</f>
        <v>0.2</v>
      </c>
      <c r="Q7" s="7">
        <v>12.86</v>
      </c>
      <c r="R7">
        <f t="shared" ref="R7:R35" si="5">R6+0.1</f>
        <v>0.2</v>
      </c>
      <c r="S7" s="7">
        <v>12.75</v>
      </c>
      <c r="T7">
        <f t="shared" ref="T7:T35" si="6">T6+0.1</f>
        <v>0.2</v>
      </c>
      <c r="U7" s="7">
        <v>12.68</v>
      </c>
      <c r="W7" s="1" t="s">
        <v>37</v>
      </c>
      <c r="X7" s="1" t="s">
        <v>41</v>
      </c>
      <c r="Y7" s="1">
        <v>1.5880000000000001</v>
      </c>
      <c r="Z7" s="1">
        <v>1.8360000000000001</v>
      </c>
      <c r="AA7" s="1">
        <v>2.069</v>
      </c>
    </row>
    <row r="8" spans="2:27" x14ac:dyDescent="0.2">
      <c r="B8">
        <f t="shared" si="0"/>
        <v>0.30000000000000004</v>
      </c>
      <c r="C8" s="7">
        <v>10.95</v>
      </c>
      <c r="D8">
        <f t="shared" si="1"/>
        <v>0.30000000000000004</v>
      </c>
      <c r="E8" s="7">
        <v>10.69</v>
      </c>
      <c r="F8">
        <f t="shared" si="1"/>
        <v>0.30000000000000004</v>
      </c>
      <c r="G8" s="7">
        <v>10.050000000000001</v>
      </c>
      <c r="I8">
        <f t="shared" si="2"/>
        <v>0.30000000000000004</v>
      </c>
      <c r="J8" s="7">
        <v>10.87</v>
      </c>
      <c r="K8">
        <f t="shared" si="2"/>
        <v>0.30000000000000004</v>
      </c>
      <c r="L8" s="7">
        <v>11.08</v>
      </c>
      <c r="M8">
        <f t="shared" si="3"/>
        <v>0.30000000000000004</v>
      </c>
      <c r="N8" s="7">
        <v>11.34</v>
      </c>
      <c r="P8">
        <f t="shared" si="4"/>
        <v>0.30000000000000004</v>
      </c>
      <c r="Q8" s="7">
        <v>12.86</v>
      </c>
      <c r="R8">
        <f t="shared" si="5"/>
        <v>0.30000000000000004</v>
      </c>
      <c r="S8" s="7">
        <v>12.74</v>
      </c>
      <c r="T8">
        <f t="shared" si="6"/>
        <v>0.30000000000000004</v>
      </c>
      <c r="U8" s="7">
        <v>12.67</v>
      </c>
      <c r="W8" s="10" t="s">
        <v>35</v>
      </c>
      <c r="X8" s="10" t="s">
        <v>42</v>
      </c>
      <c r="Y8" s="15">
        <v>0.42586666666666673</v>
      </c>
      <c r="Z8" s="15">
        <v>0.48640000000000011</v>
      </c>
      <c r="AA8" s="15">
        <v>0.56213333333333337</v>
      </c>
    </row>
    <row r="9" spans="2:27" x14ac:dyDescent="0.2">
      <c r="B9">
        <f t="shared" si="0"/>
        <v>0.4</v>
      </c>
      <c r="C9" s="7">
        <v>10.97</v>
      </c>
      <c r="D9">
        <f t="shared" si="1"/>
        <v>0.4</v>
      </c>
      <c r="E9" s="7">
        <v>10.67</v>
      </c>
      <c r="F9">
        <f t="shared" si="1"/>
        <v>0.4</v>
      </c>
      <c r="G9" s="7">
        <v>10.06</v>
      </c>
      <c r="I9">
        <f t="shared" si="2"/>
        <v>0.4</v>
      </c>
      <c r="J9" s="7">
        <v>10.86</v>
      </c>
      <c r="K9">
        <f t="shared" si="2"/>
        <v>0.4</v>
      </c>
      <c r="L9" s="7">
        <v>11.07</v>
      </c>
      <c r="M9">
        <f t="shared" si="3"/>
        <v>0.4</v>
      </c>
      <c r="N9" s="7">
        <v>11.24</v>
      </c>
      <c r="P9">
        <f t="shared" si="4"/>
        <v>0.4</v>
      </c>
      <c r="Q9" s="7">
        <v>12.85</v>
      </c>
      <c r="R9">
        <f t="shared" si="5"/>
        <v>0.4</v>
      </c>
      <c r="S9" s="7">
        <v>12.73</v>
      </c>
      <c r="T9">
        <f t="shared" si="6"/>
        <v>0.4</v>
      </c>
      <c r="U9" s="7">
        <v>12.7</v>
      </c>
      <c r="W9" t="s">
        <v>36</v>
      </c>
      <c r="X9" t="s">
        <v>42</v>
      </c>
      <c r="Y9" s="15">
        <v>0.41466666666666668</v>
      </c>
      <c r="Z9" s="15">
        <v>0.46826666666666666</v>
      </c>
      <c r="AA9" s="15">
        <v>0.56106666666666671</v>
      </c>
    </row>
    <row r="10" spans="2:27" ht="17" thickBot="1" x14ac:dyDescent="0.25">
      <c r="B10">
        <f t="shared" si="0"/>
        <v>0.5</v>
      </c>
      <c r="C10" s="7">
        <v>10.98</v>
      </c>
      <c r="D10">
        <f t="shared" si="1"/>
        <v>0.5</v>
      </c>
      <c r="E10" s="7">
        <v>10.67</v>
      </c>
      <c r="F10">
        <f t="shared" si="1"/>
        <v>0.5</v>
      </c>
      <c r="G10" s="7">
        <v>10.07</v>
      </c>
      <c r="I10">
        <f t="shared" si="2"/>
        <v>0.5</v>
      </c>
      <c r="J10" s="7">
        <v>10.87</v>
      </c>
      <c r="K10">
        <f t="shared" si="2"/>
        <v>0.5</v>
      </c>
      <c r="L10" s="7">
        <v>11.03</v>
      </c>
      <c r="M10">
        <f t="shared" si="3"/>
        <v>0.5</v>
      </c>
      <c r="N10" s="7">
        <v>11.26</v>
      </c>
      <c r="P10">
        <f t="shared" si="4"/>
        <v>0.5</v>
      </c>
      <c r="Q10" s="7">
        <v>12.74</v>
      </c>
      <c r="R10">
        <f t="shared" si="5"/>
        <v>0.5</v>
      </c>
      <c r="S10" s="7">
        <v>12.72</v>
      </c>
      <c r="T10">
        <f t="shared" si="6"/>
        <v>0.5</v>
      </c>
      <c r="U10" s="7">
        <v>12.66</v>
      </c>
      <c r="W10" s="1" t="s">
        <v>36</v>
      </c>
      <c r="X10" s="1" t="s">
        <v>42</v>
      </c>
      <c r="Y10" s="15">
        <v>0.42346666666666671</v>
      </c>
      <c r="Z10" s="15">
        <v>0.48960000000000004</v>
      </c>
      <c r="AA10" s="15">
        <v>0.55173333333333341</v>
      </c>
    </row>
    <row r="11" spans="2:27" x14ac:dyDescent="0.2">
      <c r="B11">
        <f t="shared" si="0"/>
        <v>0.6</v>
      </c>
      <c r="C11" s="7">
        <v>10.96</v>
      </c>
      <c r="D11">
        <f t="shared" si="1"/>
        <v>0.6</v>
      </c>
      <c r="E11" s="7">
        <v>10.69</v>
      </c>
      <c r="F11">
        <f t="shared" si="1"/>
        <v>0.6</v>
      </c>
      <c r="G11" s="7">
        <v>10.09</v>
      </c>
      <c r="I11">
        <f t="shared" si="2"/>
        <v>0.6</v>
      </c>
      <c r="J11" s="7">
        <v>10.87</v>
      </c>
      <c r="K11">
        <f t="shared" si="2"/>
        <v>0.6</v>
      </c>
      <c r="L11" s="7">
        <v>11.04</v>
      </c>
      <c r="M11">
        <f t="shared" si="3"/>
        <v>0.6</v>
      </c>
      <c r="N11" s="7">
        <v>11.29</v>
      </c>
      <c r="P11">
        <f t="shared" si="4"/>
        <v>0.6</v>
      </c>
      <c r="Q11" s="7">
        <v>12.84</v>
      </c>
      <c r="R11">
        <f t="shared" si="5"/>
        <v>0.6</v>
      </c>
      <c r="S11" s="7">
        <v>12.82</v>
      </c>
      <c r="T11">
        <f t="shared" si="6"/>
        <v>0.6</v>
      </c>
      <c r="U11" s="7">
        <v>12.7</v>
      </c>
      <c r="W11" s="10"/>
      <c r="X11" s="10" t="s">
        <v>43</v>
      </c>
      <c r="Y11" s="11">
        <f>AVERAGE(Y8:Y10)</f>
        <v>0.42133333333333334</v>
      </c>
      <c r="Z11" s="11">
        <f>AVERAGE(Z8:Z10)</f>
        <v>0.48142222222222225</v>
      </c>
      <c r="AA11" s="11">
        <f>AVERAGE(AA8:AA10)</f>
        <v>0.5583111111111112</v>
      </c>
    </row>
    <row r="12" spans="2:27" ht="17" thickBot="1" x14ac:dyDescent="0.25">
      <c r="B12">
        <f t="shared" si="0"/>
        <v>0.7</v>
      </c>
      <c r="C12" s="7">
        <v>11.01</v>
      </c>
      <c r="D12">
        <f t="shared" si="1"/>
        <v>0.7</v>
      </c>
      <c r="E12" s="7">
        <v>10.68</v>
      </c>
      <c r="F12">
        <f t="shared" si="1"/>
        <v>0.7</v>
      </c>
      <c r="G12" s="7">
        <v>10.09</v>
      </c>
      <c r="I12">
        <f t="shared" si="2"/>
        <v>0.7</v>
      </c>
      <c r="J12" s="7">
        <v>10.84</v>
      </c>
      <c r="K12">
        <f t="shared" si="2"/>
        <v>0.7</v>
      </c>
      <c r="L12" s="7">
        <v>11.04</v>
      </c>
      <c r="M12">
        <f t="shared" si="3"/>
        <v>0.7</v>
      </c>
      <c r="N12" s="7">
        <v>11.29</v>
      </c>
      <c r="P12">
        <f t="shared" si="4"/>
        <v>0.7</v>
      </c>
      <c r="Q12" s="7">
        <v>12.8</v>
      </c>
      <c r="R12">
        <f t="shared" si="5"/>
        <v>0.7</v>
      </c>
      <c r="S12" s="7">
        <v>12.79</v>
      </c>
      <c r="T12">
        <f t="shared" si="6"/>
        <v>0.7</v>
      </c>
      <c r="U12" s="7">
        <v>12.65</v>
      </c>
      <c r="W12" s="1"/>
      <c r="X12" s="1" t="s">
        <v>3</v>
      </c>
      <c r="Y12" s="12">
        <f>STDEV(Y8:Y10)</f>
        <v>5.8968918366656166E-3</v>
      </c>
      <c r="Z12" s="12">
        <f>STDEV(Z8:Z10)</f>
        <v>1.1504845999902926E-2</v>
      </c>
      <c r="AA12" s="12">
        <f>STDEV(AA8:AA10)</f>
        <v>5.7214346815125487E-3</v>
      </c>
    </row>
    <row r="13" spans="2:27" x14ac:dyDescent="0.2">
      <c r="B13">
        <f t="shared" si="0"/>
        <v>0.79999999999999993</v>
      </c>
      <c r="C13" s="7">
        <v>10.98</v>
      </c>
      <c r="D13">
        <f t="shared" si="1"/>
        <v>0.79999999999999993</v>
      </c>
      <c r="E13" s="7">
        <v>10.7</v>
      </c>
      <c r="F13">
        <f t="shared" si="1"/>
        <v>0.79999999999999993</v>
      </c>
      <c r="G13" s="7">
        <v>10.119999999999999</v>
      </c>
      <c r="I13">
        <f t="shared" si="2"/>
        <v>0.79999999999999993</v>
      </c>
      <c r="J13" s="7">
        <v>10.87</v>
      </c>
      <c r="K13">
        <f t="shared" si="2"/>
        <v>0.79999999999999993</v>
      </c>
      <c r="L13" s="7">
        <v>11.07</v>
      </c>
      <c r="M13">
        <f t="shared" si="3"/>
        <v>0.79999999999999993</v>
      </c>
      <c r="N13" s="7">
        <v>11.32</v>
      </c>
      <c r="P13">
        <f t="shared" si="4"/>
        <v>0.79999999999999993</v>
      </c>
      <c r="Q13" s="7">
        <v>12.81</v>
      </c>
      <c r="R13">
        <f t="shared" si="5"/>
        <v>0.79999999999999993</v>
      </c>
      <c r="S13" s="7">
        <v>12.79</v>
      </c>
      <c r="T13">
        <f t="shared" si="6"/>
        <v>0.79999999999999993</v>
      </c>
      <c r="U13" s="7">
        <v>12.59</v>
      </c>
    </row>
    <row r="14" spans="2:27" x14ac:dyDescent="0.2">
      <c r="B14">
        <f t="shared" si="0"/>
        <v>0.89999999999999991</v>
      </c>
      <c r="C14" s="7">
        <v>11.03</v>
      </c>
      <c r="D14">
        <f t="shared" si="1"/>
        <v>0.89999999999999991</v>
      </c>
      <c r="E14" s="7">
        <v>10.75</v>
      </c>
      <c r="F14">
        <f t="shared" si="1"/>
        <v>0.89999999999999991</v>
      </c>
      <c r="G14" s="7">
        <v>10.18</v>
      </c>
      <c r="I14">
        <f t="shared" si="2"/>
        <v>0.89999999999999991</v>
      </c>
      <c r="J14" s="7">
        <v>10.85</v>
      </c>
      <c r="K14">
        <f t="shared" si="2"/>
        <v>0.89999999999999991</v>
      </c>
      <c r="L14" s="7">
        <v>11.07</v>
      </c>
      <c r="M14">
        <f t="shared" si="3"/>
        <v>0.89999999999999991</v>
      </c>
      <c r="N14" s="7">
        <v>11.32</v>
      </c>
      <c r="P14">
        <f t="shared" si="4"/>
        <v>0.89999999999999991</v>
      </c>
      <c r="Q14" s="7">
        <v>12.82</v>
      </c>
      <c r="R14">
        <f t="shared" si="5"/>
        <v>0.89999999999999991</v>
      </c>
      <c r="S14" s="7">
        <v>12.75</v>
      </c>
      <c r="T14">
        <f t="shared" si="6"/>
        <v>0.89999999999999991</v>
      </c>
      <c r="U14" s="7">
        <v>12.63</v>
      </c>
    </row>
    <row r="15" spans="2:27" x14ac:dyDescent="0.2">
      <c r="B15">
        <f t="shared" si="0"/>
        <v>0.99999999999999989</v>
      </c>
      <c r="C15" s="7">
        <v>11.08</v>
      </c>
      <c r="D15">
        <f t="shared" si="1"/>
        <v>0.99999999999999989</v>
      </c>
      <c r="E15" s="7">
        <v>10.82</v>
      </c>
      <c r="F15">
        <f t="shared" si="1"/>
        <v>0.99999999999999989</v>
      </c>
      <c r="G15" s="7">
        <v>10.24</v>
      </c>
      <c r="I15">
        <f t="shared" si="2"/>
        <v>0.99999999999999989</v>
      </c>
      <c r="J15" s="7">
        <v>10.87</v>
      </c>
      <c r="K15">
        <f t="shared" si="2"/>
        <v>0.99999999999999989</v>
      </c>
      <c r="L15" s="7">
        <v>11.09</v>
      </c>
      <c r="M15">
        <f t="shared" si="3"/>
        <v>0.99999999999999989</v>
      </c>
      <c r="N15" s="7">
        <v>11.31</v>
      </c>
      <c r="P15">
        <f t="shared" si="4"/>
        <v>0.99999999999999989</v>
      </c>
      <c r="Q15" s="7">
        <v>12.79</v>
      </c>
      <c r="R15">
        <f t="shared" si="5"/>
        <v>0.99999999999999989</v>
      </c>
      <c r="S15" s="7">
        <v>12.75</v>
      </c>
      <c r="T15">
        <f t="shared" si="6"/>
        <v>0.99999999999999989</v>
      </c>
      <c r="U15" s="7">
        <v>12.63</v>
      </c>
    </row>
    <row r="16" spans="2:27" x14ac:dyDescent="0.2">
      <c r="B16">
        <f t="shared" si="0"/>
        <v>1.0999999999999999</v>
      </c>
      <c r="C16" s="7">
        <v>11.16</v>
      </c>
      <c r="D16">
        <f t="shared" si="1"/>
        <v>1.0999999999999999</v>
      </c>
      <c r="E16" s="7">
        <v>10.69</v>
      </c>
      <c r="F16">
        <f t="shared" si="1"/>
        <v>1.0999999999999999</v>
      </c>
      <c r="G16" s="7">
        <v>10.33</v>
      </c>
      <c r="I16">
        <f t="shared" si="2"/>
        <v>1.0999999999999999</v>
      </c>
      <c r="J16" s="7">
        <v>10.89</v>
      </c>
      <c r="K16">
        <f t="shared" si="2"/>
        <v>1.0999999999999999</v>
      </c>
      <c r="L16" s="7">
        <v>11.14</v>
      </c>
      <c r="M16">
        <f t="shared" si="3"/>
        <v>1.0999999999999999</v>
      </c>
      <c r="N16" s="7">
        <v>11.31</v>
      </c>
      <c r="P16">
        <f t="shared" si="4"/>
        <v>1.0999999999999999</v>
      </c>
      <c r="Q16" s="7">
        <v>12.79</v>
      </c>
      <c r="R16">
        <f t="shared" si="5"/>
        <v>1.0999999999999999</v>
      </c>
      <c r="S16" s="7">
        <v>12.82</v>
      </c>
      <c r="T16">
        <f t="shared" si="6"/>
        <v>1.0999999999999999</v>
      </c>
      <c r="U16" s="7">
        <v>12.61</v>
      </c>
    </row>
    <row r="17" spans="2:21" x14ac:dyDescent="0.2">
      <c r="B17">
        <f t="shared" si="0"/>
        <v>1.2</v>
      </c>
      <c r="C17" s="7">
        <v>11.24</v>
      </c>
      <c r="D17">
        <f t="shared" si="1"/>
        <v>1.2</v>
      </c>
      <c r="E17" s="7">
        <v>10.97</v>
      </c>
      <c r="F17">
        <f t="shared" si="1"/>
        <v>1.2</v>
      </c>
      <c r="G17" s="7">
        <v>10.43</v>
      </c>
      <c r="I17">
        <f t="shared" si="2"/>
        <v>1.2</v>
      </c>
      <c r="J17" s="7">
        <v>10.92</v>
      </c>
      <c r="K17">
        <f t="shared" si="2"/>
        <v>1.2</v>
      </c>
      <c r="L17" s="7">
        <v>11.21</v>
      </c>
      <c r="M17">
        <f t="shared" si="3"/>
        <v>1.2</v>
      </c>
      <c r="N17" s="7">
        <v>11.33</v>
      </c>
      <c r="P17">
        <f t="shared" si="4"/>
        <v>1.2</v>
      </c>
      <c r="Q17" s="7">
        <v>12.76</v>
      </c>
      <c r="R17">
        <f t="shared" si="5"/>
        <v>1.2</v>
      </c>
      <c r="S17" s="7">
        <v>12.78</v>
      </c>
      <c r="T17">
        <f t="shared" si="6"/>
        <v>1.2</v>
      </c>
      <c r="U17" s="7">
        <v>12.61</v>
      </c>
    </row>
    <row r="18" spans="2:21" x14ac:dyDescent="0.2">
      <c r="B18">
        <f t="shared" si="0"/>
        <v>1.3</v>
      </c>
      <c r="C18" s="7">
        <v>11.74</v>
      </c>
      <c r="D18">
        <f t="shared" si="1"/>
        <v>1.3</v>
      </c>
      <c r="E18" s="7">
        <v>11.09</v>
      </c>
      <c r="F18">
        <f t="shared" si="1"/>
        <v>1.3</v>
      </c>
      <c r="G18" s="7">
        <v>10.52</v>
      </c>
      <c r="I18">
        <f t="shared" si="2"/>
        <v>1.3</v>
      </c>
      <c r="J18" s="7">
        <v>10.95</v>
      </c>
      <c r="K18">
        <f t="shared" si="2"/>
        <v>1.3</v>
      </c>
      <c r="L18" s="7">
        <v>11.24</v>
      </c>
      <c r="M18">
        <f t="shared" si="3"/>
        <v>1.3</v>
      </c>
      <c r="N18" s="7">
        <v>11.41</v>
      </c>
      <c r="P18">
        <f t="shared" si="4"/>
        <v>1.3</v>
      </c>
      <c r="Q18" s="7">
        <v>12.8</v>
      </c>
      <c r="R18">
        <f t="shared" si="5"/>
        <v>1.3</v>
      </c>
      <c r="S18" s="7">
        <v>12.75</v>
      </c>
      <c r="T18">
        <f t="shared" si="6"/>
        <v>1.3</v>
      </c>
      <c r="U18" s="7">
        <v>12.66</v>
      </c>
    </row>
    <row r="19" spans="2:21" x14ac:dyDescent="0.2">
      <c r="B19">
        <f t="shared" si="0"/>
        <v>1.4000000000000001</v>
      </c>
      <c r="C19" s="7">
        <v>11.87</v>
      </c>
      <c r="D19">
        <f t="shared" si="1"/>
        <v>1.4000000000000001</v>
      </c>
      <c r="E19" s="7">
        <v>11.3</v>
      </c>
      <c r="F19">
        <f t="shared" si="1"/>
        <v>1.4000000000000001</v>
      </c>
      <c r="G19" s="7">
        <v>10.72</v>
      </c>
      <c r="I19">
        <f t="shared" si="2"/>
        <v>1.4000000000000001</v>
      </c>
      <c r="J19" s="7">
        <v>11.03</v>
      </c>
      <c r="K19">
        <f t="shared" si="2"/>
        <v>1.4000000000000001</v>
      </c>
      <c r="L19" s="7">
        <v>11.33</v>
      </c>
      <c r="M19">
        <f t="shared" si="3"/>
        <v>1.4000000000000001</v>
      </c>
      <c r="N19" s="7">
        <v>11.47</v>
      </c>
      <c r="P19">
        <f t="shared" si="4"/>
        <v>1.4000000000000001</v>
      </c>
      <c r="Q19" s="7">
        <v>12.81</v>
      </c>
      <c r="R19">
        <f t="shared" si="5"/>
        <v>1.4000000000000001</v>
      </c>
      <c r="S19" s="7">
        <v>12.77</v>
      </c>
      <c r="T19">
        <f t="shared" si="6"/>
        <v>1.4000000000000001</v>
      </c>
      <c r="U19" s="7">
        <v>12.68</v>
      </c>
    </row>
    <row r="20" spans="2:21" x14ac:dyDescent="0.2">
      <c r="B20">
        <f t="shared" si="0"/>
        <v>1.5000000000000002</v>
      </c>
      <c r="C20" s="7">
        <v>12.02</v>
      </c>
      <c r="D20">
        <f t="shared" si="1"/>
        <v>1.5000000000000002</v>
      </c>
      <c r="E20" s="7">
        <v>11.44</v>
      </c>
      <c r="F20">
        <f t="shared" si="1"/>
        <v>1.5000000000000002</v>
      </c>
      <c r="G20" s="7">
        <v>10.92</v>
      </c>
      <c r="I20">
        <f t="shared" si="2"/>
        <v>1.5000000000000002</v>
      </c>
      <c r="J20" s="7">
        <v>11.09</v>
      </c>
      <c r="K20">
        <f t="shared" si="2"/>
        <v>1.5000000000000002</v>
      </c>
      <c r="L20" s="7">
        <v>11.43</v>
      </c>
      <c r="M20">
        <f t="shared" si="3"/>
        <v>1.5000000000000002</v>
      </c>
      <c r="N20" s="7">
        <v>11.57</v>
      </c>
      <c r="P20">
        <f t="shared" si="4"/>
        <v>1.5000000000000002</v>
      </c>
      <c r="Q20" s="7">
        <v>12.81</v>
      </c>
      <c r="R20">
        <f t="shared" si="5"/>
        <v>1.5000000000000002</v>
      </c>
      <c r="S20" s="7">
        <v>12.81</v>
      </c>
      <c r="T20">
        <f t="shared" si="6"/>
        <v>1.5000000000000002</v>
      </c>
      <c r="U20" s="7">
        <v>12.69</v>
      </c>
    </row>
    <row r="21" spans="2:21" x14ac:dyDescent="0.2">
      <c r="B21">
        <f t="shared" si="0"/>
        <v>1.6000000000000003</v>
      </c>
      <c r="C21" s="7">
        <v>12.22</v>
      </c>
      <c r="D21">
        <f t="shared" si="1"/>
        <v>1.6000000000000003</v>
      </c>
      <c r="E21" s="7">
        <v>11.65</v>
      </c>
      <c r="F21">
        <f t="shared" si="1"/>
        <v>1.6000000000000003</v>
      </c>
      <c r="G21" s="7">
        <v>11.21</v>
      </c>
      <c r="I21">
        <f t="shared" si="2"/>
        <v>1.6000000000000003</v>
      </c>
      <c r="J21" s="7">
        <v>11.14</v>
      </c>
      <c r="K21">
        <f t="shared" si="2"/>
        <v>1.6000000000000003</v>
      </c>
      <c r="L21" s="7">
        <v>11.54</v>
      </c>
      <c r="M21">
        <f t="shared" si="3"/>
        <v>1.6000000000000003</v>
      </c>
      <c r="N21" s="7">
        <v>11.64</v>
      </c>
      <c r="P21">
        <f t="shared" si="4"/>
        <v>1.6000000000000003</v>
      </c>
      <c r="Q21" s="7">
        <v>12.84</v>
      </c>
      <c r="R21">
        <f t="shared" si="5"/>
        <v>1.6000000000000003</v>
      </c>
      <c r="S21" s="7">
        <v>12.84</v>
      </c>
      <c r="T21">
        <f t="shared" si="6"/>
        <v>1.6000000000000003</v>
      </c>
      <c r="U21" s="7">
        <v>12.74</v>
      </c>
    </row>
    <row r="22" spans="2:21" x14ac:dyDescent="0.2">
      <c r="B22">
        <f t="shared" si="0"/>
        <v>1.7000000000000004</v>
      </c>
      <c r="C22" s="7">
        <v>12.41</v>
      </c>
      <c r="D22">
        <f t="shared" si="1"/>
        <v>1.7000000000000004</v>
      </c>
      <c r="E22" s="7">
        <v>11.91</v>
      </c>
      <c r="F22">
        <f t="shared" si="1"/>
        <v>1.7000000000000004</v>
      </c>
      <c r="G22" s="7">
        <v>11.46</v>
      </c>
      <c r="I22">
        <f t="shared" si="2"/>
        <v>1.7000000000000004</v>
      </c>
      <c r="J22" s="7">
        <v>11.34</v>
      </c>
      <c r="K22">
        <f t="shared" si="2"/>
        <v>1.7000000000000004</v>
      </c>
      <c r="L22" s="7">
        <v>11.69</v>
      </c>
      <c r="M22">
        <f t="shared" si="3"/>
        <v>1.7000000000000004</v>
      </c>
      <c r="N22" s="7">
        <v>11.82</v>
      </c>
      <c r="P22">
        <f t="shared" si="4"/>
        <v>1.7000000000000004</v>
      </c>
      <c r="Q22" s="7">
        <v>12.87</v>
      </c>
      <c r="R22">
        <f t="shared" si="5"/>
        <v>1.7000000000000004</v>
      </c>
      <c r="S22" s="7">
        <v>12.91</v>
      </c>
      <c r="T22">
        <f t="shared" si="6"/>
        <v>1.7000000000000004</v>
      </c>
      <c r="U22" s="7">
        <v>12.79</v>
      </c>
    </row>
    <row r="23" spans="2:21" x14ac:dyDescent="0.2">
      <c r="B23">
        <f t="shared" si="0"/>
        <v>1.8000000000000005</v>
      </c>
      <c r="C23" s="7">
        <v>12.71</v>
      </c>
      <c r="D23">
        <f t="shared" ref="D23:F35" si="7">D22+0.1</f>
        <v>1.8000000000000005</v>
      </c>
      <c r="E23" s="7">
        <v>12.26</v>
      </c>
      <c r="F23">
        <f t="shared" si="7"/>
        <v>1.8000000000000005</v>
      </c>
      <c r="G23" s="7">
        <v>11.79</v>
      </c>
      <c r="I23">
        <f t="shared" ref="I23:K34" si="8">I22+0.1</f>
        <v>1.8000000000000005</v>
      </c>
      <c r="J23" s="7">
        <v>11.5</v>
      </c>
      <c r="K23">
        <f t="shared" si="8"/>
        <v>1.8000000000000005</v>
      </c>
      <c r="L23" s="7">
        <v>11.85</v>
      </c>
      <c r="M23">
        <f t="shared" si="3"/>
        <v>1.8000000000000005</v>
      </c>
      <c r="N23" s="7">
        <v>11.94</v>
      </c>
      <c r="P23">
        <f t="shared" si="4"/>
        <v>1.8000000000000005</v>
      </c>
      <c r="Q23" s="7">
        <v>12.96</v>
      </c>
      <c r="R23">
        <f t="shared" si="5"/>
        <v>1.8000000000000005</v>
      </c>
      <c r="S23" s="7">
        <v>12.97</v>
      </c>
      <c r="T23">
        <f t="shared" si="6"/>
        <v>1.8000000000000005</v>
      </c>
      <c r="U23" s="7">
        <v>12.92</v>
      </c>
    </row>
    <row r="24" spans="2:21" x14ac:dyDescent="0.2">
      <c r="B24">
        <f t="shared" si="0"/>
        <v>1.9000000000000006</v>
      </c>
      <c r="C24" s="7">
        <v>12.99</v>
      </c>
      <c r="D24">
        <f t="shared" si="7"/>
        <v>1.9000000000000006</v>
      </c>
      <c r="E24" s="7">
        <v>12.66</v>
      </c>
      <c r="F24">
        <f t="shared" si="7"/>
        <v>1.9000000000000006</v>
      </c>
      <c r="G24" s="7">
        <v>12.22</v>
      </c>
      <c r="I24">
        <f t="shared" si="8"/>
        <v>1.9000000000000006</v>
      </c>
      <c r="J24" s="7">
        <v>11.76</v>
      </c>
      <c r="K24">
        <f t="shared" si="8"/>
        <v>1.9000000000000006</v>
      </c>
      <c r="L24" s="7">
        <v>12.11</v>
      </c>
      <c r="M24">
        <f t="shared" si="3"/>
        <v>1.9000000000000006</v>
      </c>
      <c r="N24" s="7">
        <v>12.18</v>
      </c>
      <c r="P24">
        <f t="shared" si="4"/>
        <v>1.9000000000000006</v>
      </c>
      <c r="Q24" s="7">
        <v>13.12</v>
      </c>
      <c r="R24">
        <f t="shared" si="5"/>
        <v>1.9000000000000006</v>
      </c>
      <c r="S24" s="7">
        <v>13.12</v>
      </c>
      <c r="T24">
        <f t="shared" si="6"/>
        <v>1.9000000000000006</v>
      </c>
      <c r="U24" s="7">
        <v>13.08</v>
      </c>
    </row>
    <row r="25" spans="2:21" x14ac:dyDescent="0.2">
      <c r="B25">
        <f t="shared" si="0"/>
        <v>2.0000000000000004</v>
      </c>
      <c r="C25" s="7">
        <v>13.36</v>
      </c>
      <c r="D25">
        <f t="shared" si="7"/>
        <v>2.0000000000000004</v>
      </c>
      <c r="E25" s="7">
        <v>13.05</v>
      </c>
      <c r="F25">
        <f t="shared" si="7"/>
        <v>2.0000000000000004</v>
      </c>
      <c r="G25" s="7">
        <v>12.59</v>
      </c>
      <c r="I25">
        <f t="shared" si="8"/>
        <v>2.0000000000000004</v>
      </c>
      <c r="J25" s="7">
        <v>12.07</v>
      </c>
      <c r="K25">
        <f t="shared" si="8"/>
        <v>2.0000000000000004</v>
      </c>
      <c r="L25" s="7">
        <v>12.39</v>
      </c>
      <c r="M25">
        <f t="shared" si="3"/>
        <v>2.0000000000000004</v>
      </c>
      <c r="N25" s="7">
        <v>12.39</v>
      </c>
      <c r="P25">
        <f t="shared" si="4"/>
        <v>2.0000000000000004</v>
      </c>
      <c r="Q25" s="7">
        <v>13.24</v>
      </c>
      <c r="R25">
        <f t="shared" si="5"/>
        <v>2.0000000000000004</v>
      </c>
      <c r="S25" s="7">
        <v>13.28</v>
      </c>
      <c r="T25">
        <f t="shared" si="6"/>
        <v>2.0000000000000004</v>
      </c>
      <c r="U25" s="7">
        <v>13.23</v>
      </c>
    </row>
    <row r="26" spans="2:21" x14ac:dyDescent="0.2">
      <c r="B26">
        <f t="shared" si="0"/>
        <v>2.1000000000000005</v>
      </c>
      <c r="C26" s="7">
        <v>13.81</v>
      </c>
      <c r="D26">
        <f t="shared" si="7"/>
        <v>2.1000000000000005</v>
      </c>
      <c r="E26" s="7">
        <v>13.48</v>
      </c>
      <c r="F26">
        <f t="shared" si="7"/>
        <v>2.1000000000000005</v>
      </c>
      <c r="G26" s="7">
        <v>13.07</v>
      </c>
      <c r="I26">
        <f>I25+0.1</f>
        <v>2.1000000000000005</v>
      </c>
      <c r="J26" s="7">
        <v>12.37</v>
      </c>
      <c r="K26">
        <f>K25+0.1</f>
        <v>2.1000000000000005</v>
      </c>
      <c r="L26" s="7">
        <v>12.81</v>
      </c>
      <c r="M26">
        <f t="shared" si="3"/>
        <v>2.1000000000000005</v>
      </c>
      <c r="N26" s="7">
        <v>12.79</v>
      </c>
      <c r="P26">
        <f t="shared" si="4"/>
        <v>2.1000000000000005</v>
      </c>
      <c r="Q26" s="7">
        <v>13.41</v>
      </c>
      <c r="R26">
        <f t="shared" si="5"/>
        <v>2.1000000000000005</v>
      </c>
      <c r="S26" s="7">
        <v>13.46</v>
      </c>
      <c r="T26">
        <f t="shared" si="6"/>
        <v>2.1000000000000005</v>
      </c>
      <c r="U26" s="7">
        <v>13.35</v>
      </c>
    </row>
    <row r="27" spans="2:21" x14ac:dyDescent="0.2">
      <c r="B27">
        <f t="shared" si="0"/>
        <v>2.2000000000000006</v>
      </c>
      <c r="C27" s="7">
        <v>14.2</v>
      </c>
      <c r="D27">
        <f t="shared" si="7"/>
        <v>2.2000000000000006</v>
      </c>
      <c r="E27" s="7">
        <v>13.93</v>
      </c>
      <c r="F27">
        <f t="shared" si="7"/>
        <v>2.2000000000000006</v>
      </c>
      <c r="G27" s="7">
        <v>13.55</v>
      </c>
      <c r="I27">
        <f t="shared" si="8"/>
        <v>2.2000000000000006</v>
      </c>
      <c r="J27" s="7">
        <v>12.77</v>
      </c>
      <c r="K27">
        <f t="shared" si="8"/>
        <v>2.2000000000000006</v>
      </c>
      <c r="L27" s="7">
        <v>13.15</v>
      </c>
      <c r="M27">
        <f t="shared" si="3"/>
        <v>2.2000000000000006</v>
      </c>
      <c r="N27" s="7">
        <v>13.1</v>
      </c>
      <c r="P27">
        <f t="shared" si="4"/>
        <v>2.2000000000000006</v>
      </c>
      <c r="Q27" s="7">
        <v>13.65</v>
      </c>
      <c r="R27">
        <f t="shared" si="5"/>
        <v>2.2000000000000006</v>
      </c>
      <c r="S27" s="7">
        <v>13.7</v>
      </c>
      <c r="T27">
        <f t="shared" si="6"/>
        <v>2.2000000000000006</v>
      </c>
      <c r="U27" s="7">
        <v>13.57</v>
      </c>
    </row>
    <row r="28" spans="2:21" x14ac:dyDescent="0.2">
      <c r="B28">
        <f t="shared" si="0"/>
        <v>2.3000000000000007</v>
      </c>
      <c r="C28" s="7">
        <v>14.69</v>
      </c>
      <c r="D28">
        <f t="shared" si="7"/>
        <v>2.3000000000000007</v>
      </c>
      <c r="E28" s="7">
        <v>14.4</v>
      </c>
      <c r="F28">
        <f t="shared" si="7"/>
        <v>2.3000000000000007</v>
      </c>
      <c r="G28" s="7">
        <v>14.05</v>
      </c>
      <c r="I28">
        <f t="shared" si="8"/>
        <v>2.3000000000000007</v>
      </c>
      <c r="J28" s="7">
        <v>13.14</v>
      </c>
      <c r="K28">
        <f t="shared" si="8"/>
        <v>2.3000000000000007</v>
      </c>
      <c r="L28" s="7">
        <v>13.55</v>
      </c>
      <c r="M28">
        <f t="shared" si="3"/>
        <v>2.3000000000000007</v>
      </c>
      <c r="N28" s="7">
        <v>13.4</v>
      </c>
      <c r="P28">
        <f t="shared" si="4"/>
        <v>2.3000000000000007</v>
      </c>
      <c r="Q28" s="7">
        <v>13.94</v>
      </c>
      <c r="R28">
        <f t="shared" si="5"/>
        <v>2.3000000000000007</v>
      </c>
      <c r="S28" s="7">
        <v>13.98</v>
      </c>
      <c r="T28">
        <f t="shared" si="6"/>
        <v>2.3000000000000007</v>
      </c>
      <c r="U28" s="7">
        <v>13.91</v>
      </c>
    </row>
    <row r="29" spans="2:21" x14ac:dyDescent="0.2">
      <c r="B29">
        <f t="shared" si="0"/>
        <v>2.4000000000000008</v>
      </c>
      <c r="C29" s="7">
        <v>15.15</v>
      </c>
      <c r="D29">
        <f t="shared" si="7"/>
        <v>2.4000000000000008</v>
      </c>
      <c r="E29" s="7">
        <v>14.89</v>
      </c>
      <c r="F29">
        <f t="shared" si="7"/>
        <v>2.4000000000000008</v>
      </c>
      <c r="G29" s="7">
        <v>14.51</v>
      </c>
      <c r="I29">
        <f t="shared" si="8"/>
        <v>2.4000000000000008</v>
      </c>
      <c r="J29" s="7">
        <v>13.6</v>
      </c>
      <c r="K29">
        <f t="shared" si="8"/>
        <v>2.4000000000000008</v>
      </c>
      <c r="L29" s="7">
        <v>14.08</v>
      </c>
      <c r="M29">
        <f t="shared" si="3"/>
        <v>2.4000000000000008</v>
      </c>
      <c r="N29" s="7">
        <v>13.81</v>
      </c>
      <c r="P29">
        <f t="shared" si="4"/>
        <v>2.4000000000000008</v>
      </c>
      <c r="Q29" s="7">
        <v>14.28</v>
      </c>
      <c r="R29">
        <f t="shared" si="5"/>
        <v>2.4000000000000008</v>
      </c>
      <c r="S29" s="7">
        <v>14.3</v>
      </c>
      <c r="T29">
        <f t="shared" si="6"/>
        <v>2.4000000000000008</v>
      </c>
      <c r="U29" s="7">
        <v>14.22</v>
      </c>
    </row>
    <row r="30" spans="2:21" x14ac:dyDescent="0.2">
      <c r="B30">
        <f t="shared" si="0"/>
        <v>2.5000000000000009</v>
      </c>
      <c r="C30" s="9">
        <v>15.66</v>
      </c>
      <c r="D30">
        <f t="shared" si="7"/>
        <v>2.5000000000000009</v>
      </c>
      <c r="E30" s="7">
        <v>15.4</v>
      </c>
      <c r="F30">
        <f t="shared" si="7"/>
        <v>2.5000000000000009</v>
      </c>
      <c r="G30" s="7">
        <v>15.11</v>
      </c>
      <c r="I30">
        <f t="shared" si="8"/>
        <v>2.5000000000000009</v>
      </c>
      <c r="J30" s="7">
        <v>14.07</v>
      </c>
      <c r="K30">
        <f t="shared" si="8"/>
        <v>2.5000000000000009</v>
      </c>
      <c r="L30" s="7">
        <v>14.5</v>
      </c>
      <c r="M30">
        <f t="shared" si="3"/>
        <v>2.5000000000000009</v>
      </c>
      <c r="N30" s="7">
        <v>14.19</v>
      </c>
      <c r="P30">
        <f t="shared" si="4"/>
        <v>2.5000000000000009</v>
      </c>
      <c r="Q30" s="7">
        <v>14.57</v>
      </c>
      <c r="R30">
        <f t="shared" si="5"/>
        <v>2.5000000000000009</v>
      </c>
      <c r="S30" s="7">
        <v>14.72</v>
      </c>
      <c r="T30">
        <f t="shared" si="6"/>
        <v>2.5000000000000009</v>
      </c>
      <c r="U30" s="7">
        <v>14.63</v>
      </c>
    </row>
    <row r="31" spans="2:21" x14ac:dyDescent="0.2">
      <c r="B31">
        <f t="shared" si="0"/>
        <v>2.600000000000001</v>
      </c>
      <c r="C31" s="9">
        <v>16.14</v>
      </c>
      <c r="D31">
        <f t="shared" si="7"/>
        <v>2.600000000000001</v>
      </c>
      <c r="E31" s="7">
        <v>15.88</v>
      </c>
      <c r="F31">
        <f t="shared" si="7"/>
        <v>2.600000000000001</v>
      </c>
      <c r="G31" s="7">
        <v>15.63</v>
      </c>
      <c r="I31">
        <f t="shared" si="8"/>
        <v>2.600000000000001</v>
      </c>
      <c r="J31" s="7">
        <v>14.52</v>
      </c>
      <c r="K31">
        <f t="shared" si="8"/>
        <v>2.600000000000001</v>
      </c>
      <c r="L31" s="7">
        <v>14.96</v>
      </c>
      <c r="M31">
        <f t="shared" si="3"/>
        <v>2.600000000000001</v>
      </c>
      <c r="N31" s="7">
        <v>14.6</v>
      </c>
      <c r="P31">
        <f t="shared" si="4"/>
        <v>2.600000000000001</v>
      </c>
      <c r="Q31" s="7">
        <v>15.03</v>
      </c>
      <c r="R31">
        <f t="shared" si="5"/>
        <v>2.600000000000001</v>
      </c>
      <c r="S31" s="7">
        <v>15.13</v>
      </c>
      <c r="T31">
        <f t="shared" si="6"/>
        <v>2.600000000000001</v>
      </c>
      <c r="U31" s="7">
        <v>15.06</v>
      </c>
    </row>
    <row r="32" spans="2:21" x14ac:dyDescent="0.2">
      <c r="B32">
        <f t="shared" si="0"/>
        <v>2.7000000000000011</v>
      </c>
      <c r="C32" s="9">
        <v>16.64</v>
      </c>
      <c r="D32">
        <f t="shared" si="7"/>
        <v>2.7000000000000011</v>
      </c>
      <c r="E32" s="7">
        <v>16.43</v>
      </c>
      <c r="F32">
        <f t="shared" si="7"/>
        <v>2.7000000000000011</v>
      </c>
      <c r="G32" s="7">
        <v>16.11</v>
      </c>
      <c r="I32">
        <f t="shared" si="8"/>
        <v>2.7000000000000011</v>
      </c>
      <c r="J32" s="7">
        <v>15.05</v>
      </c>
      <c r="K32">
        <f t="shared" si="8"/>
        <v>2.7000000000000011</v>
      </c>
      <c r="L32" s="7">
        <v>15.46</v>
      </c>
      <c r="M32">
        <f t="shared" si="3"/>
        <v>2.7000000000000011</v>
      </c>
      <c r="N32" s="7">
        <v>15.11</v>
      </c>
      <c r="P32">
        <f t="shared" si="4"/>
        <v>2.7000000000000011</v>
      </c>
      <c r="Q32" s="7">
        <v>15.52</v>
      </c>
      <c r="R32">
        <f t="shared" si="5"/>
        <v>2.7000000000000011</v>
      </c>
      <c r="S32" s="7">
        <v>15.52</v>
      </c>
      <c r="T32">
        <f t="shared" si="6"/>
        <v>2.7000000000000011</v>
      </c>
      <c r="U32" s="7">
        <v>15.46</v>
      </c>
    </row>
    <row r="33" spans="2:21" x14ac:dyDescent="0.2">
      <c r="B33">
        <f t="shared" si="0"/>
        <v>2.8000000000000012</v>
      </c>
      <c r="C33" s="9">
        <v>17.18</v>
      </c>
      <c r="D33">
        <f t="shared" si="7"/>
        <v>2.8000000000000012</v>
      </c>
      <c r="E33" s="7">
        <v>16.920000000000002</v>
      </c>
      <c r="F33">
        <f t="shared" si="7"/>
        <v>2.8000000000000012</v>
      </c>
      <c r="G33" s="7">
        <v>16.66</v>
      </c>
      <c r="I33">
        <f>I32+0.1</f>
        <v>2.8000000000000012</v>
      </c>
      <c r="J33" s="7">
        <v>15.55</v>
      </c>
      <c r="K33">
        <f>K32+0.1</f>
        <v>2.8000000000000012</v>
      </c>
      <c r="L33" s="7">
        <v>15.98</v>
      </c>
      <c r="M33">
        <f t="shared" si="3"/>
        <v>2.8000000000000012</v>
      </c>
      <c r="N33" s="7">
        <v>15.62</v>
      </c>
      <c r="P33">
        <f t="shared" si="4"/>
        <v>2.8000000000000012</v>
      </c>
      <c r="Q33" s="7">
        <v>15.95</v>
      </c>
      <c r="R33">
        <f t="shared" si="5"/>
        <v>2.8000000000000012</v>
      </c>
      <c r="S33" s="7">
        <v>16.05</v>
      </c>
      <c r="T33">
        <f t="shared" si="6"/>
        <v>2.8000000000000012</v>
      </c>
      <c r="U33" s="7">
        <v>15.88</v>
      </c>
    </row>
    <row r="34" spans="2:21" x14ac:dyDescent="0.2">
      <c r="B34">
        <f t="shared" si="0"/>
        <v>2.9000000000000012</v>
      </c>
      <c r="C34" s="9">
        <v>17.72</v>
      </c>
      <c r="D34">
        <f t="shared" si="7"/>
        <v>2.9000000000000012</v>
      </c>
      <c r="E34" s="7">
        <v>17.43</v>
      </c>
      <c r="F34">
        <f t="shared" si="7"/>
        <v>2.9000000000000012</v>
      </c>
      <c r="G34" s="7">
        <v>17.21</v>
      </c>
      <c r="I34">
        <f t="shared" si="8"/>
        <v>2.9000000000000012</v>
      </c>
      <c r="J34" s="7">
        <v>16.059999999999999</v>
      </c>
      <c r="K34">
        <f t="shared" si="8"/>
        <v>2.9000000000000012</v>
      </c>
      <c r="L34" s="7">
        <v>16.420000000000002</v>
      </c>
      <c r="M34">
        <f t="shared" si="3"/>
        <v>2.9000000000000012</v>
      </c>
      <c r="N34" s="7">
        <v>16.11</v>
      </c>
      <c r="P34">
        <f t="shared" si="4"/>
        <v>2.9000000000000012</v>
      </c>
      <c r="Q34" s="7">
        <v>16.38</v>
      </c>
      <c r="R34">
        <f t="shared" si="5"/>
        <v>2.9000000000000012</v>
      </c>
      <c r="S34" s="7">
        <v>16.55</v>
      </c>
      <c r="T34">
        <f t="shared" si="6"/>
        <v>2.9000000000000012</v>
      </c>
      <c r="U34" s="7">
        <v>16.43</v>
      </c>
    </row>
    <row r="35" spans="2:21" x14ac:dyDescent="0.2">
      <c r="B35">
        <f t="shared" si="0"/>
        <v>3.0000000000000013</v>
      </c>
      <c r="C35" s="9">
        <v>18.18</v>
      </c>
      <c r="D35">
        <f t="shared" si="7"/>
        <v>3.0000000000000013</v>
      </c>
      <c r="E35" s="7">
        <v>18</v>
      </c>
      <c r="F35">
        <f t="shared" si="7"/>
        <v>3.0000000000000013</v>
      </c>
      <c r="G35" s="7">
        <v>17.690000000000001</v>
      </c>
      <c r="I35">
        <f>I34+0.1</f>
        <v>3.0000000000000013</v>
      </c>
      <c r="J35" s="7">
        <v>16.579999999999998</v>
      </c>
      <c r="K35">
        <f>K34+0.1</f>
        <v>3.0000000000000013</v>
      </c>
      <c r="L35" s="7">
        <v>16.940000000000001</v>
      </c>
      <c r="M35">
        <f t="shared" si="3"/>
        <v>3.0000000000000013</v>
      </c>
      <c r="N35" s="7">
        <v>16.57</v>
      </c>
      <c r="P35">
        <f t="shared" si="4"/>
        <v>3.0000000000000013</v>
      </c>
      <c r="Q35" s="7">
        <v>16.88</v>
      </c>
      <c r="R35">
        <f t="shared" si="5"/>
        <v>3.0000000000000013</v>
      </c>
      <c r="S35" s="7">
        <v>17.04</v>
      </c>
      <c r="T35">
        <f t="shared" si="6"/>
        <v>3.0000000000000013</v>
      </c>
      <c r="U35" s="7">
        <v>16.91</v>
      </c>
    </row>
    <row r="37" spans="2:21" x14ac:dyDescent="0.2">
      <c r="B37" t="s">
        <v>44</v>
      </c>
      <c r="C37" t="s">
        <v>45</v>
      </c>
      <c r="D37" t="s">
        <v>44</v>
      </c>
      <c r="E37" t="s">
        <v>45</v>
      </c>
      <c r="F37" t="s">
        <v>44</v>
      </c>
      <c r="G37" t="s">
        <v>45</v>
      </c>
      <c r="I37" t="s">
        <v>44</v>
      </c>
      <c r="J37" t="s">
        <v>45</v>
      </c>
      <c r="K37" t="s">
        <v>44</v>
      </c>
      <c r="L37" t="s">
        <v>45</v>
      </c>
      <c r="M37" t="s">
        <v>44</v>
      </c>
      <c r="N37" t="s">
        <v>45</v>
      </c>
      <c r="P37" t="s">
        <v>44</v>
      </c>
      <c r="Q37" t="s">
        <v>45</v>
      </c>
      <c r="R37" t="s">
        <v>44</v>
      </c>
      <c r="S37" t="s">
        <v>45</v>
      </c>
      <c r="T37" t="s">
        <v>44</v>
      </c>
      <c r="U37" t="s">
        <v>45</v>
      </c>
    </row>
    <row r="38" spans="2:21" x14ac:dyDescent="0.2">
      <c r="B38">
        <v>1.597</v>
      </c>
      <c r="C38">
        <v>0</v>
      </c>
      <c r="D38">
        <v>1.5549999999999999</v>
      </c>
      <c r="E38">
        <v>0</v>
      </c>
      <c r="F38">
        <v>1.5880000000000001</v>
      </c>
      <c r="G38">
        <v>0</v>
      </c>
      <c r="I38">
        <v>1.8240000000000001</v>
      </c>
      <c r="J38">
        <v>0</v>
      </c>
      <c r="K38">
        <v>1.756</v>
      </c>
      <c r="L38">
        <v>0</v>
      </c>
      <c r="M38">
        <v>1.8360000000000001</v>
      </c>
      <c r="N38">
        <v>0</v>
      </c>
      <c r="P38">
        <v>2.1080000000000001</v>
      </c>
      <c r="Q38">
        <v>0</v>
      </c>
      <c r="R38">
        <v>2.1040000000000001</v>
      </c>
      <c r="S38">
        <v>0</v>
      </c>
      <c r="T38">
        <v>2.069</v>
      </c>
      <c r="U38">
        <v>0</v>
      </c>
    </row>
    <row r="39" spans="2:21" x14ac:dyDescent="0.2">
      <c r="B39">
        <v>1.597</v>
      </c>
      <c r="C39">
        <v>11.234999999999999</v>
      </c>
      <c r="D39">
        <v>1.5549999999999999</v>
      </c>
      <c r="E39">
        <v>10.834</v>
      </c>
      <c r="F39">
        <v>1.5880000000000001</v>
      </c>
      <c r="G39">
        <v>10.369</v>
      </c>
      <c r="I39">
        <v>1.8240000000000001</v>
      </c>
      <c r="J39">
        <v>10.86</v>
      </c>
      <c r="K39">
        <v>1.756</v>
      </c>
      <c r="L39">
        <v>11.087</v>
      </c>
      <c r="M39">
        <v>1.8360000000000001</v>
      </c>
      <c r="N39">
        <v>11.341100000000001</v>
      </c>
      <c r="P39">
        <v>2.1080000000000001</v>
      </c>
      <c r="Q39">
        <v>12.782999999999999</v>
      </c>
      <c r="R39">
        <v>2.1040000000000001</v>
      </c>
      <c r="S39">
        <v>12.811999999999999</v>
      </c>
      <c r="T39">
        <v>2.069</v>
      </c>
      <c r="U39">
        <v>12.629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D651E-65F5-9048-88B6-9B5CDA9B448A}">
  <dimension ref="B2:T598"/>
  <sheetViews>
    <sheetView tabSelected="1" zoomScaleNormal="100" workbookViewId="0">
      <selection activeCell="V21" sqref="V21"/>
    </sheetView>
  </sheetViews>
  <sheetFormatPr baseColWidth="10" defaultColWidth="11" defaultRowHeight="16" x14ac:dyDescent="0.2"/>
  <sheetData>
    <row r="2" spans="2:20" x14ac:dyDescent="0.2">
      <c r="C2" s="14" t="s">
        <v>55</v>
      </c>
      <c r="D2" s="14"/>
      <c r="E2" s="14"/>
      <c r="F2" s="14"/>
      <c r="G2" s="14"/>
      <c r="H2" s="14"/>
      <c r="I2" s="14"/>
      <c r="N2" s="14" t="s">
        <v>56</v>
      </c>
      <c r="O2" s="14"/>
      <c r="P2" s="14"/>
      <c r="Q2" s="14"/>
      <c r="R2" s="14"/>
      <c r="S2" s="14"/>
      <c r="T2" s="14"/>
    </row>
    <row r="3" spans="2:20" x14ac:dyDescent="0.2">
      <c r="C3" t="s">
        <v>38</v>
      </c>
      <c r="E3" t="s">
        <v>39</v>
      </c>
      <c r="G3" t="s">
        <v>40</v>
      </c>
      <c r="N3" t="s">
        <v>38</v>
      </c>
      <c r="P3" t="s">
        <v>39</v>
      </c>
      <c r="R3" t="s">
        <v>40</v>
      </c>
    </row>
    <row r="4" spans="2:20" x14ac:dyDescent="0.2">
      <c r="B4" t="s">
        <v>49</v>
      </c>
      <c r="C4" t="s">
        <v>50</v>
      </c>
      <c r="D4" t="s">
        <v>51</v>
      </c>
      <c r="E4" t="s">
        <v>50</v>
      </c>
      <c r="F4" t="s">
        <v>51</v>
      </c>
      <c r="G4" t="s">
        <v>50</v>
      </c>
      <c r="H4" t="s">
        <v>51</v>
      </c>
      <c r="I4" t="s">
        <v>17</v>
      </c>
      <c r="N4" t="s">
        <v>59</v>
      </c>
      <c r="O4" t="s">
        <v>14</v>
      </c>
      <c r="P4" t="s">
        <v>60</v>
      </c>
      <c r="Q4" t="s">
        <v>15</v>
      </c>
      <c r="R4" t="s">
        <v>61</v>
      </c>
      <c r="S4" t="s">
        <v>16</v>
      </c>
      <c r="T4" t="s">
        <v>22</v>
      </c>
    </row>
    <row r="5" spans="2:20" x14ac:dyDescent="0.2">
      <c r="B5">
        <v>935</v>
      </c>
      <c r="C5">
        <v>-0.88169640302658103</v>
      </c>
      <c r="D5">
        <v>-0.72345115542411798</v>
      </c>
      <c r="E5">
        <v>-1.0485823631286599</v>
      </c>
      <c r="F5" s="13">
        <v>-0.96310915900000005</v>
      </c>
      <c r="G5">
        <v>2.97407538890839</v>
      </c>
      <c r="H5">
        <v>0.93006895780563403</v>
      </c>
      <c r="I5">
        <v>-1.0503128647804301</v>
      </c>
      <c r="N5">
        <f>C5/$L$8+0.01</f>
        <v>-1.6819588625840001E-2</v>
      </c>
      <c r="O5">
        <f>D5/$L$9+0.16</f>
        <v>0.12148794261252348</v>
      </c>
      <c r="P5">
        <f>E5/$L$10+0.04</f>
        <v>-6.6771810856807307E-2</v>
      </c>
      <c r="Q5">
        <f>F5/$L$11+0.18</f>
        <v>0.11121442155587445</v>
      </c>
      <c r="R5">
        <f>G5/$L$12+0.11</f>
        <v>0.20482696735306966</v>
      </c>
      <c r="S5">
        <f>H5/$L$13+0.26</f>
        <v>0.29892284630982147</v>
      </c>
      <c r="T5">
        <f>I5/$L$14</f>
        <v>-3.9731577245570991E-2</v>
      </c>
    </row>
    <row r="6" spans="2:20" x14ac:dyDescent="0.2">
      <c r="B6">
        <v>937</v>
      </c>
      <c r="C6">
        <v>-0.482629419863224</v>
      </c>
      <c r="D6">
        <v>-1.0098782539367701</v>
      </c>
      <c r="E6">
        <v>-9.3260362744331405E-3</v>
      </c>
      <c r="F6" s="13">
        <v>-0.47455700000000001</v>
      </c>
      <c r="G6">
        <v>2.8306911945343001</v>
      </c>
      <c r="H6">
        <v>-0.108121478557587</v>
      </c>
      <c r="I6">
        <v>1.1992690324783299</v>
      </c>
      <c r="N6">
        <f t="shared" ref="N6:N69" si="0">C6/$L$8+0.01</f>
        <v>-4.6807023994054463E-3</v>
      </c>
      <c r="O6">
        <f t="shared" ref="O6:O69" si="1">D6/$L$9+0.16</f>
        <v>0.10624033844112524</v>
      </c>
      <c r="P6">
        <f t="shared" ref="P6:P69" si="2">E6/$L$10+0.04</f>
        <v>3.9050377141413621E-2</v>
      </c>
      <c r="Q6">
        <f>F6/$L$11+0.18</f>
        <v>0.14610698024759528</v>
      </c>
      <c r="R6">
        <f t="shared" ref="R6:R69" si="3">G6/$L$12+0.11</f>
        <v>0.20025523108519766</v>
      </c>
      <c r="S6">
        <f t="shared" ref="S6:S69" si="4">H6/$L$13+0.26</f>
        <v>0.25547517884844073</v>
      </c>
      <c r="T6">
        <f t="shared" ref="T6:T69" si="5">I6/$L$14</f>
        <v>4.5366339687836758E-2</v>
      </c>
    </row>
    <row r="7" spans="2:20" x14ac:dyDescent="0.2">
      <c r="B7">
        <v>939</v>
      </c>
      <c r="C7">
        <v>-0.43210564851760902</v>
      </c>
      <c r="D7">
        <v>0.80888270139694196</v>
      </c>
      <c r="E7">
        <v>-0.65478167533874498</v>
      </c>
      <c r="F7" s="13">
        <v>0.11467303600000001</v>
      </c>
      <c r="G7">
        <v>2.02121474742889</v>
      </c>
      <c r="H7">
        <v>0.55729413032531705</v>
      </c>
      <c r="I7">
        <v>2.9689223289489699</v>
      </c>
      <c r="N7">
        <f t="shared" si="0"/>
        <v>-3.1438618739547085E-3</v>
      </c>
      <c r="O7">
        <f t="shared" si="1"/>
        <v>0.20305990360561882</v>
      </c>
      <c r="P7">
        <f t="shared" si="2"/>
        <v>-2.667308897240505E-2</v>
      </c>
      <c r="Q7">
        <f t="shared" ref="Q7:Q69" si="6">F7/$L$11+0.18</f>
        <v>0.18818998660691175</v>
      </c>
      <c r="R7">
        <f t="shared" si="3"/>
        <v>0.17444546280931084</v>
      </c>
      <c r="S7">
        <f t="shared" si="4"/>
        <v>0.2833224360430176</v>
      </c>
      <c r="T7">
        <f t="shared" si="5"/>
        <v>0.11230936114773409</v>
      </c>
    </row>
    <row r="8" spans="2:20" x14ac:dyDescent="0.2">
      <c r="B8">
        <v>941</v>
      </c>
      <c r="C8">
        <v>-0.249370491504669</v>
      </c>
      <c r="D8">
        <v>0.123044627904892</v>
      </c>
      <c r="E8">
        <v>-0.92833875417709399</v>
      </c>
      <c r="F8" s="13">
        <v>0.88999916199999995</v>
      </c>
      <c r="G8">
        <v>0.14204894900321999</v>
      </c>
      <c r="H8">
        <v>0.51723764538764905</v>
      </c>
      <c r="I8">
        <v>4.0770650148391701</v>
      </c>
      <c r="K8" t="s">
        <v>13</v>
      </c>
      <c r="L8">
        <v>32.875090491771701</v>
      </c>
      <c r="N8">
        <f t="shared" si="0"/>
        <v>2.4146066893083115E-3</v>
      </c>
      <c r="O8">
        <f t="shared" si="1"/>
        <v>0.16655013366910151</v>
      </c>
      <c r="P8">
        <f t="shared" si="2"/>
        <v>-5.4528015497318484E-2</v>
      </c>
      <c r="Q8">
        <f t="shared" si="6"/>
        <v>0.24356403799183163</v>
      </c>
      <c r="R8">
        <f t="shared" si="3"/>
        <v>0.11452916260963052</v>
      </c>
      <c r="S8">
        <f t="shared" si="4"/>
        <v>0.28164609538692364</v>
      </c>
      <c r="T8">
        <f t="shared" si="5"/>
        <v>0.15422854370746136</v>
      </c>
    </row>
    <row r="9" spans="2:20" x14ac:dyDescent="0.2">
      <c r="B9">
        <v>943</v>
      </c>
      <c r="C9">
        <v>0.30075709968805298</v>
      </c>
      <c r="D9">
        <v>0.167873261123896</v>
      </c>
      <c r="E9">
        <v>-0.48082751035690302</v>
      </c>
      <c r="F9" s="13">
        <v>0.44919589500000001</v>
      </c>
      <c r="G9">
        <v>7.9901331663131694E-2</v>
      </c>
      <c r="H9">
        <v>1.25865387320518</v>
      </c>
      <c r="I9">
        <v>3.96155161857605</v>
      </c>
      <c r="K9" t="s">
        <v>54</v>
      </c>
      <c r="L9">
        <v>18.785056018829369</v>
      </c>
      <c r="N9">
        <f t="shared" si="0"/>
        <v>1.9148479751358537E-2</v>
      </c>
      <c r="O9">
        <f t="shared" si="1"/>
        <v>0.16893653236677211</v>
      </c>
      <c r="P9">
        <f t="shared" si="2"/>
        <v>-8.9602207664421507E-3</v>
      </c>
      <c r="Q9">
        <f t="shared" si="6"/>
        <v>0.21208172114610913</v>
      </c>
      <c r="R9">
        <f t="shared" si="3"/>
        <v>0.11254761563790337</v>
      </c>
      <c r="S9">
        <f t="shared" si="4"/>
        <v>0.31267393439257735</v>
      </c>
      <c r="T9">
        <f t="shared" si="5"/>
        <v>0.14985886531883585</v>
      </c>
    </row>
    <row r="10" spans="2:20" x14ac:dyDescent="0.2">
      <c r="B10">
        <v>945</v>
      </c>
      <c r="C10">
        <v>1.16722310185432</v>
      </c>
      <c r="D10">
        <v>0.437516111135483</v>
      </c>
      <c r="E10">
        <v>-0.16262914240360299</v>
      </c>
      <c r="F10" s="13">
        <v>0.44582385400000002</v>
      </c>
      <c r="G10">
        <v>4.7616985067725201E-2</v>
      </c>
      <c r="H10">
        <v>1.63031723499298</v>
      </c>
      <c r="I10">
        <v>4.8657774925231898</v>
      </c>
      <c r="K10" t="s">
        <v>46</v>
      </c>
      <c r="L10">
        <v>9.8207790493965099</v>
      </c>
      <c r="N10">
        <f t="shared" si="0"/>
        <v>4.5504787496979331E-2</v>
      </c>
      <c r="O10">
        <f t="shared" si="1"/>
        <v>0.18329064713445278</v>
      </c>
      <c r="P10">
        <f t="shared" si="2"/>
        <v>2.344030126473555E-2</v>
      </c>
      <c r="Q10">
        <f t="shared" si="6"/>
        <v>0.21184088884942207</v>
      </c>
      <c r="R10">
        <f t="shared" si="3"/>
        <v>0.1115182447308863</v>
      </c>
      <c r="S10">
        <f t="shared" si="4"/>
        <v>0.32822783046496007</v>
      </c>
      <c r="T10">
        <f t="shared" si="5"/>
        <v>0.18406421627936626</v>
      </c>
    </row>
    <row r="11" spans="2:20" x14ac:dyDescent="0.2">
      <c r="B11">
        <v>947</v>
      </c>
      <c r="C11">
        <v>1.20536898076534</v>
      </c>
      <c r="D11">
        <v>0.59058783054351804</v>
      </c>
      <c r="E11">
        <v>-7.3159560933709206E-2</v>
      </c>
      <c r="F11" s="13">
        <v>1.1058270690000001</v>
      </c>
      <c r="G11">
        <v>0.77457721456885298</v>
      </c>
      <c r="H11">
        <v>1.48711891174316</v>
      </c>
      <c r="I11">
        <v>5.5675517082214396</v>
      </c>
      <c r="K11" t="s">
        <v>52</v>
      </c>
      <c r="L11">
        <v>14.001614593999999</v>
      </c>
      <c r="N11">
        <f t="shared" si="0"/>
        <v>4.6665115220505073E-2</v>
      </c>
      <c r="O11">
        <f t="shared" si="1"/>
        <v>0.19143923712293098</v>
      </c>
      <c r="P11">
        <f t="shared" si="2"/>
        <v>3.2550533866434465E-2</v>
      </c>
      <c r="Q11">
        <f t="shared" si="6"/>
        <v>0.25897853933744691</v>
      </c>
      <c r="R11">
        <f t="shared" si="3"/>
        <v>0.13469702298478445</v>
      </c>
      <c r="S11">
        <f t="shared" si="4"/>
        <v>0.32223506371266764</v>
      </c>
      <c r="T11">
        <f t="shared" si="5"/>
        <v>0.21061115995199653</v>
      </c>
    </row>
    <row r="12" spans="2:20" x14ac:dyDescent="0.2">
      <c r="B12">
        <v>949</v>
      </c>
      <c r="C12">
        <v>1.3204615712165799</v>
      </c>
      <c r="D12">
        <v>0.99747659564018298</v>
      </c>
      <c r="E12">
        <v>0.37080059647560099</v>
      </c>
      <c r="F12" s="13">
        <v>1.3683555249999999</v>
      </c>
      <c r="G12">
        <v>0.74200016558170301</v>
      </c>
      <c r="H12">
        <v>1.4020012617111199</v>
      </c>
      <c r="I12">
        <v>5.9097999572753901</v>
      </c>
      <c r="K12" t="s">
        <v>47</v>
      </c>
      <c r="L12">
        <v>31.36318150758742</v>
      </c>
      <c r="N12">
        <f t="shared" si="0"/>
        <v>5.0166020882804203E-2</v>
      </c>
      <c r="O12">
        <f t="shared" si="1"/>
        <v>0.21309947410539279</v>
      </c>
      <c r="P12">
        <f t="shared" si="2"/>
        <v>7.7756739522450297E-2</v>
      </c>
      <c r="Q12">
        <f t="shared" si="6"/>
        <v>0.2777284095211684</v>
      </c>
      <c r="R12">
        <f t="shared" si="3"/>
        <v>0.13365831940239217</v>
      </c>
      <c r="S12">
        <f t="shared" si="4"/>
        <v>0.31867293943935904</v>
      </c>
      <c r="T12">
        <f t="shared" si="5"/>
        <v>0.22355783822322872</v>
      </c>
    </row>
    <row r="13" spans="2:20" x14ac:dyDescent="0.2">
      <c r="B13">
        <v>951</v>
      </c>
      <c r="C13">
        <v>1.6582314252853401</v>
      </c>
      <c r="D13">
        <v>0.94224743843078596</v>
      </c>
      <c r="E13">
        <v>0.87165410948218802</v>
      </c>
      <c r="F13" s="13">
        <v>1.5981121060000001</v>
      </c>
      <c r="G13">
        <v>0.518839943408966</v>
      </c>
      <c r="H13">
        <v>1.7606096982955901</v>
      </c>
      <c r="I13">
        <v>6.3344214439392097</v>
      </c>
      <c r="K13" t="s">
        <v>53</v>
      </c>
      <c r="L13">
        <v>23.895193850994087</v>
      </c>
      <c r="N13">
        <f t="shared" si="0"/>
        <v>6.044036078624266E-2</v>
      </c>
      <c r="O13">
        <f t="shared" si="1"/>
        <v>0.21015941594671403</v>
      </c>
      <c r="P13">
        <f t="shared" si="2"/>
        <v>0.1287561063229247</v>
      </c>
      <c r="Q13">
        <f t="shared" si="6"/>
        <v>0.29413770142515039</v>
      </c>
      <c r="R13">
        <f t="shared" si="3"/>
        <v>0.1265429627502378</v>
      </c>
      <c r="S13">
        <f t="shared" si="4"/>
        <v>0.33368049446572479</v>
      </c>
      <c r="T13">
        <f t="shared" si="5"/>
        <v>0.2396205581643385</v>
      </c>
    </row>
    <row r="14" spans="2:20" x14ac:dyDescent="0.2">
      <c r="B14">
        <v>953</v>
      </c>
      <c r="C14">
        <v>1.9348060131072999</v>
      </c>
      <c r="D14">
        <v>1.0863895297050501</v>
      </c>
      <c r="E14">
        <v>0.87547808289527895</v>
      </c>
      <c r="F14" s="13">
        <v>1.810810399</v>
      </c>
      <c r="G14">
        <v>0.30496333837509199</v>
      </c>
      <c r="H14">
        <v>2.0644623994827298</v>
      </c>
      <c r="I14">
        <v>6.5174353599548303</v>
      </c>
      <c r="K14" t="s">
        <v>48</v>
      </c>
      <c r="L14">
        <v>26.435216963291129</v>
      </c>
      <c r="N14">
        <f t="shared" si="0"/>
        <v>6.8853252847822941E-2</v>
      </c>
      <c r="O14">
        <f t="shared" si="1"/>
        <v>0.21783264785668449</v>
      </c>
      <c r="P14">
        <f t="shared" si="2"/>
        <v>0.12914548209381388</v>
      </c>
      <c r="Q14">
        <f t="shared" si="6"/>
        <v>0.30932868469154778</v>
      </c>
      <c r="R14">
        <f t="shared" si="3"/>
        <v>0.11972360977795939</v>
      </c>
      <c r="S14">
        <f t="shared" si="4"/>
        <v>0.34639655373194822</v>
      </c>
      <c r="T14">
        <f t="shared" si="5"/>
        <v>0.24654366820613463</v>
      </c>
    </row>
    <row r="15" spans="2:20" x14ac:dyDescent="0.2">
      <c r="B15">
        <v>955</v>
      </c>
      <c r="C15">
        <v>2.3879269123077398</v>
      </c>
      <c r="D15">
        <v>1.20392827391624</v>
      </c>
      <c r="E15">
        <v>0.84004709124565102</v>
      </c>
      <c r="F15" s="13">
        <v>1.8166280029999999</v>
      </c>
      <c r="G15">
        <v>0.440659150481224</v>
      </c>
      <c r="H15">
        <v>2.3344132184982298</v>
      </c>
      <c r="I15">
        <v>6.51086473464966</v>
      </c>
      <c r="N15">
        <f t="shared" si="0"/>
        <v>8.2636360131249323E-2</v>
      </c>
      <c r="O15">
        <f t="shared" si="1"/>
        <v>0.22408968238952665</v>
      </c>
      <c r="P15">
        <f t="shared" si="2"/>
        <v>0.12553772435164115</v>
      </c>
      <c r="Q15">
        <f t="shared" si="6"/>
        <v>0.30974417991611231</v>
      </c>
      <c r="R15">
        <f t="shared" si="3"/>
        <v>0.12405020566470973</v>
      </c>
      <c r="S15">
        <f t="shared" si="4"/>
        <v>0.35769383889727741</v>
      </c>
      <c r="T15">
        <f t="shared" si="5"/>
        <v>0.24629511245135138</v>
      </c>
    </row>
    <row r="16" spans="2:20" x14ac:dyDescent="0.2">
      <c r="B16">
        <v>957</v>
      </c>
      <c r="C16">
        <v>2.6882525920867901</v>
      </c>
      <c r="D16">
        <v>1.32771600484848</v>
      </c>
      <c r="E16">
        <v>0.98614550642669196</v>
      </c>
      <c r="F16" s="13">
        <v>2.0790449020000001</v>
      </c>
      <c r="G16">
        <v>1.0570445537567099</v>
      </c>
      <c r="H16">
        <v>2.53759446144104</v>
      </c>
      <c r="I16">
        <v>6.5479555130004901</v>
      </c>
      <c r="N16">
        <f t="shared" si="0"/>
        <v>9.1771716879673143E-2</v>
      </c>
      <c r="O16">
        <f t="shared" si="1"/>
        <v>0.23067937425992407</v>
      </c>
      <c r="P16">
        <f t="shared" si="2"/>
        <v>0.14041418317901072</v>
      </c>
      <c r="Q16">
        <f t="shared" si="6"/>
        <v>0.32848608266156082</v>
      </c>
      <c r="R16">
        <f t="shared" si="3"/>
        <v>0.1437033586181615</v>
      </c>
      <c r="S16">
        <f t="shared" si="4"/>
        <v>0.36619685603996349</v>
      </c>
      <c r="T16">
        <f t="shared" si="5"/>
        <v>0.24769819449914904</v>
      </c>
    </row>
    <row r="17" spans="2:20" x14ac:dyDescent="0.2">
      <c r="B17">
        <v>959</v>
      </c>
      <c r="C17">
        <v>2.76846086978912</v>
      </c>
      <c r="D17">
        <v>1.59295142889023</v>
      </c>
      <c r="E17">
        <v>1.0690711364150001</v>
      </c>
      <c r="F17" s="13">
        <v>2.7435086489999998</v>
      </c>
      <c r="G17">
        <v>1.21098208427429</v>
      </c>
      <c r="H17">
        <v>2.75644826889038</v>
      </c>
      <c r="I17">
        <v>7.0697563171386699</v>
      </c>
      <c r="N17">
        <f t="shared" si="0"/>
        <v>9.4211505683369515E-2</v>
      </c>
      <c r="O17">
        <f t="shared" si="1"/>
        <v>0.2447988649750909</v>
      </c>
      <c r="P17">
        <f t="shared" si="2"/>
        <v>0.14885807847196142</v>
      </c>
      <c r="Q17">
        <f t="shared" si="6"/>
        <v>0.37594230583776056</v>
      </c>
      <c r="R17">
        <f t="shared" si="3"/>
        <v>0.14861158294739096</v>
      </c>
      <c r="S17">
        <f t="shared" si="4"/>
        <v>0.37535576091489653</v>
      </c>
      <c r="T17">
        <f t="shared" si="5"/>
        <v>0.26743704532313778</v>
      </c>
    </row>
    <row r="18" spans="2:20" x14ac:dyDescent="0.2">
      <c r="B18">
        <v>961</v>
      </c>
      <c r="C18">
        <v>2.9885281801223802</v>
      </c>
      <c r="D18">
        <v>1.8109405636787399</v>
      </c>
      <c r="E18">
        <v>1.30382949113846</v>
      </c>
      <c r="F18" s="13">
        <v>2.761543751</v>
      </c>
      <c r="G18">
        <v>0.923255479335785</v>
      </c>
      <c r="H18">
        <v>2.9587015151977498</v>
      </c>
      <c r="I18">
        <v>7.5483604431152296</v>
      </c>
      <c r="N18">
        <f t="shared" si="0"/>
        <v>0.10090554992906797</v>
      </c>
      <c r="O18">
        <f t="shared" si="1"/>
        <v>0.25640325596386443</v>
      </c>
      <c r="P18">
        <f t="shared" si="2"/>
        <v>0.17276232817991979</v>
      </c>
      <c r="Q18">
        <f t="shared" si="6"/>
        <v>0.37723037885811983</v>
      </c>
      <c r="R18">
        <f t="shared" si="3"/>
        <v>0.13943755814799688</v>
      </c>
      <c r="S18">
        <f t="shared" si="4"/>
        <v>0.38381994193676156</v>
      </c>
      <c r="T18">
        <f t="shared" si="5"/>
        <v>0.2855418381319566</v>
      </c>
    </row>
    <row r="19" spans="2:20" x14ac:dyDescent="0.2">
      <c r="B19">
        <v>963</v>
      </c>
      <c r="C19">
        <v>3.4080027580261198</v>
      </c>
      <c r="D19">
        <v>2.0888632178306601</v>
      </c>
      <c r="E19">
        <v>1.37840046286583</v>
      </c>
      <c r="F19" s="13">
        <v>2.8156098599999999</v>
      </c>
      <c r="G19">
        <v>1.1468708317726899</v>
      </c>
      <c r="H19">
        <v>3.2670939445495599</v>
      </c>
      <c r="I19">
        <v>7.6002941131591797</v>
      </c>
      <c r="N19">
        <f t="shared" si="0"/>
        <v>0.11366519778490368</v>
      </c>
      <c r="O19">
        <f t="shared" si="1"/>
        <v>0.27119813620661387</v>
      </c>
      <c r="P19">
        <f t="shared" si="2"/>
        <v>0.18035551109873846</v>
      </c>
      <c r="Q19">
        <f t="shared" si="6"/>
        <v>0.38109179845634022</v>
      </c>
      <c r="R19">
        <f t="shared" si="3"/>
        <v>0.14656742641033524</v>
      </c>
      <c r="S19">
        <f t="shared" si="4"/>
        <v>0.39672598619297839</v>
      </c>
      <c r="T19">
        <f t="shared" si="5"/>
        <v>0.28750640192260252</v>
      </c>
    </row>
    <row r="20" spans="2:20" x14ac:dyDescent="0.2">
      <c r="B20">
        <v>965</v>
      </c>
      <c r="C20">
        <v>3.9163139343261699</v>
      </c>
      <c r="D20">
        <v>2.0757718324661298</v>
      </c>
      <c r="E20">
        <v>1.37881323434412</v>
      </c>
      <c r="F20" s="13">
        <v>2.961544371</v>
      </c>
      <c r="G20">
        <v>1.6371916055679301</v>
      </c>
      <c r="H20">
        <v>3.5374444484710699</v>
      </c>
      <c r="I20">
        <v>7.8462121963501001</v>
      </c>
      <c r="N20">
        <f t="shared" si="0"/>
        <v>0.12912709214614582</v>
      </c>
      <c r="O20">
        <f t="shared" si="1"/>
        <v>0.27050123195722503</v>
      </c>
      <c r="P20">
        <f t="shared" si="2"/>
        <v>0.18039754151976858</v>
      </c>
      <c r="Q20">
        <f t="shared" si="6"/>
        <v>0.39151449006953004</v>
      </c>
      <c r="R20">
        <f t="shared" si="3"/>
        <v>0.16220106911576743</v>
      </c>
      <c r="S20">
        <f t="shared" si="4"/>
        <v>0.4080399979397491</v>
      </c>
      <c r="T20">
        <f t="shared" si="5"/>
        <v>0.29680907129476658</v>
      </c>
    </row>
    <row r="21" spans="2:20" x14ac:dyDescent="0.2">
      <c r="B21">
        <v>967</v>
      </c>
      <c r="C21">
        <v>4.3326025962829604</v>
      </c>
      <c r="D21">
        <v>2.2259354591369598</v>
      </c>
      <c r="E21">
        <v>1.4896340813487801</v>
      </c>
      <c r="F21" s="13">
        <v>3.0893113849999998</v>
      </c>
      <c r="G21">
        <v>1.87210855484009</v>
      </c>
      <c r="H21">
        <v>3.7581517696380602</v>
      </c>
      <c r="I21">
        <v>8.4276024818420403</v>
      </c>
      <c r="N21">
        <f t="shared" si="0"/>
        <v>0.14178983027795367</v>
      </c>
      <c r="O21">
        <f t="shared" si="1"/>
        <v>0.27849501310540536</v>
      </c>
      <c r="P21">
        <f t="shared" si="2"/>
        <v>0.19168186493721379</v>
      </c>
      <c r="Q21">
        <f t="shared" si="6"/>
        <v>0.40063965296715409</v>
      </c>
      <c r="R21">
        <f t="shared" si="3"/>
        <v>0.16969128337274034</v>
      </c>
      <c r="S21">
        <f t="shared" si="4"/>
        <v>0.41727647128846013</v>
      </c>
      <c r="T21">
        <f t="shared" si="5"/>
        <v>0.31880209243392649</v>
      </c>
    </row>
    <row r="22" spans="2:20" x14ac:dyDescent="0.2">
      <c r="B22">
        <v>969</v>
      </c>
      <c r="C22">
        <v>4.6307112216949502</v>
      </c>
      <c r="D22">
        <v>2.5902937889099098</v>
      </c>
      <c r="E22">
        <v>1.6318024888634699</v>
      </c>
      <c r="F22" s="13">
        <v>3.3387266640000002</v>
      </c>
      <c r="G22">
        <v>1.5342567443847701</v>
      </c>
      <c r="H22">
        <v>4.1052879810333298</v>
      </c>
      <c r="I22">
        <v>8.9138639450073196</v>
      </c>
      <c r="N22">
        <f t="shared" si="0"/>
        <v>0.15085774829590112</v>
      </c>
      <c r="O22">
        <f t="shared" si="1"/>
        <v>0.29789119320770219</v>
      </c>
      <c r="P22">
        <f t="shared" si="2"/>
        <v>0.20615815106478186</v>
      </c>
      <c r="Q22">
        <f t="shared" si="6"/>
        <v>0.41845297566115824</v>
      </c>
      <c r="R22">
        <f t="shared" si="3"/>
        <v>0.15891904043643024</v>
      </c>
      <c r="S22">
        <f t="shared" si="4"/>
        <v>0.43180392034620563</v>
      </c>
      <c r="T22">
        <f t="shared" si="5"/>
        <v>0.33719654948871514</v>
      </c>
    </row>
    <row r="23" spans="2:20" x14ac:dyDescent="0.2">
      <c r="B23">
        <v>971</v>
      </c>
      <c r="C23">
        <v>5.0655858039856003</v>
      </c>
      <c r="D23">
        <v>3.1143315792083701</v>
      </c>
      <c r="E23">
        <v>1.7641212120652201</v>
      </c>
      <c r="F23" s="13">
        <v>3.742562366</v>
      </c>
      <c r="G23">
        <v>1.7093707799911499</v>
      </c>
      <c r="H23">
        <v>4.3997399806976301</v>
      </c>
      <c r="I23">
        <v>9.4186124801635707</v>
      </c>
      <c r="N23">
        <f t="shared" si="0"/>
        <v>0.1640858360603894</v>
      </c>
      <c r="O23">
        <f t="shared" si="1"/>
        <v>0.32578771849744242</v>
      </c>
      <c r="P23">
        <f t="shared" si="2"/>
        <v>0.21963149391632286</v>
      </c>
      <c r="Q23">
        <f t="shared" si="6"/>
        <v>0.44729505664323671</v>
      </c>
      <c r="R23">
        <f t="shared" si="3"/>
        <v>0.16450246747376751</v>
      </c>
      <c r="S23">
        <f t="shared" si="4"/>
        <v>0.44412656570746306</v>
      </c>
      <c r="T23">
        <f t="shared" si="5"/>
        <v>0.35629034152594952</v>
      </c>
    </row>
    <row r="24" spans="2:20" x14ac:dyDescent="0.2">
      <c r="B24">
        <v>973</v>
      </c>
      <c r="C24">
        <v>5.3091914176940902</v>
      </c>
      <c r="D24">
        <v>3.4486249923706098</v>
      </c>
      <c r="E24">
        <v>1.83017219305038</v>
      </c>
      <c r="F24" s="13">
        <v>4.1500430579999996</v>
      </c>
      <c r="G24">
        <v>1.7918177843093901</v>
      </c>
      <c r="H24">
        <v>4.73340101242065</v>
      </c>
      <c r="I24">
        <v>9.6824945449829105</v>
      </c>
      <c r="N24">
        <f t="shared" si="0"/>
        <v>0.17149587235426553</v>
      </c>
      <c r="O24">
        <f t="shared" si="1"/>
        <v>0.34358342870598041</v>
      </c>
      <c r="P24">
        <f t="shared" si="2"/>
        <v>0.22635712949502157</v>
      </c>
      <c r="Q24">
        <f t="shared" si="6"/>
        <v>0.4763974640309257</v>
      </c>
      <c r="R24">
        <f t="shared" si="3"/>
        <v>0.16713125066332674</v>
      </c>
      <c r="S24">
        <f t="shared" si="4"/>
        <v>0.45809008631347559</v>
      </c>
      <c r="T24">
        <f t="shared" si="5"/>
        <v>0.3662725582478995</v>
      </c>
    </row>
    <row r="25" spans="2:20" x14ac:dyDescent="0.2">
      <c r="B25">
        <v>975</v>
      </c>
      <c r="C25">
        <v>5.6951941490173299</v>
      </c>
      <c r="D25">
        <v>3.7027175903320302</v>
      </c>
      <c r="E25">
        <v>1.9462323427200301</v>
      </c>
      <c r="F25" s="13">
        <v>4.2537645340000001</v>
      </c>
      <c r="G25">
        <v>1.90718097686768</v>
      </c>
      <c r="H25">
        <v>5.0535483360290501</v>
      </c>
      <c r="I25">
        <v>9.8658082008361792</v>
      </c>
      <c r="N25">
        <f t="shared" si="0"/>
        <v>0.18323736798360385</v>
      </c>
      <c r="O25">
        <f t="shared" si="1"/>
        <v>0.3571097443957888</v>
      </c>
      <c r="P25">
        <f t="shared" si="2"/>
        <v>0.23817494446528931</v>
      </c>
      <c r="Q25">
        <f t="shared" si="6"/>
        <v>0.48380528655765398</v>
      </c>
      <c r="R25">
        <f t="shared" si="3"/>
        <v>0.17080955072769938</v>
      </c>
      <c r="S25">
        <f t="shared" si="4"/>
        <v>0.4714880660747941</v>
      </c>
      <c r="T25">
        <f t="shared" si="5"/>
        <v>0.37320700694593079</v>
      </c>
    </row>
    <row r="26" spans="2:20" x14ac:dyDescent="0.2">
      <c r="B26">
        <v>977</v>
      </c>
      <c r="C26">
        <v>6.2120068550109897</v>
      </c>
      <c r="D26">
        <v>4.1978302955627402</v>
      </c>
      <c r="E26">
        <v>2.0739039719104801</v>
      </c>
      <c r="F26" s="13">
        <v>4.3574993610000003</v>
      </c>
      <c r="G26">
        <v>2.2608812570571901</v>
      </c>
      <c r="H26">
        <v>5.4378605842590302</v>
      </c>
      <c r="I26">
        <v>10.405740737915</v>
      </c>
      <c r="N26">
        <f t="shared" si="0"/>
        <v>0.19895786329670459</v>
      </c>
      <c r="O26">
        <f t="shared" si="1"/>
        <v>0.38346647736131356</v>
      </c>
      <c r="P26">
        <f t="shared" si="2"/>
        <v>0.25117509736031807</v>
      </c>
      <c r="Q26">
        <f t="shared" si="6"/>
        <v>0.49121406261727019</v>
      </c>
      <c r="R26">
        <f t="shared" si="3"/>
        <v>0.18208711452026111</v>
      </c>
      <c r="S26">
        <f t="shared" si="4"/>
        <v>0.48757131070660076</v>
      </c>
      <c r="T26">
        <f t="shared" si="5"/>
        <v>0.39363175087099822</v>
      </c>
    </row>
    <row r="27" spans="2:20" x14ac:dyDescent="0.2">
      <c r="B27">
        <v>979</v>
      </c>
      <c r="C27">
        <v>6.85931844711304</v>
      </c>
      <c r="D27">
        <v>4.7332035064697298</v>
      </c>
      <c r="E27">
        <v>2.2484676852822298</v>
      </c>
      <c r="F27" s="13">
        <v>4.6128624440000001</v>
      </c>
      <c r="G27">
        <v>2.8197256088256801</v>
      </c>
      <c r="H27">
        <v>6.0413042068481397</v>
      </c>
      <c r="I27">
        <v>11.1143045425415</v>
      </c>
      <c r="N27">
        <f t="shared" si="0"/>
        <v>0.21864789554966724</v>
      </c>
      <c r="O27">
        <f t="shared" si="1"/>
        <v>0.41196643021587798</v>
      </c>
      <c r="P27">
        <f t="shared" si="2"/>
        <v>0.26895003277977209</v>
      </c>
      <c r="Q27">
        <f t="shared" si="6"/>
        <v>0.50945217946341081</v>
      </c>
      <c r="R27">
        <f t="shared" si="3"/>
        <v>0.19990559864417864</v>
      </c>
      <c r="S27">
        <f t="shared" si="4"/>
        <v>0.51282507622748619</v>
      </c>
      <c r="T27">
        <f t="shared" si="5"/>
        <v>0.42043553332568495</v>
      </c>
    </row>
    <row r="28" spans="2:20" x14ac:dyDescent="0.2">
      <c r="B28">
        <v>981</v>
      </c>
      <c r="C28">
        <v>7.72555389404297</v>
      </c>
      <c r="D28">
        <v>5.22611427307129</v>
      </c>
      <c r="E28">
        <v>2.51847047060728</v>
      </c>
      <c r="F28" s="13">
        <v>5.0718074319999999</v>
      </c>
      <c r="G28">
        <v>3.1967263698577901</v>
      </c>
      <c r="H28">
        <v>6.69985504150391</v>
      </c>
      <c r="I28">
        <v>11.6834121704102</v>
      </c>
      <c r="N28">
        <f t="shared" si="0"/>
        <v>0.24499719022755534</v>
      </c>
      <c r="O28">
        <f t="shared" si="1"/>
        <v>0.43820594561085402</v>
      </c>
      <c r="P28">
        <f t="shared" si="2"/>
        <v>0.29644304366689123</v>
      </c>
      <c r="Q28">
        <f t="shared" si="6"/>
        <v>0.54223018409415302</v>
      </c>
      <c r="R28">
        <f t="shared" si="3"/>
        <v>0.21192608709305955</v>
      </c>
      <c r="S28">
        <f t="shared" si="4"/>
        <v>0.54038504660321829</v>
      </c>
      <c r="T28">
        <f t="shared" si="5"/>
        <v>0.44196392209052782</v>
      </c>
    </row>
    <row r="29" spans="2:20" x14ac:dyDescent="0.2">
      <c r="B29">
        <v>983</v>
      </c>
      <c r="C29">
        <v>8.8135360717773406</v>
      </c>
      <c r="D29">
        <v>5.7994860649108899</v>
      </c>
      <c r="E29">
        <v>2.7695382982492398</v>
      </c>
      <c r="F29" s="13">
        <v>5.827005529</v>
      </c>
      <c r="G29">
        <v>3.75163040161133</v>
      </c>
      <c r="H29">
        <v>7.5117230415344203</v>
      </c>
      <c r="I29">
        <v>12.4737493515015</v>
      </c>
      <c r="N29">
        <f t="shared" si="0"/>
        <v>0.27809161404386945</v>
      </c>
      <c r="O29">
        <f t="shared" si="1"/>
        <v>0.46872870749481521</v>
      </c>
      <c r="P29">
        <f t="shared" si="2"/>
        <v>0.32200800408185831</v>
      </c>
      <c r="Q29">
        <f t="shared" si="6"/>
        <v>0.59616668491196723</v>
      </c>
      <c r="R29">
        <f t="shared" si="3"/>
        <v>0.2296189360031517</v>
      </c>
      <c r="S29">
        <f t="shared" si="4"/>
        <v>0.57436125140378036</v>
      </c>
      <c r="T29">
        <f t="shared" si="5"/>
        <v>0.47186105447225896</v>
      </c>
    </row>
    <row r="30" spans="2:20" x14ac:dyDescent="0.2">
      <c r="B30">
        <v>985</v>
      </c>
      <c r="C30">
        <v>9.7331217765808091</v>
      </c>
      <c r="D30">
        <v>6.4109843254089398</v>
      </c>
      <c r="E30">
        <v>3.0181895002722698</v>
      </c>
      <c r="F30" s="13">
        <v>6.1284570220000001</v>
      </c>
      <c r="G30">
        <v>4.3672111034393302</v>
      </c>
      <c r="H30">
        <v>8.1006666183471694</v>
      </c>
      <c r="I30">
        <v>13.4945419311523</v>
      </c>
      <c r="N30">
        <f t="shared" si="0"/>
        <v>0.30606372578706392</v>
      </c>
      <c r="O30">
        <f t="shared" si="1"/>
        <v>0.50128108635837088</v>
      </c>
      <c r="P30">
        <f t="shared" si="2"/>
        <v>0.34732689179660736</v>
      </c>
      <c r="Q30">
        <f t="shared" si="6"/>
        <v>0.61769645142397933</v>
      </c>
      <c r="R30">
        <f t="shared" si="3"/>
        <v>0.24924643143690028</v>
      </c>
      <c r="S30">
        <f t="shared" si="4"/>
        <v>0.59900819842104636</v>
      </c>
      <c r="T30">
        <f t="shared" si="5"/>
        <v>0.51047592875410464</v>
      </c>
    </row>
    <row r="31" spans="2:20" x14ac:dyDescent="0.2">
      <c r="B31">
        <v>987</v>
      </c>
      <c r="C31">
        <v>10.4896385192871</v>
      </c>
      <c r="D31">
        <v>6.7805878639221202</v>
      </c>
      <c r="E31">
        <v>3.3542593151330902</v>
      </c>
      <c r="F31" s="13">
        <v>6.1756731030000003</v>
      </c>
      <c r="G31">
        <v>4.8700722694397003</v>
      </c>
      <c r="H31">
        <v>8.5299761772155804</v>
      </c>
      <c r="I31">
        <v>14.518231582641601</v>
      </c>
      <c r="N31">
        <f t="shared" si="0"/>
        <v>0.32907557857255326</v>
      </c>
      <c r="O31">
        <f t="shared" si="1"/>
        <v>0.52095648887741075</v>
      </c>
      <c r="P31">
        <f t="shared" si="2"/>
        <v>0.38154717240474018</v>
      </c>
      <c r="Q31">
        <f t="shared" si="6"/>
        <v>0.62106863973005022</v>
      </c>
      <c r="R31">
        <f t="shared" si="3"/>
        <v>0.265279918533186</v>
      </c>
      <c r="S31">
        <f t="shared" si="4"/>
        <v>0.61697455439813131</v>
      </c>
      <c r="T31">
        <f t="shared" si="5"/>
        <v>0.54920039441333612</v>
      </c>
    </row>
    <row r="32" spans="2:20" x14ac:dyDescent="0.2">
      <c r="B32">
        <v>989</v>
      </c>
      <c r="C32">
        <v>11.263312339782701</v>
      </c>
      <c r="D32">
        <v>7.0264076232910204</v>
      </c>
      <c r="E32">
        <v>3.6505403488874402</v>
      </c>
      <c r="F32" s="13">
        <v>6.4710661409999997</v>
      </c>
      <c r="G32">
        <v>5.6832394599914604</v>
      </c>
      <c r="H32">
        <v>8.89173069000244</v>
      </c>
      <c r="I32">
        <v>15.3622903823853</v>
      </c>
      <c r="N32">
        <f t="shared" si="0"/>
        <v>0.35260931821926977</v>
      </c>
      <c r="O32">
        <f t="shared" si="1"/>
        <v>0.53404240989476093</v>
      </c>
      <c r="P32">
        <f t="shared" si="2"/>
        <v>0.41171596372609226</v>
      </c>
      <c r="Q32">
        <f t="shared" si="6"/>
        <v>0.64216570935847606</v>
      </c>
      <c r="R32">
        <f t="shared" si="3"/>
        <v>0.29120736439370998</v>
      </c>
      <c r="S32">
        <f t="shared" si="4"/>
        <v>0.63211377088838838</v>
      </c>
      <c r="T32">
        <f t="shared" si="5"/>
        <v>0.58112972568819521</v>
      </c>
    </row>
    <row r="33" spans="2:20" x14ac:dyDescent="0.2">
      <c r="B33">
        <v>991</v>
      </c>
      <c r="C33">
        <v>11.8762969970703</v>
      </c>
      <c r="D33">
        <v>7.1778828620910602</v>
      </c>
      <c r="E33">
        <v>3.7310677736997602</v>
      </c>
      <c r="F33" s="13">
        <v>6.6813369749999998</v>
      </c>
      <c r="G33">
        <v>6.29599857330322</v>
      </c>
      <c r="H33">
        <v>9.1248620033264203</v>
      </c>
      <c r="I33">
        <v>16.151339340210001</v>
      </c>
      <c r="N33">
        <f t="shared" si="0"/>
        <v>0.37125518802884561</v>
      </c>
      <c r="O33">
        <f t="shared" si="1"/>
        <v>0.54210601314663343</v>
      </c>
      <c r="P33">
        <f t="shared" si="2"/>
        <v>0.41991566197887686</v>
      </c>
      <c r="Q33">
        <f t="shared" si="6"/>
        <v>0.65718332269073454</v>
      </c>
      <c r="R33">
        <f t="shared" si="3"/>
        <v>0.31074489483090495</v>
      </c>
      <c r="S33">
        <f t="shared" si="4"/>
        <v>0.64187018110115934</v>
      </c>
      <c r="T33">
        <f t="shared" si="5"/>
        <v>0.61097812674048857</v>
      </c>
    </row>
    <row r="34" spans="2:20" x14ac:dyDescent="0.2">
      <c r="B34">
        <v>993</v>
      </c>
      <c r="C34">
        <v>12.318166923522901</v>
      </c>
      <c r="D34">
        <v>7.4089300155639704</v>
      </c>
      <c r="E34">
        <v>3.7205992519855502</v>
      </c>
      <c r="F34" s="13">
        <v>6.7845466610000003</v>
      </c>
      <c r="G34">
        <v>6.8649513244628899</v>
      </c>
      <c r="H34">
        <v>9.3048829078674302</v>
      </c>
      <c r="I34">
        <v>16.869678688049301</v>
      </c>
      <c r="N34">
        <f t="shared" si="0"/>
        <v>0.38469606134182388</v>
      </c>
      <c r="O34">
        <f t="shared" si="1"/>
        <v>0.55440553214946831</v>
      </c>
      <c r="P34">
        <f t="shared" si="2"/>
        <v>0.41884970563655866</v>
      </c>
      <c r="Q34">
        <f t="shared" si="6"/>
        <v>0.66455459300439024</v>
      </c>
      <c r="R34">
        <f t="shared" si="3"/>
        <v>0.32888568042123251</v>
      </c>
      <c r="S34">
        <f t="shared" si="4"/>
        <v>0.64940395151807184</v>
      </c>
      <c r="T34">
        <f t="shared" si="5"/>
        <v>0.63815170162874513</v>
      </c>
    </row>
    <row r="35" spans="2:20" x14ac:dyDescent="0.2">
      <c r="B35">
        <v>995</v>
      </c>
      <c r="C35">
        <v>12.9811546325684</v>
      </c>
      <c r="D35">
        <v>7.764892578125</v>
      </c>
      <c r="E35">
        <v>3.6811490066349499</v>
      </c>
      <c r="F35" s="13">
        <v>6.8522917269999999</v>
      </c>
      <c r="G35">
        <v>7.4593231201171903</v>
      </c>
      <c r="H35">
        <v>9.5895879745483406</v>
      </c>
      <c r="I35">
        <v>17.4098613739014</v>
      </c>
      <c r="N35">
        <f t="shared" si="0"/>
        <v>0.40486293234135584</v>
      </c>
      <c r="O35">
        <f t="shared" si="1"/>
        <v>0.57335477362121201</v>
      </c>
      <c r="P35">
        <f t="shared" si="2"/>
        <v>0.41483268772462178</v>
      </c>
      <c r="Q35">
        <f t="shared" si="6"/>
        <v>0.66939296828926842</v>
      </c>
      <c r="R35">
        <f t="shared" si="3"/>
        <v>0.34783694005382143</v>
      </c>
      <c r="S35">
        <f t="shared" si="4"/>
        <v>0.6613186933886035</v>
      </c>
      <c r="T35">
        <f t="shared" si="5"/>
        <v>0.6585859082631077</v>
      </c>
    </row>
    <row r="36" spans="2:20" x14ac:dyDescent="0.2">
      <c r="B36">
        <v>997</v>
      </c>
      <c r="C36">
        <v>13.5917373657227</v>
      </c>
      <c r="D36">
        <v>7.97362174987793</v>
      </c>
      <c r="E36">
        <v>3.9577504098415401</v>
      </c>
      <c r="F36" s="13">
        <v>7.2292895320000001</v>
      </c>
      <c r="G36">
        <v>7.5713839530944798</v>
      </c>
      <c r="H36">
        <v>10.0738580703735</v>
      </c>
      <c r="I36">
        <v>17.8020217895508</v>
      </c>
      <c r="N36">
        <f t="shared" si="0"/>
        <v>0.42343574002099166</v>
      </c>
      <c r="O36">
        <f t="shared" si="1"/>
        <v>0.58446622154788885</v>
      </c>
      <c r="P36">
        <f t="shared" si="2"/>
        <v>0.44299760232206276</v>
      </c>
      <c r="Q36">
        <f t="shared" si="6"/>
        <v>0.69631827768619692</v>
      </c>
      <c r="R36">
        <f t="shared" si="3"/>
        <v>0.3514099459668274</v>
      </c>
      <c r="S36">
        <f t="shared" si="4"/>
        <v>0.68158511595227789</v>
      </c>
      <c r="T36">
        <f t="shared" si="5"/>
        <v>0.67342068023392099</v>
      </c>
    </row>
    <row r="37" spans="2:20" x14ac:dyDescent="0.2">
      <c r="B37">
        <v>999</v>
      </c>
      <c r="C37">
        <v>13.9680780410767</v>
      </c>
      <c r="D37">
        <v>8.4748932838439899</v>
      </c>
      <c r="E37">
        <v>4.2402649641036998</v>
      </c>
      <c r="F37" s="13">
        <v>7.6148206710000004</v>
      </c>
      <c r="G37">
        <v>8.1155515670776399</v>
      </c>
      <c r="H37">
        <v>10.4648447036743</v>
      </c>
      <c r="I37">
        <v>18.301444816589399</v>
      </c>
      <c r="N37">
        <f t="shared" si="0"/>
        <v>0.43488333361615439</v>
      </c>
      <c r="O37">
        <f t="shared" si="1"/>
        <v>0.6111508123983822</v>
      </c>
      <c r="P37">
        <f t="shared" si="2"/>
        <v>0.47176462302797306</v>
      </c>
      <c r="Q37">
        <f t="shared" si="6"/>
        <v>0.72385304065312006</v>
      </c>
      <c r="R37">
        <f t="shared" si="3"/>
        <v>0.36876046934569806</v>
      </c>
      <c r="S37">
        <f t="shared" si="4"/>
        <v>0.69794767972719096</v>
      </c>
      <c r="T37">
        <f t="shared" si="5"/>
        <v>0.69231301721500638</v>
      </c>
    </row>
    <row r="38" spans="2:20" x14ac:dyDescent="0.2">
      <c r="B38">
        <v>1001</v>
      </c>
      <c r="C38">
        <v>14.400189781189001</v>
      </c>
      <c r="D38">
        <v>8.9281415939331108</v>
      </c>
      <c r="E38">
        <v>4.4396076530218096</v>
      </c>
      <c r="F38" s="13">
        <v>7.7514286989999999</v>
      </c>
      <c r="G38">
        <v>8.7981471061706493</v>
      </c>
      <c r="H38">
        <v>10.908393287658701</v>
      </c>
      <c r="I38">
        <v>18.769446754455601</v>
      </c>
      <c r="N38">
        <f t="shared" si="0"/>
        <v>0.44802738078525506</v>
      </c>
      <c r="O38">
        <f t="shared" si="1"/>
        <v>0.6352789443365997</v>
      </c>
      <c r="P38">
        <f t="shared" si="2"/>
        <v>0.49206267554656213</v>
      </c>
      <c r="Q38">
        <f t="shared" si="6"/>
        <v>0.73360963172930482</v>
      </c>
      <c r="R38">
        <f t="shared" si="3"/>
        <v>0.39052470072407003</v>
      </c>
      <c r="S38">
        <f t="shared" si="4"/>
        <v>0.71650993064468871</v>
      </c>
      <c r="T38">
        <f t="shared" si="5"/>
        <v>0.71001674699774597</v>
      </c>
    </row>
    <row r="39" spans="2:20" x14ac:dyDescent="0.2">
      <c r="B39">
        <v>1003</v>
      </c>
      <c r="C39">
        <v>14.7794393539429</v>
      </c>
      <c r="D39">
        <v>9.3772525787353498</v>
      </c>
      <c r="E39">
        <v>4.5714723646640802</v>
      </c>
      <c r="F39" s="13">
        <v>7.9997074130000003</v>
      </c>
      <c r="G39">
        <v>8.9780830383300803</v>
      </c>
      <c r="H39">
        <v>11.3886711120605</v>
      </c>
      <c r="I39">
        <v>19.0285835266113</v>
      </c>
      <c r="N39">
        <f t="shared" si="0"/>
        <v>0.45956345770795803</v>
      </c>
      <c r="O39">
        <f t="shared" si="1"/>
        <v>0.65918683070926043</v>
      </c>
      <c r="P39">
        <f t="shared" si="2"/>
        <v>0.50548978870927752</v>
      </c>
      <c r="Q39">
        <f t="shared" si="6"/>
        <v>0.75134178057065304</v>
      </c>
      <c r="R39">
        <f t="shared" si="3"/>
        <v>0.39626187162032944</v>
      </c>
      <c r="S39">
        <f t="shared" si="4"/>
        <v>0.73660927896538952</v>
      </c>
      <c r="T39">
        <f t="shared" si="5"/>
        <v>0.71981945724277807</v>
      </c>
    </row>
    <row r="40" spans="2:20" x14ac:dyDescent="0.2">
      <c r="B40">
        <v>1005</v>
      </c>
      <c r="C40">
        <v>15.2238101959229</v>
      </c>
      <c r="D40">
        <v>9.8012382507324194</v>
      </c>
      <c r="E40">
        <v>4.6922964632511102</v>
      </c>
      <c r="F40" s="13">
        <v>8.0527858259999991</v>
      </c>
      <c r="G40">
        <v>9.41756267547607</v>
      </c>
      <c r="H40">
        <v>11.808139228820799</v>
      </c>
      <c r="I40">
        <v>19.220256805419901</v>
      </c>
      <c r="N40">
        <f t="shared" si="0"/>
        <v>0.47308040428765552</v>
      </c>
      <c r="O40">
        <f t="shared" si="1"/>
        <v>0.6817572010915518</v>
      </c>
      <c r="P40">
        <f t="shared" si="2"/>
        <v>0.51779269237703229</v>
      </c>
      <c r="Q40">
        <f t="shared" si="6"/>
        <v>0.75513265859001688</v>
      </c>
      <c r="R40">
        <f t="shared" si="3"/>
        <v>0.41027446906806192</v>
      </c>
      <c r="S40">
        <f t="shared" si="4"/>
        <v>0.75416377629970799</v>
      </c>
      <c r="T40">
        <f t="shared" si="5"/>
        <v>0.72707013648156638</v>
      </c>
    </row>
    <row r="41" spans="2:20" x14ac:dyDescent="0.2">
      <c r="B41">
        <v>1007</v>
      </c>
      <c r="C41">
        <v>15.757530975341799</v>
      </c>
      <c r="D41">
        <v>10.121609497070301</v>
      </c>
      <c r="E41">
        <v>4.9015397906303404</v>
      </c>
      <c r="F41" s="13">
        <v>8.3194686890000007</v>
      </c>
      <c r="G41">
        <v>9.8666186332702601</v>
      </c>
      <c r="H41">
        <v>12.0786388397217</v>
      </c>
      <c r="I41">
        <v>19.547289657592799</v>
      </c>
      <c r="N41">
        <f t="shared" si="0"/>
        <v>0.48931521220559832</v>
      </c>
      <c r="O41">
        <f t="shared" si="1"/>
        <v>0.6988117813928697</v>
      </c>
      <c r="P41">
        <f t="shared" si="2"/>
        <v>0.53909887657349764</v>
      </c>
      <c r="Q41">
        <f t="shared" si="6"/>
        <v>0.77417923791196741</v>
      </c>
      <c r="R41">
        <f t="shared" si="3"/>
        <v>0.42459240290667943</v>
      </c>
      <c r="S41">
        <f t="shared" si="4"/>
        <v>0.76548402808706262</v>
      </c>
      <c r="T41">
        <f t="shared" si="5"/>
        <v>0.73944124176233739</v>
      </c>
    </row>
    <row r="42" spans="2:20" x14ac:dyDescent="0.2">
      <c r="B42">
        <v>1009</v>
      </c>
      <c r="C42">
        <v>16.391498374939001</v>
      </c>
      <c r="D42">
        <v>10.6002389907837</v>
      </c>
      <c r="E42">
        <v>5.1436670750379596</v>
      </c>
      <c r="F42" s="13">
        <v>8.4163139339999997</v>
      </c>
      <c r="G42">
        <v>10.5008346557617</v>
      </c>
      <c r="H42">
        <v>12.4367008209229</v>
      </c>
      <c r="I42">
        <v>19.840407180786102</v>
      </c>
      <c r="N42">
        <f t="shared" si="0"/>
        <v>0.50859933857951278</v>
      </c>
      <c r="O42">
        <f t="shared" si="1"/>
        <v>0.72429105029862328</v>
      </c>
      <c r="P42">
        <f t="shared" si="2"/>
        <v>0.56375346692623529</v>
      </c>
      <c r="Q42">
        <f t="shared" si="6"/>
        <v>0.78109595771951734</v>
      </c>
      <c r="R42">
        <f t="shared" si="3"/>
        <v>0.4448140766019329</v>
      </c>
      <c r="S42">
        <f t="shared" si="4"/>
        <v>0.78046871427266151</v>
      </c>
      <c r="T42">
        <f t="shared" si="5"/>
        <v>0.75052938692870153</v>
      </c>
    </row>
    <row r="43" spans="2:20" x14ac:dyDescent="0.2">
      <c r="B43">
        <v>1011</v>
      </c>
      <c r="C43">
        <v>17.260896301269501</v>
      </c>
      <c r="D43">
        <v>10.966035652160601</v>
      </c>
      <c r="E43">
        <v>5.3468250989913901</v>
      </c>
      <c r="F43" s="13">
        <v>8.3221209999999992</v>
      </c>
      <c r="G43">
        <v>11.6015933990479</v>
      </c>
      <c r="H43">
        <v>12.9282539367676</v>
      </c>
      <c r="I43">
        <v>20.095032119751</v>
      </c>
      <c r="N43">
        <f t="shared" si="0"/>
        <v>0.53504483008464199</v>
      </c>
      <c r="O43">
        <f t="shared" si="1"/>
        <v>0.74376379826435957</v>
      </c>
      <c r="P43">
        <f t="shared" si="2"/>
        <v>0.58444001561362435</v>
      </c>
      <c r="Q43">
        <f t="shared" si="6"/>
        <v>0.77436866685119377</v>
      </c>
      <c r="R43">
        <f t="shared" si="3"/>
        <v>0.47991124118709794</v>
      </c>
      <c r="S43">
        <f t="shared" si="4"/>
        <v>0.80103992699894999</v>
      </c>
      <c r="T43">
        <f t="shared" si="5"/>
        <v>0.76016142207781645</v>
      </c>
    </row>
    <row r="44" spans="2:20" x14ac:dyDescent="0.2">
      <c r="B44">
        <v>1013</v>
      </c>
      <c r="C44">
        <v>18.142489814758299</v>
      </c>
      <c r="D44">
        <v>11.4674934387207</v>
      </c>
      <c r="E44">
        <v>5.7091345071792601</v>
      </c>
      <c r="F44" s="13">
        <v>8.8308390620000008</v>
      </c>
      <c r="G44">
        <v>12.5238807678223</v>
      </c>
      <c r="H44">
        <v>13.413306045532201</v>
      </c>
      <c r="I44">
        <v>20.359483718872099</v>
      </c>
      <c r="N44">
        <f t="shared" si="0"/>
        <v>0.56186128899931631</v>
      </c>
      <c r="O44">
        <f t="shared" si="1"/>
        <v>0.77045830404903537</v>
      </c>
      <c r="P44">
        <f t="shared" si="2"/>
        <v>0.62133214060345743</v>
      </c>
      <c r="Q44">
        <f t="shared" si="6"/>
        <v>0.81070148108377516</v>
      </c>
      <c r="R44">
        <f t="shared" si="3"/>
        <v>0.50931793159416905</v>
      </c>
      <c r="S44">
        <f t="shared" si="4"/>
        <v>0.82133907635045955</v>
      </c>
      <c r="T44">
        <f t="shared" si="5"/>
        <v>0.77016518332889017</v>
      </c>
    </row>
    <row r="45" spans="2:20" x14ac:dyDescent="0.2">
      <c r="B45">
        <v>1015</v>
      </c>
      <c r="C45">
        <v>18.873887825012201</v>
      </c>
      <c r="D45">
        <v>12.049075126647899</v>
      </c>
      <c r="E45">
        <v>5.9236543715000201</v>
      </c>
      <c r="F45" s="13">
        <v>9.173530006</v>
      </c>
      <c r="G45">
        <v>13.586272239685099</v>
      </c>
      <c r="H45">
        <v>13.9288093566895</v>
      </c>
      <c r="I45">
        <v>20.791965866088901</v>
      </c>
      <c r="N45">
        <f t="shared" si="0"/>
        <v>0.58410907598067729</v>
      </c>
      <c r="O45">
        <f t="shared" si="1"/>
        <v>0.80141810993645168</v>
      </c>
      <c r="P45">
        <f t="shared" si="2"/>
        <v>0.64317560772981963</v>
      </c>
      <c r="Q45">
        <f t="shared" si="6"/>
        <v>0.83517658298715491</v>
      </c>
      <c r="R45">
        <f t="shared" si="3"/>
        <v>0.54319177413166109</v>
      </c>
      <c r="S45">
        <f t="shared" si="4"/>
        <v>0.84291259085600745</v>
      </c>
      <c r="T45">
        <f t="shared" si="5"/>
        <v>0.78652525889843672</v>
      </c>
    </row>
    <row r="46" spans="2:20" x14ac:dyDescent="0.2">
      <c r="B46">
        <v>1017</v>
      </c>
      <c r="C46">
        <v>19.559057617187499</v>
      </c>
      <c r="D46">
        <v>12.4188121795654</v>
      </c>
      <c r="E46">
        <v>6.1333933532238003</v>
      </c>
      <c r="F46" s="13">
        <v>9.1418745520000009</v>
      </c>
      <c r="G46">
        <v>14.5226806640625</v>
      </c>
      <c r="H46">
        <v>14.456149864196799</v>
      </c>
      <c r="I46">
        <v>21.096603775024398</v>
      </c>
      <c r="N46">
        <f t="shared" si="0"/>
        <v>0.60495068529417217</v>
      </c>
      <c r="O46">
        <f t="shared" si="1"/>
        <v>0.82110061993519168</v>
      </c>
      <c r="P46">
        <f t="shared" si="2"/>
        <v>0.66453226188819503</v>
      </c>
      <c r="Q46">
        <f t="shared" si="6"/>
        <v>0.83291573986885026</v>
      </c>
      <c r="R46">
        <f t="shared" si="3"/>
        <v>0.57304870762391102</v>
      </c>
      <c r="S46">
        <f t="shared" si="4"/>
        <v>0.86498148516151907</v>
      </c>
      <c r="T46">
        <f t="shared" si="5"/>
        <v>0.79804920097005005</v>
      </c>
    </row>
    <row r="47" spans="2:20" x14ac:dyDescent="0.2">
      <c r="B47">
        <v>1019</v>
      </c>
      <c r="C47">
        <v>20.167476272582999</v>
      </c>
      <c r="D47">
        <v>12.996660614013701</v>
      </c>
      <c r="E47">
        <v>6.3410535037517501</v>
      </c>
      <c r="F47" s="13">
        <v>9.6183473589999995</v>
      </c>
      <c r="G47">
        <v>15.352451515197799</v>
      </c>
      <c r="H47">
        <v>15.0798799514771</v>
      </c>
      <c r="I47">
        <v>21.134393692016602</v>
      </c>
      <c r="N47">
        <f t="shared" si="0"/>
        <v>0.62345766569466055</v>
      </c>
      <c r="O47">
        <f t="shared" si="1"/>
        <v>0.85186169053668948</v>
      </c>
      <c r="P47">
        <f t="shared" si="2"/>
        <v>0.68567723923504931</v>
      </c>
      <c r="Q47">
        <f t="shared" si="6"/>
        <v>0.86694558719832737</v>
      </c>
      <c r="R47">
        <f t="shared" si="3"/>
        <v>0.59950555323871446</v>
      </c>
      <c r="S47">
        <f t="shared" si="4"/>
        <v>0.89108422746065097</v>
      </c>
      <c r="T47">
        <f t="shared" si="5"/>
        <v>0.7994787302621561</v>
      </c>
    </row>
    <row r="48" spans="2:20" x14ac:dyDescent="0.2">
      <c r="B48">
        <v>1021</v>
      </c>
      <c r="C48">
        <v>20.872054290771501</v>
      </c>
      <c r="D48">
        <v>13.4995624542236</v>
      </c>
      <c r="E48">
        <v>6.5440476894378703</v>
      </c>
      <c r="F48" s="13">
        <v>10.020702269999999</v>
      </c>
      <c r="G48">
        <v>16.4378555297852</v>
      </c>
      <c r="H48">
        <v>15.7199048995972</v>
      </c>
      <c r="I48">
        <v>21.515332794189501</v>
      </c>
      <c r="N48">
        <f t="shared" si="0"/>
        <v>0.64488963767249752</v>
      </c>
      <c r="O48">
        <f t="shared" si="1"/>
        <v>0.87863306879107483</v>
      </c>
      <c r="P48">
        <f t="shared" si="2"/>
        <v>0.70634710510466114</v>
      </c>
      <c r="Q48">
        <f t="shared" si="6"/>
        <v>0.89568190959163307</v>
      </c>
      <c r="R48">
        <f t="shared" si="3"/>
        <v>0.63411313966373384</v>
      </c>
      <c r="S48">
        <f t="shared" si="4"/>
        <v>0.91786890023255541</v>
      </c>
      <c r="T48">
        <f t="shared" si="5"/>
        <v>0.81388901873082586</v>
      </c>
    </row>
    <row r="49" spans="2:20" x14ac:dyDescent="0.2">
      <c r="B49">
        <v>1023</v>
      </c>
      <c r="C49">
        <v>21.622275543212901</v>
      </c>
      <c r="D49">
        <v>13.946296501159701</v>
      </c>
      <c r="E49">
        <v>6.7938746154308296</v>
      </c>
      <c r="F49" s="13">
        <v>9.9740668770000003</v>
      </c>
      <c r="G49">
        <v>17.2962697982788</v>
      </c>
      <c r="H49">
        <v>16.3019155502319</v>
      </c>
      <c r="I49">
        <v>21.996467590331999</v>
      </c>
      <c r="N49">
        <f t="shared" si="0"/>
        <v>0.66770999318236812</v>
      </c>
      <c r="O49">
        <f t="shared" si="1"/>
        <v>0.90241442171801378</v>
      </c>
      <c r="P49">
        <f t="shared" si="2"/>
        <v>0.73178571081367683</v>
      </c>
      <c r="Q49">
        <f t="shared" si="6"/>
        <v>0.89235119421685183</v>
      </c>
      <c r="R49">
        <f t="shared" si="3"/>
        <v>0.66148326690308712</v>
      </c>
      <c r="S49">
        <f t="shared" si="4"/>
        <v>0.94222570831136865</v>
      </c>
      <c r="T49">
        <f t="shared" si="5"/>
        <v>0.83208954255518564</v>
      </c>
    </row>
    <row r="50" spans="2:20" x14ac:dyDescent="0.2">
      <c r="B50">
        <v>1025</v>
      </c>
      <c r="C50">
        <v>22.339257431030301</v>
      </c>
      <c r="D50">
        <v>14.458522987365701</v>
      </c>
      <c r="E50">
        <v>6.9248947978019704</v>
      </c>
      <c r="F50" s="13">
        <v>10.189405580000001</v>
      </c>
      <c r="G50">
        <v>18.205534553527801</v>
      </c>
      <c r="H50">
        <v>16.8367040634155</v>
      </c>
      <c r="I50">
        <v>22.141086196899401</v>
      </c>
      <c r="N50">
        <f t="shared" si="0"/>
        <v>0.68951926814077025</v>
      </c>
      <c r="O50">
        <f t="shared" si="1"/>
        <v>0.929682186354572</v>
      </c>
      <c r="P50">
        <f t="shared" si="2"/>
        <v>0.74512682985445111</v>
      </c>
      <c r="Q50">
        <f t="shared" si="6"/>
        <v>0.90773075644907308</v>
      </c>
      <c r="R50">
        <f t="shared" si="3"/>
        <v>0.69047473752379029</v>
      </c>
      <c r="S50">
        <f t="shared" si="4"/>
        <v>0.96460629733351422</v>
      </c>
      <c r="T50">
        <f t="shared" si="5"/>
        <v>0.83756022232181004</v>
      </c>
    </row>
    <row r="51" spans="2:20" x14ac:dyDescent="0.2">
      <c r="B51">
        <v>1027</v>
      </c>
      <c r="C51">
        <v>22.92942237854</v>
      </c>
      <c r="D51">
        <v>14.8810779571533</v>
      </c>
      <c r="E51">
        <v>7.0068265795707703</v>
      </c>
      <c r="F51" s="13">
        <v>10.617659850000001</v>
      </c>
      <c r="G51">
        <v>19.1676279067993</v>
      </c>
      <c r="H51">
        <v>17.510583877563501</v>
      </c>
      <c r="I51">
        <v>22.2874744415283</v>
      </c>
      <c r="N51">
        <f t="shared" si="0"/>
        <v>0.7074710042023763</v>
      </c>
      <c r="O51">
        <f t="shared" si="1"/>
        <v>0.9521763950151183</v>
      </c>
      <c r="P51">
        <f t="shared" si="2"/>
        <v>0.75346952663611166</v>
      </c>
      <c r="Q51">
        <f t="shared" si="6"/>
        <v>0.93831681972948333</v>
      </c>
      <c r="R51">
        <f t="shared" si="3"/>
        <v>0.72115062265485541</v>
      </c>
      <c r="S51">
        <f t="shared" si="4"/>
        <v>0.9928077766079737</v>
      </c>
      <c r="T51">
        <f t="shared" si="5"/>
        <v>0.84309784453358072</v>
      </c>
    </row>
    <row r="52" spans="2:20" x14ac:dyDescent="0.2">
      <c r="B52">
        <v>1029</v>
      </c>
      <c r="C52">
        <v>23.828353118896501</v>
      </c>
      <c r="D52">
        <v>15.292875480651899</v>
      </c>
      <c r="E52">
        <v>7.1873482108116198</v>
      </c>
      <c r="F52" s="13">
        <v>10.704412749999999</v>
      </c>
      <c r="G52">
        <v>20.283839035034202</v>
      </c>
      <c r="H52">
        <v>18.166847991943399</v>
      </c>
      <c r="I52">
        <v>22.628627014160202</v>
      </c>
      <c r="N52">
        <f t="shared" si="0"/>
        <v>0.73481482978306922</v>
      </c>
      <c r="O52">
        <f t="shared" si="1"/>
        <v>0.9740979438827837</v>
      </c>
      <c r="P52">
        <f t="shared" si="2"/>
        <v>0.77185112654105426</v>
      </c>
      <c r="Q52">
        <f t="shared" si="6"/>
        <v>0.94451274087968939</v>
      </c>
      <c r="R52">
        <f t="shared" si="3"/>
        <v>0.75674047912285647</v>
      </c>
      <c r="S52">
        <f t="shared" si="4"/>
        <v>1.0202720490667885</v>
      </c>
      <c r="T52">
        <f t="shared" si="5"/>
        <v>0.8560030752001434</v>
      </c>
    </row>
    <row r="53" spans="2:20" x14ac:dyDescent="0.2">
      <c r="B53">
        <v>1031</v>
      </c>
      <c r="C53">
        <v>24.9321994781494</v>
      </c>
      <c r="D53">
        <v>15.626700592041001</v>
      </c>
      <c r="E53">
        <v>7.3829893589019804</v>
      </c>
      <c r="F53" s="13">
        <v>10.857884500000001</v>
      </c>
      <c r="G53">
        <v>21.247360229492202</v>
      </c>
      <c r="H53">
        <v>18.743574905395501</v>
      </c>
      <c r="I53">
        <v>23.121397018432599</v>
      </c>
      <c r="N53">
        <f t="shared" si="0"/>
        <v>0.76839181292564573</v>
      </c>
      <c r="O53">
        <f t="shared" si="1"/>
        <v>0.99186872460627418</v>
      </c>
      <c r="P53">
        <f t="shared" si="2"/>
        <v>0.79177226997645034</v>
      </c>
      <c r="Q53">
        <f t="shared" si="6"/>
        <v>0.95547374462462664</v>
      </c>
      <c r="R53">
        <f t="shared" si="3"/>
        <v>0.78746189028533387</v>
      </c>
      <c r="S53">
        <f t="shared" si="4"/>
        <v>1.0444077358098407</v>
      </c>
      <c r="T53">
        <f t="shared" si="5"/>
        <v>0.87464373946844409</v>
      </c>
    </row>
    <row r="54" spans="2:20" x14ac:dyDescent="0.2">
      <c r="B54">
        <v>1033</v>
      </c>
      <c r="C54">
        <v>25.628212738037099</v>
      </c>
      <c r="D54">
        <v>15.9928798675537</v>
      </c>
      <c r="E54">
        <v>7.5531844079494501</v>
      </c>
      <c r="F54" s="13">
        <v>11.172046999999999</v>
      </c>
      <c r="G54">
        <v>22.175411987304699</v>
      </c>
      <c r="H54">
        <v>19.220118522644</v>
      </c>
      <c r="I54">
        <v>23.471277236938501</v>
      </c>
      <c r="N54">
        <f t="shared" si="0"/>
        <v>0.78956326065327731</v>
      </c>
      <c r="O54">
        <f t="shared" si="1"/>
        <v>1.011361840578122</v>
      </c>
      <c r="P54">
        <f t="shared" si="2"/>
        <v>0.80910236651883494</v>
      </c>
      <c r="Q54">
        <f t="shared" si="6"/>
        <v>0.97791133551036813</v>
      </c>
      <c r="R54">
        <f t="shared" si="3"/>
        <v>0.81705237547217568</v>
      </c>
      <c r="S54">
        <f t="shared" si="4"/>
        <v>1.0643508097275556</v>
      </c>
      <c r="T54">
        <f t="shared" si="5"/>
        <v>0.88787912236663469</v>
      </c>
    </row>
    <row r="55" spans="2:20" x14ac:dyDescent="0.2">
      <c r="B55">
        <v>1035</v>
      </c>
      <c r="C55">
        <v>26.204001617431601</v>
      </c>
      <c r="D55">
        <v>15.982602310180701</v>
      </c>
      <c r="E55">
        <v>7.6111253380775397</v>
      </c>
      <c r="F55" s="13">
        <v>11.24815388</v>
      </c>
      <c r="G55">
        <v>22.707699966430699</v>
      </c>
      <c r="H55">
        <v>19.510033035278301</v>
      </c>
      <c r="I55">
        <v>23.693556594848602</v>
      </c>
      <c r="N55">
        <f t="shared" si="0"/>
        <v>0.80707770307096782</v>
      </c>
      <c r="O55">
        <f t="shared" si="1"/>
        <v>1.0108147270979866</v>
      </c>
      <c r="P55">
        <f t="shared" si="2"/>
        <v>0.8150021968517096</v>
      </c>
      <c r="Q55">
        <f t="shared" si="6"/>
        <v>0.98334691434944088</v>
      </c>
      <c r="R55">
        <f t="shared" si="3"/>
        <v>0.83402412239132129</v>
      </c>
      <c r="S55">
        <f t="shared" si="4"/>
        <v>1.0764835638890053</v>
      </c>
      <c r="T55">
        <f t="shared" si="5"/>
        <v>0.89628757833727279</v>
      </c>
    </row>
    <row r="56" spans="2:20" x14ac:dyDescent="0.2">
      <c r="B56">
        <v>1037</v>
      </c>
      <c r="C56">
        <v>26.666358947753899</v>
      </c>
      <c r="D56">
        <v>16.0412233352661</v>
      </c>
      <c r="E56">
        <v>7.6001365542411801</v>
      </c>
      <c r="F56" s="13">
        <v>11.14013095</v>
      </c>
      <c r="G56">
        <v>23.0257579803467</v>
      </c>
      <c r="H56">
        <v>19.682354927062999</v>
      </c>
      <c r="I56">
        <v>23.968950271606399</v>
      </c>
      <c r="N56">
        <f t="shared" si="0"/>
        <v>0.82114176566078856</v>
      </c>
      <c r="O56">
        <f t="shared" si="1"/>
        <v>1.0139353472881334</v>
      </c>
      <c r="P56">
        <f t="shared" si="2"/>
        <v>0.81388326486259877</v>
      </c>
      <c r="Q56">
        <f t="shared" si="6"/>
        <v>0.97563188053853378</v>
      </c>
      <c r="R56">
        <f t="shared" si="3"/>
        <v>0.84416524961845085</v>
      </c>
      <c r="S56">
        <f t="shared" si="4"/>
        <v>1.0836951350886059</v>
      </c>
      <c r="T56">
        <f t="shared" si="5"/>
        <v>0.9067052600661657</v>
      </c>
    </row>
    <row r="57" spans="2:20" x14ac:dyDescent="0.2">
      <c r="B57">
        <v>1039</v>
      </c>
      <c r="C57">
        <v>26.632271194457999</v>
      </c>
      <c r="D57">
        <v>16.033266639709499</v>
      </c>
      <c r="E57">
        <v>7.5589536011218996</v>
      </c>
      <c r="F57" s="13">
        <v>11.07827749</v>
      </c>
      <c r="G57">
        <v>22.7667125701904</v>
      </c>
      <c r="H57">
        <v>19.690603828430199</v>
      </c>
      <c r="I57">
        <v>24.209022521972699</v>
      </c>
      <c r="N57">
        <f t="shared" si="0"/>
        <v>0.82010487868082937</v>
      </c>
      <c r="O57">
        <f t="shared" si="1"/>
        <v>1.0135117821122497</v>
      </c>
      <c r="P57">
        <f t="shared" si="2"/>
        <v>0.80968981412797392</v>
      </c>
      <c r="Q57">
        <f t="shared" si="6"/>
        <v>0.97121428572582524</v>
      </c>
      <c r="R57">
        <f t="shared" si="3"/>
        <v>0.83590571095864896</v>
      </c>
      <c r="S57">
        <f t="shared" si="4"/>
        <v>1.0840403468252688</v>
      </c>
      <c r="T57">
        <f t="shared" si="5"/>
        <v>0.91578679136964136</v>
      </c>
    </row>
    <row r="58" spans="2:20" x14ac:dyDescent="0.2">
      <c r="B58">
        <v>1041</v>
      </c>
      <c r="C58">
        <v>26.394522857666001</v>
      </c>
      <c r="D58">
        <v>15.895572090148899</v>
      </c>
      <c r="E58">
        <v>7.4469578981399502</v>
      </c>
      <c r="F58" s="13">
        <v>11.319764040000001</v>
      </c>
      <c r="G58">
        <v>22.163028335571301</v>
      </c>
      <c r="H58">
        <v>19.73512134552</v>
      </c>
      <c r="I58">
        <v>24.126827621459999</v>
      </c>
      <c r="N58">
        <f t="shared" si="0"/>
        <v>0.81287301001566159</v>
      </c>
      <c r="O58">
        <f t="shared" si="1"/>
        <v>1.0061817773774979</v>
      </c>
      <c r="P58">
        <f t="shared" si="2"/>
        <v>0.79828586109953958</v>
      </c>
      <c r="Q58">
        <f t="shared" si="6"/>
        <v>0.98846133594126839</v>
      </c>
      <c r="R58">
        <f t="shared" si="3"/>
        <v>0.81665752867608765</v>
      </c>
      <c r="S58">
        <f t="shared" si="4"/>
        <v>1.0859033790888866</v>
      </c>
      <c r="T58">
        <f t="shared" si="5"/>
        <v>0.91267749589357861</v>
      </c>
    </row>
    <row r="59" spans="2:20" x14ac:dyDescent="0.2">
      <c r="B59">
        <v>1043</v>
      </c>
      <c r="C59">
        <v>26.2004489898682</v>
      </c>
      <c r="D59">
        <v>16.114448928832999</v>
      </c>
      <c r="E59">
        <v>7.5573822855949402</v>
      </c>
      <c r="F59" s="13">
        <v>11.16434417</v>
      </c>
      <c r="G59">
        <v>22.015786743164099</v>
      </c>
      <c r="H59">
        <v>19.759001350402801</v>
      </c>
      <c r="I59">
        <v>23.8446235656738</v>
      </c>
      <c r="N59">
        <f t="shared" si="0"/>
        <v>0.8069696386516686</v>
      </c>
      <c r="O59">
        <f t="shared" si="1"/>
        <v>1.0178334242219207</v>
      </c>
      <c r="P59">
        <f t="shared" si="2"/>
        <v>0.80952981505671329</v>
      </c>
      <c r="Q59">
        <f t="shared" si="6"/>
        <v>0.97736119681398503</v>
      </c>
      <c r="R59">
        <f t="shared" si="3"/>
        <v>0.81196280112201025</v>
      </c>
      <c r="S59">
        <f t="shared" si="4"/>
        <v>1.0869027434393796</v>
      </c>
      <c r="T59">
        <f t="shared" si="5"/>
        <v>0.90200218892794715</v>
      </c>
    </row>
    <row r="60" spans="2:20" x14ac:dyDescent="0.2">
      <c r="B60">
        <v>1045</v>
      </c>
      <c r="C60">
        <v>26.255316543579099</v>
      </c>
      <c r="D60">
        <v>16.144776725768999</v>
      </c>
      <c r="E60">
        <v>7.6499879240989701</v>
      </c>
      <c r="F60" s="13">
        <v>11.047750519999999</v>
      </c>
      <c r="G60">
        <v>22.1226707458496</v>
      </c>
      <c r="H60">
        <v>19.903517532348602</v>
      </c>
      <c r="I60">
        <v>23.666622543334999</v>
      </c>
      <c r="N60">
        <f t="shared" si="0"/>
        <v>0.80863860907548035</v>
      </c>
      <c r="O60">
        <f t="shared" si="1"/>
        <v>1.019447888235528</v>
      </c>
      <c r="P60">
        <f t="shared" si="2"/>
        <v>0.81895937640192251</v>
      </c>
      <c r="Q60">
        <f t="shared" si="6"/>
        <v>0.96903403931245213</v>
      </c>
      <c r="R60">
        <f t="shared" si="3"/>
        <v>0.81537074628406736</v>
      </c>
      <c r="S60">
        <f t="shared" si="4"/>
        <v>1.0929506618135503</v>
      </c>
      <c r="T60">
        <f t="shared" si="5"/>
        <v>0.89526870826138105</v>
      </c>
    </row>
    <row r="61" spans="2:20" x14ac:dyDescent="0.2">
      <c r="B61">
        <v>1047</v>
      </c>
      <c r="C61">
        <v>26.575793075561499</v>
      </c>
      <c r="D61">
        <v>16.294478225708001</v>
      </c>
      <c r="E61">
        <v>7.6917042493820196</v>
      </c>
      <c r="F61" s="13">
        <v>11.518035080000001</v>
      </c>
      <c r="G61">
        <v>22.572340393066401</v>
      </c>
      <c r="H61">
        <v>20.250529670715299</v>
      </c>
      <c r="I61">
        <v>23.5662136077881</v>
      </c>
      <c r="N61">
        <f t="shared" si="0"/>
        <v>0.81838691781588091</v>
      </c>
      <c r="O61">
        <f t="shared" si="1"/>
        <v>1.0274170686196029</v>
      </c>
      <c r="P61">
        <f t="shared" si="2"/>
        <v>0.82320713771222431</v>
      </c>
      <c r="Q61">
        <f t="shared" si="6"/>
        <v>1.0026219199702677</v>
      </c>
      <c r="R61">
        <f t="shared" si="3"/>
        <v>0.8297082473155879</v>
      </c>
      <c r="S61">
        <f t="shared" si="4"/>
        <v>1.1074729184870304</v>
      </c>
      <c r="T61">
        <f t="shared" si="5"/>
        <v>0.89147040633383001</v>
      </c>
    </row>
    <row r="62" spans="2:20" x14ac:dyDescent="0.2">
      <c r="B62">
        <v>1049</v>
      </c>
      <c r="C62">
        <v>27.262364196777298</v>
      </c>
      <c r="D62">
        <v>16.601744461059599</v>
      </c>
      <c r="E62">
        <v>7.9168795108795198</v>
      </c>
      <c r="F62" s="13">
        <v>11.45953226</v>
      </c>
      <c r="G62">
        <v>23.330337524414102</v>
      </c>
      <c r="H62">
        <v>20.689849662780802</v>
      </c>
      <c r="I62">
        <v>23.370256805419899</v>
      </c>
      <c r="N62">
        <f t="shared" si="0"/>
        <v>0.83927115299046218</v>
      </c>
      <c r="O62">
        <f t="shared" si="1"/>
        <v>1.0437740193278471</v>
      </c>
      <c r="P62">
        <f t="shared" si="2"/>
        <v>0.84613558975914593</v>
      </c>
      <c r="Q62">
        <f t="shared" si="6"/>
        <v>0.99844362898766414</v>
      </c>
      <c r="R62">
        <f t="shared" si="3"/>
        <v>0.85387662229898442</v>
      </c>
      <c r="S62">
        <f t="shared" si="4"/>
        <v>1.1258582052859163</v>
      </c>
      <c r="T62">
        <f t="shared" si="5"/>
        <v>0.88405768857023792</v>
      </c>
    </row>
    <row r="63" spans="2:20" x14ac:dyDescent="0.2">
      <c r="B63">
        <v>1051</v>
      </c>
      <c r="C63">
        <v>28.1476036071777</v>
      </c>
      <c r="D63">
        <v>16.7993461608887</v>
      </c>
      <c r="E63">
        <v>8.0917974233627294</v>
      </c>
      <c r="F63" s="13">
        <v>11.43693871</v>
      </c>
      <c r="G63">
        <v>24.816175460815401</v>
      </c>
      <c r="H63">
        <v>21.275280570983899</v>
      </c>
      <c r="I63">
        <v>23.377590560913099</v>
      </c>
      <c r="N63">
        <f t="shared" si="0"/>
        <v>0.866198513407066</v>
      </c>
      <c r="O63">
        <f t="shared" si="1"/>
        <v>1.0542931095893313</v>
      </c>
      <c r="P63">
        <f t="shared" si="2"/>
        <v>0.86394659147330821</v>
      </c>
      <c r="Q63">
        <f t="shared" si="6"/>
        <v>0.99682999008564188</v>
      </c>
      <c r="R63">
        <f t="shared" si="3"/>
        <v>0.90125185226542914</v>
      </c>
      <c r="S63">
        <f t="shared" si="4"/>
        <v>1.1503581491597235</v>
      </c>
      <c r="T63">
        <f t="shared" si="5"/>
        <v>0.88433511226240524</v>
      </c>
    </row>
    <row r="64" spans="2:20" x14ac:dyDescent="0.2">
      <c r="B64">
        <v>1053</v>
      </c>
      <c r="C64">
        <v>28.984114837646501</v>
      </c>
      <c r="D64">
        <v>17.234879302978499</v>
      </c>
      <c r="E64">
        <v>8.2584366559982296</v>
      </c>
      <c r="F64" s="13">
        <v>11.72615776</v>
      </c>
      <c r="G64">
        <v>26.3799755096436</v>
      </c>
      <c r="H64">
        <v>21.8612726211548</v>
      </c>
      <c r="I64">
        <v>23.9199111938477</v>
      </c>
      <c r="N64">
        <f t="shared" si="0"/>
        <v>0.89164365189811201</v>
      </c>
      <c r="O64">
        <f t="shared" si="1"/>
        <v>1.0774781957372372</v>
      </c>
      <c r="P64">
        <f t="shared" si="2"/>
        <v>0.88091461730886955</v>
      </c>
      <c r="Q64">
        <f t="shared" si="6"/>
        <v>1.0174861114249578</v>
      </c>
      <c r="R64">
        <f t="shared" si="3"/>
        <v>0.95111286679451579</v>
      </c>
      <c r="S64">
        <f t="shared" si="4"/>
        <v>1.1748815764993399</v>
      </c>
      <c r="T64">
        <f t="shared" si="5"/>
        <v>0.90485019385555743</v>
      </c>
    </row>
    <row r="65" spans="2:20" x14ac:dyDescent="0.2">
      <c r="B65">
        <v>1055</v>
      </c>
      <c r="C65">
        <v>30.057814788818401</v>
      </c>
      <c r="D65">
        <v>17.4710884094238</v>
      </c>
      <c r="E65">
        <v>8.4636282920837402</v>
      </c>
      <c r="F65" s="13">
        <v>11.800574490000001</v>
      </c>
      <c r="G65">
        <v>27.5875137329102</v>
      </c>
      <c r="H65">
        <v>22.487092590332001</v>
      </c>
      <c r="I65">
        <v>24.277276611328102</v>
      </c>
      <c r="N65">
        <f t="shared" si="0"/>
        <v>0.92430363655855385</v>
      </c>
      <c r="O65">
        <f t="shared" si="1"/>
        <v>1.0900525051355447</v>
      </c>
      <c r="P65">
        <f t="shared" si="2"/>
        <v>0.9018082383804199</v>
      </c>
      <c r="Q65">
        <f t="shared" si="6"/>
        <v>1.0228009791854153</v>
      </c>
      <c r="R65">
        <f t="shared" si="3"/>
        <v>0.98961464388541687</v>
      </c>
      <c r="S65">
        <f t="shared" si="4"/>
        <v>1.2010717791434236</v>
      </c>
      <c r="T65">
        <f t="shared" si="5"/>
        <v>0.91836872929926694</v>
      </c>
    </row>
    <row r="66" spans="2:20" x14ac:dyDescent="0.2">
      <c r="B66">
        <v>1057</v>
      </c>
      <c r="C66">
        <v>30.907721710205099</v>
      </c>
      <c r="D66">
        <v>17.765181732177702</v>
      </c>
      <c r="E66">
        <v>8.6024951815605206</v>
      </c>
      <c r="F66" s="13">
        <v>11.7765492</v>
      </c>
      <c r="G66">
        <v>28.4487907409668</v>
      </c>
      <c r="H66">
        <v>22.984144210815401</v>
      </c>
      <c r="I66">
        <v>24.507104110717801</v>
      </c>
      <c r="N66">
        <f t="shared" si="0"/>
        <v>0.9501562474159877</v>
      </c>
      <c r="O66">
        <f t="shared" si="1"/>
        <v>1.1057082115896069</v>
      </c>
      <c r="P66">
        <f t="shared" si="2"/>
        <v>0.91594834771169675</v>
      </c>
      <c r="Q66">
        <f t="shared" si="6"/>
        <v>1.0210850849334556</v>
      </c>
      <c r="R66">
        <f t="shared" si="3"/>
        <v>1.017076048202713</v>
      </c>
      <c r="S66">
        <f t="shared" si="4"/>
        <v>1.2218731010989148</v>
      </c>
      <c r="T66">
        <f t="shared" si="5"/>
        <v>0.9270627188250139</v>
      </c>
    </row>
    <row r="67" spans="2:20" x14ac:dyDescent="0.2">
      <c r="B67">
        <v>1059</v>
      </c>
      <c r="C67">
        <v>31.266181945800799</v>
      </c>
      <c r="D67">
        <v>17.7751777648926</v>
      </c>
      <c r="E67">
        <v>8.5446181178092999</v>
      </c>
      <c r="F67" s="13">
        <v>11.701153229999999</v>
      </c>
      <c r="G67">
        <v>29.282426071166999</v>
      </c>
      <c r="H67">
        <v>23.269960403442401</v>
      </c>
      <c r="I67">
        <v>25.018229675293</v>
      </c>
      <c r="N67">
        <f t="shared" si="0"/>
        <v>0.96105995080458884</v>
      </c>
      <c r="O67">
        <f t="shared" si="1"/>
        <v>1.1062403384411252</v>
      </c>
      <c r="P67">
        <f t="shared" si="2"/>
        <v>0.91005502056727061</v>
      </c>
      <c r="Q67">
        <f t="shared" si="6"/>
        <v>1.0157002795244916</v>
      </c>
      <c r="R67">
        <f t="shared" si="3"/>
        <v>1.0436561108790241</v>
      </c>
      <c r="S67">
        <f t="shared" si="4"/>
        <v>1.2338343429456766</v>
      </c>
      <c r="T67">
        <f t="shared" si="5"/>
        <v>0.94639774320877312</v>
      </c>
    </row>
    <row r="68" spans="2:20" x14ac:dyDescent="0.2">
      <c r="B68">
        <v>1061</v>
      </c>
      <c r="C68">
        <v>31.756780242919898</v>
      </c>
      <c r="D68">
        <v>17.694178390502898</v>
      </c>
      <c r="E68">
        <v>8.6034654021263108</v>
      </c>
      <c r="F68" s="13">
        <v>11.81274161</v>
      </c>
      <c r="G68">
        <v>29.4677822113037</v>
      </c>
      <c r="H68">
        <v>23.644702911376999</v>
      </c>
      <c r="I68">
        <v>25.384904098510699</v>
      </c>
      <c r="N68">
        <f t="shared" si="0"/>
        <v>0.97598305184493095</v>
      </c>
      <c r="O68">
        <f t="shared" si="1"/>
        <v>1.1019284335786372</v>
      </c>
      <c r="P68">
        <f t="shared" si="2"/>
        <v>0.91604714033913603</v>
      </c>
      <c r="Q68">
        <f t="shared" si="6"/>
        <v>1.0236699589675908</v>
      </c>
      <c r="R68">
        <f t="shared" si="3"/>
        <v>1.0495661025070055</v>
      </c>
      <c r="S68">
        <f t="shared" si="4"/>
        <v>1.2495170994979534</v>
      </c>
      <c r="T68">
        <f t="shared" si="5"/>
        <v>0.96026842275442903</v>
      </c>
    </row>
    <row r="69" spans="2:20" x14ac:dyDescent="0.2">
      <c r="B69">
        <v>1063</v>
      </c>
      <c r="C69">
        <v>31.993394088745099</v>
      </c>
      <c r="D69">
        <v>17.523799896240199</v>
      </c>
      <c r="E69">
        <v>8.4700090646743806</v>
      </c>
      <c r="F69" s="13">
        <v>11.86099658</v>
      </c>
      <c r="G69">
        <v>29.024825668335001</v>
      </c>
      <c r="H69">
        <v>23.787072372436501</v>
      </c>
      <c r="I69">
        <v>25.336054611206102</v>
      </c>
      <c r="N69">
        <f t="shared" si="0"/>
        <v>0.98318041137415935</v>
      </c>
      <c r="O69">
        <f t="shared" si="1"/>
        <v>1.0928585381206775</v>
      </c>
      <c r="P69">
        <f t="shared" si="2"/>
        <v>0.9024579600123338</v>
      </c>
      <c r="Q69">
        <f t="shared" si="6"/>
        <v>1.0271163450737102</v>
      </c>
      <c r="R69">
        <f t="shared" si="3"/>
        <v>1.0354426455847052</v>
      </c>
      <c r="S69">
        <f t="shared" si="4"/>
        <v>1.2554751788484408</v>
      </c>
      <c r="T69">
        <f t="shared" si="5"/>
        <v>0.95842052843328795</v>
      </c>
    </row>
    <row r="70" spans="2:20" x14ac:dyDescent="0.2">
      <c r="B70">
        <v>1065</v>
      </c>
      <c r="C70">
        <v>31.630110168457001</v>
      </c>
      <c r="D70">
        <v>17.106675720214799</v>
      </c>
      <c r="E70">
        <v>8.3944952607154804</v>
      </c>
      <c r="F70" s="13">
        <v>11.6071671</v>
      </c>
      <c r="G70">
        <v>28.449266052246099</v>
      </c>
      <c r="H70">
        <v>23.562371826171901</v>
      </c>
      <c r="I70">
        <v>25.207180023193398</v>
      </c>
      <c r="N70">
        <f t="shared" ref="N70:N133" si="7">C70/$L$8+0.01</f>
        <v>0.97212998033796116</v>
      </c>
      <c r="O70">
        <f t="shared" ref="O70:O133" si="8">D70/$L$9+0.16</f>
        <v>1.0706534312736555</v>
      </c>
      <c r="P70">
        <f t="shared" ref="P70:P133" si="9">E70/$L$10+0.04</f>
        <v>0.89476877328090643</v>
      </c>
      <c r="Q70">
        <f t="shared" ref="Q70:Q133" si="10">F70/$L$11+0.18</f>
        <v>1.0089877586670559</v>
      </c>
      <c r="R70">
        <f t="shared" ref="R70:R133" si="11">G70/$L$12+0.11</f>
        <v>1.0170912032748851</v>
      </c>
      <c r="S70">
        <f t="shared" ref="S70:S133" si="12">H70/$L$13+0.26</f>
        <v>1.2460715913460421</v>
      </c>
      <c r="T70">
        <f t="shared" ref="T70:T133" si="13">I70/$L$14</f>
        <v>0.95354541853002284</v>
      </c>
    </row>
    <row r="71" spans="2:20" x14ac:dyDescent="0.2">
      <c r="B71">
        <v>1067</v>
      </c>
      <c r="C71">
        <v>31.183478164672898</v>
      </c>
      <c r="D71">
        <v>16.692404556274401</v>
      </c>
      <c r="E71">
        <v>8.2698728322982795</v>
      </c>
      <c r="F71" s="13">
        <v>11.56452436</v>
      </c>
      <c r="G71">
        <v>27.416783142089798</v>
      </c>
      <c r="H71">
        <v>23.090272903442401</v>
      </c>
      <c r="I71">
        <v>24.908699035644499</v>
      </c>
      <c r="N71">
        <f t="shared" si="7"/>
        <v>0.95854425336039162</v>
      </c>
      <c r="O71">
        <f t="shared" si="8"/>
        <v>1.048600201114259</v>
      </c>
      <c r="P71">
        <f t="shared" si="9"/>
        <v>0.88207910499793463</v>
      </c>
      <c r="Q71">
        <f t="shared" si="10"/>
        <v>1.0059421999056919</v>
      </c>
      <c r="R71">
        <f t="shared" si="11"/>
        <v>0.98417098088269828</v>
      </c>
      <c r="S71">
        <f t="shared" si="12"/>
        <v>1.2263145253153827</v>
      </c>
      <c r="T71">
        <f t="shared" si="13"/>
        <v>0.94225438248657445</v>
      </c>
    </row>
    <row r="72" spans="2:20" x14ac:dyDescent="0.2">
      <c r="B72">
        <v>1069</v>
      </c>
      <c r="C72">
        <v>30.6582023620605</v>
      </c>
      <c r="D72">
        <v>16.2677453994751</v>
      </c>
      <c r="E72">
        <v>7.9656507730483996</v>
      </c>
      <c r="F72" s="13">
        <v>11.62658238</v>
      </c>
      <c r="G72">
        <v>26.051680374145501</v>
      </c>
      <c r="H72">
        <v>22.610816574096699</v>
      </c>
      <c r="I72">
        <v>24.5005088806152</v>
      </c>
      <c r="N72">
        <f t="shared" si="7"/>
        <v>0.94256632615913061</v>
      </c>
      <c r="O72">
        <f t="shared" si="8"/>
        <v>1.0259939785736587</v>
      </c>
      <c r="P72">
        <f t="shared" si="9"/>
        <v>0.85110171942396895</v>
      </c>
      <c r="Q72">
        <f t="shared" si="10"/>
        <v>1.0103744044620573</v>
      </c>
      <c r="R72">
        <f t="shared" si="11"/>
        <v>0.94064533385565641</v>
      </c>
      <c r="S72">
        <f t="shared" si="12"/>
        <v>1.2062495560861937</v>
      </c>
      <c r="T72">
        <f t="shared" si="13"/>
        <v>0.92681323231193702</v>
      </c>
    </row>
    <row r="73" spans="2:20" x14ac:dyDescent="0.2">
      <c r="B73">
        <v>1071</v>
      </c>
      <c r="C73">
        <v>30.245511245727499</v>
      </c>
      <c r="D73">
        <v>15.7826793670654</v>
      </c>
      <c r="E73">
        <v>7.9256933689117401</v>
      </c>
      <c r="F73" s="13">
        <v>11.29260335</v>
      </c>
      <c r="G73">
        <v>24.744145965576202</v>
      </c>
      <c r="H73">
        <v>22.174843215942399</v>
      </c>
      <c r="I73">
        <v>24.0314643859863</v>
      </c>
      <c r="N73">
        <f t="shared" si="7"/>
        <v>0.93001301877169407</v>
      </c>
      <c r="O73">
        <f t="shared" si="8"/>
        <v>1.000172068225162</v>
      </c>
      <c r="P73">
        <f t="shared" si="9"/>
        <v>0.84703306011133372</v>
      </c>
      <c r="Q73">
        <f t="shared" si="10"/>
        <v>0.98652151037203439</v>
      </c>
      <c r="R73">
        <f t="shared" si="11"/>
        <v>0.89895522635642267</v>
      </c>
      <c r="S73">
        <f t="shared" si="12"/>
        <v>1.1880043239749605</v>
      </c>
      <c r="T73">
        <f t="shared" si="13"/>
        <v>0.90907006435230842</v>
      </c>
    </row>
    <row r="74" spans="2:20" x14ac:dyDescent="0.2">
      <c r="B74">
        <v>1073</v>
      </c>
      <c r="C74">
        <v>29.644224929809599</v>
      </c>
      <c r="D74">
        <v>15.422885131835899</v>
      </c>
      <c r="E74">
        <v>7.8320194125175497</v>
      </c>
      <c r="F74" s="13">
        <v>11.02380142</v>
      </c>
      <c r="G74">
        <v>23.845091247558599</v>
      </c>
      <c r="H74">
        <v>21.647304153442398</v>
      </c>
      <c r="I74">
        <v>23.770108795165999</v>
      </c>
      <c r="N74">
        <f t="shared" si="7"/>
        <v>0.91172299106611576</v>
      </c>
      <c r="O74">
        <f t="shared" si="8"/>
        <v>0.98101885223960117</v>
      </c>
      <c r="P74">
        <f t="shared" si="9"/>
        <v>0.83749471738688896</v>
      </c>
      <c r="Q74">
        <f t="shared" si="10"/>
        <v>0.96732358657578965</v>
      </c>
      <c r="R74">
        <f t="shared" si="11"/>
        <v>0.87028929787591747</v>
      </c>
      <c r="S74">
        <f t="shared" si="12"/>
        <v>1.1659271202581949</v>
      </c>
      <c r="T74">
        <f t="shared" si="13"/>
        <v>0.89918341991193063</v>
      </c>
    </row>
    <row r="75" spans="2:20" x14ac:dyDescent="0.2">
      <c r="B75">
        <v>1075</v>
      </c>
      <c r="C75">
        <v>29.007441329956102</v>
      </c>
      <c r="D75">
        <v>14.9834451675415</v>
      </c>
      <c r="E75">
        <v>7.5419582247734098</v>
      </c>
      <c r="F75" s="13">
        <v>11.01053009</v>
      </c>
      <c r="G75">
        <v>22.5349521636963</v>
      </c>
      <c r="H75">
        <v>21.084917449951199</v>
      </c>
      <c r="I75">
        <v>23.326001358032201</v>
      </c>
      <c r="N75">
        <f t="shared" si="7"/>
        <v>0.89235320104187599</v>
      </c>
      <c r="O75">
        <f t="shared" si="8"/>
        <v>0.95762579108216184</v>
      </c>
      <c r="P75">
        <f t="shared" si="9"/>
        <v>0.80795926136194518</v>
      </c>
      <c r="Q75">
        <f t="shared" si="10"/>
        <v>0.96637574374588597</v>
      </c>
      <c r="R75">
        <f t="shared" si="11"/>
        <v>0.82851614155421749</v>
      </c>
      <c r="S75">
        <f t="shared" si="12"/>
        <v>1.1423915629826131</v>
      </c>
      <c r="T75">
        <f t="shared" si="13"/>
        <v>0.88238357908783216</v>
      </c>
    </row>
    <row r="76" spans="2:20" x14ac:dyDescent="0.2">
      <c r="B76">
        <v>1077</v>
      </c>
      <c r="C76">
        <v>28.511156082153299</v>
      </c>
      <c r="D76">
        <v>14.693727111816401</v>
      </c>
      <c r="E76">
        <v>7.4006617784500097</v>
      </c>
      <c r="F76" s="13">
        <v>10.682199000000001</v>
      </c>
      <c r="G76">
        <v>20.962750625610401</v>
      </c>
      <c r="H76">
        <v>20.627013587951701</v>
      </c>
      <c r="I76">
        <v>22.744464111328099</v>
      </c>
      <c r="N76">
        <f t="shared" si="7"/>
        <v>0.87725711338465673</v>
      </c>
      <c r="O76">
        <f t="shared" si="8"/>
        <v>0.94220299673783314</v>
      </c>
      <c r="P76">
        <f t="shared" si="9"/>
        <v>0.79357176260927931</v>
      </c>
      <c r="Q76">
        <f t="shared" si="10"/>
        <v>0.94292622742076881</v>
      </c>
      <c r="R76">
        <f t="shared" si="11"/>
        <v>0.77838724956966066</v>
      </c>
      <c r="S76">
        <f t="shared" si="12"/>
        <v>1.1232285520083185</v>
      </c>
      <c r="T76">
        <f t="shared" si="13"/>
        <v>0.86038499865205798</v>
      </c>
    </row>
    <row r="77" spans="2:20" x14ac:dyDescent="0.2">
      <c r="B77">
        <v>1079</v>
      </c>
      <c r="C77">
        <v>27.662684249877898</v>
      </c>
      <c r="D77">
        <v>14.271492195129399</v>
      </c>
      <c r="E77">
        <v>7.2321266889572096</v>
      </c>
      <c r="F77" s="13">
        <v>10.51151209</v>
      </c>
      <c r="G77">
        <v>19.598419761657699</v>
      </c>
      <c r="H77">
        <v>20.1982149124145</v>
      </c>
      <c r="I77">
        <v>22.3511569976807</v>
      </c>
      <c r="N77">
        <f t="shared" si="7"/>
        <v>0.85144815530778795</v>
      </c>
      <c r="O77">
        <f t="shared" si="8"/>
        <v>0.91972582572147998</v>
      </c>
      <c r="P77">
        <f t="shared" si="9"/>
        <v>0.7764106913088149</v>
      </c>
      <c r="Q77">
        <f t="shared" si="10"/>
        <v>0.93073571118750942</v>
      </c>
      <c r="R77">
        <f t="shared" si="11"/>
        <v>0.73488621433117118</v>
      </c>
      <c r="S77">
        <f t="shared" si="12"/>
        <v>1.1052835762022586</v>
      </c>
      <c r="T77">
        <f t="shared" si="13"/>
        <v>0.845506849015777</v>
      </c>
    </row>
    <row r="78" spans="2:20" x14ac:dyDescent="0.2">
      <c r="B78">
        <v>1081</v>
      </c>
      <c r="C78">
        <v>26.802808380127001</v>
      </c>
      <c r="D78">
        <v>14.0294080734253</v>
      </c>
      <c r="E78">
        <v>7.1398851871490496</v>
      </c>
      <c r="F78" s="13">
        <v>10.643127489999999</v>
      </c>
      <c r="G78">
        <v>18.282359123229998</v>
      </c>
      <c r="H78">
        <v>19.691838455200202</v>
      </c>
      <c r="I78">
        <v>21.893896865844699</v>
      </c>
      <c r="N78">
        <f t="shared" si="7"/>
        <v>0.82529230731198966</v>
      </c>
      <c r="O78">
        <f t="shared" si="8"/>
        <v>0.90683876690933463</v>
      </c>
      <c r="P78">
        <f t="shared" si="9"/>
        <v>0.76701820815200994</v>
      </c>
      <c r="Q78">
        <f t="shared" si="10"/>
        <v>0.94013572710113125</v>
      </c>
      <c r="R78">
        <f t="shared" si="11"/>
        <v>0.69292425208224195</v>
      </c>
      <c r="S78">
        <f t="shared" si="12"/>
        <v>1.0840920152393316</v>
      </c>
      <c r="T78">
        <f t="shared" si="13"/>
        <v>0.82820946377127647</v>
      </c>
    </row>
    <row r="79" spans="2:20" x14ac:dyDescent="0.2">
      <c r="B79">
        <v>1083</v>
      </c>
      <c r="C79">
        <v>26.078607940673798</v>
      </c>
      <c r="D79">
        <v>13.896686553955099</v>
      </c>
      <c r="E79">
        <v>7.0364827215671504</v>
      </c>
      <c r="F79" s="13">
        <v>10.607206059999999</v>
      </c>
      <c r="G79">
        <v>17.156163406372102</v>
      </c>
      <c r="H79">
        <v>19.225079345703101</v>
      </c>
      <c r="I79">
        <v>21.317349624633799</v>
      </c>
      <c r="N79">
        <f t="shared" si="7"/>
        <v>0.80326345724283277</v>
      </c>
      <c r="O79">
        <f t="shared" si="8"/>
        <v>0.89977349548628616</v>
      </c>
      <c r="P79">
        <f t="shared" si="9"/>
        <v>0.75648926079846435</v>
      </c>
      <c r="Q79">
        <f t="shared" si="10"/>
        <v>0.93757020654928036</v>
      </c>
      <c r="R79">
        <f t="shared" si="11"/>
        <v>0.65701604179479245</v>
      </c>
      <c r="S79">
        <f t="shared" si="12"/>
        <v>1.064558417294585</v>
      </c>
      <c r="T79">
        <f t="shared" si="13"/>
        <v>0.8063996468890654</v>
      </c>
    </row>
    <row r="80" spans="2:20" x14ac:dyDescent="0.2">
      <c r="B80">
        <v>1085</v>
      </c>
      <c r="C80">
        <v>25.451897048950201</v>
      </c>
      <c r="D80">
        <v>13.840220451355</v>
      </c>
      <c r="E80">
        <v>6.9588122248649604</v>
      </c>
      <c r="F80" s="13">
        <v>10.4601758</v>
      </c>
      <c r="G80">
        <v>16.466396331787099</v>
      </c>
      <c r="H80">
        <v>18.975440406799301</v>
      </c>
      <c r="I80">
        <v>20.829624557495102</v>
      </c>
      <c r="N80">
        <f t="shared" si="7"/>
        <v>0.78420006053886149</v>
      </c>
      <c r="O80">
        <f t="shared" si="8"/>
        <v>0.89676759001847706</v>
      </c>
      <c r="P80">
        <f t="shared" si="9"/>
        <v>0.74858046900999997</v>
      </c>
      <c r="Q80">
        <f t="shared" si="10"/>
        <v>0.92706925617581382</v>
      </c>
      <c r="R80">
        <f t="shared" si="11"/>
        <v>0.635023149446861</v>
      </c>
      <c r="S80">
        <f t="shared" si="12"/>
        <v>1.0541111725281058</v>
      </c>
      <c r="T80">
        <f t="shared" si="13"/>
        <v>0.78794982414632153</v>
      </c>
    </row>
    <row r="81" spans="2:20" x14ac:dyDescent="0.2">
      <c r="B81">
        <v>1087</v>
      </c>
      <c r="C81">
        <v>24.904425048828099</v>
      </c>
      <c r="D81">
        <v>13.9577947616577</v>
      </c>
      <c r="E81">
        <v>6.9605206489563001</v>
      </c>
      <c r="F81" s="13">
        <v>10.41487455</v>
      </c>
      <c r="G81">
        <v>15.9370487213135</v>
      </c>
      <c r="H81">
        <v>18.833600997924801</v>
      </c>
      <c r="I81">
        <v>20.278496551513701</v>
      </c>
      <c r="N81">
        <f t="shared" si="7"/>
        <v>0.7675469656900693</v>
      </c>
      <c r="O81">
        <f t="shared" si="8"/>
        <v>0.90302651786968213</v>
      </c>
      <c r="P81">
        <f t="shared" si="9"/>
        <v>0.74875442914928692</v>
      </c>
      <c r="Q81">
        <f t="shared" si="10"/>
        <v>0.92383382574056871</v>
      </c>
      <c r="R81">
        <f t="shared" si="11"/>
        <v>0.61814515477194143</v>
      </c>
      <c r="S81">
        <f t="shared" si="12"/>
        <v>1.0481752755540539</v>
      </c>
      <c r="T81">
        <f t="shared" si="13"/>
        <v>0.76710157437607318</v>
      </c>
    </row>
    <row r="82" spans="2:20" x14ac:dyDescent="0.2">
      <c r="B82">
        <v>1089</v>
      </c>
      <c r="C82">
        <v>24.653978347778299</v>
      </c>
      <c r="D82">
        <v>13.977384376525899</v>
      </c>
      <c r="E82">
        <v>6.87669740915298</v>
      </c>
      <c r="F82" s="13">
        <v>10.398354429999999</v>
      </c>
      <c r="G82">
        <v>15.5456483840942</v>
      </c>
      <c r="H82">
        <v>18.748061752319298</v>
      </c>
      <c r="I82">
        <v>19.765366363525398</v>
      </c>
      <c r="N82">
        <f t="shared" si="7"/>
        <v>0.75992883605746842</v>
      </c>
      <c r="O82">
        <f t="shared" si="8"/>
        <v>0.90406934759819424</v>
      </c>
      <c r="P82">
        <f t="shared" si="9"/>
        <v>0.74021913481248269</v>
      </c>
      <c r="Q82">
        <f t="shared" si="10"/>
        <v>0.92265395324164423</v>
      </c>
      <c r="R82">
        <f t="shared" si="11"/>
        <v>0.60566554274263851</v>
      </c>
      <c r="S82">
        <f t="shared" si="12"/>
        <v>1.0445955077505822</v>
      </c>
      <c r="T82">
        <f t="shared" si="13"/>
        <v>0.74769071844472779</v>
      </c>
    </row>
    <row r="83" spans="2:20" x14ac:dyDescent="0.2">
      <c r="B83">
        <v>1091</v>
      </c>
      <c r="C83">
        <v>24.504674530029298</v>
      </c>
      <c r="D83">
        <v>14.126960945129399</v>
      </c>
      <c r="E83">
        <v>6.8926487445831297</v>
      </c>
      <c r="F83" s="13">
        <v>10.25978184</v>
      </c>
      <c r="G83">
        <v>15.258252334594699</v>
      </c>
      <c r="H83">
        <v>18.8028200149536</v>
      </c>
      <c r="I83">
        <v>19.5254318237305</v>
      </c>
      <c r="N83">
        <f t="shared" si="7"/>
        <v>0.75538728756237394</v>
      </c>
      <c r="O83">
        <f t="shared" si="8"/>
        <v>0.91203187741197655</v>
      </c>
      <c r="P83">
        <f t="shared" si="9"/>
        <v>0.74184337819988788</v>
      </c>
      <c r="Q83">
        <f t="shared" si="10"/>
        <v>0.91275705248997085</v>
      </c>
      <c r="R83">
        <f t="shared" si="11"/>
        <v>0.5965020575448764</v>
      </c>
      <c r="S83">
        <f t="shared" si="12"/>
        <v>1.0468871092741256</v>
      </c>
      <c r="T83">
        <f t="shared" si="13"/>
        <v>0.73861439650161376</v>
      </c>
    </row>
    <row r="84" spans="2:20" x14ac:dyDescent="0.2">
      <c r="B84">
        <v>1093</v>
      </c>
      <c r="C84">
        <v>24.365049362182599</v>
      </c>
      <c r="D84">
        <v>14.193082237243701</v>
      </c>
      <c r="E84">
        <v>6.9581704616546602</v>
      </c>
      <c r="F84" s="13">
        <v>10.093910879999999</v>
      </c>
      <c r="G84">
        <v>15.4732261657715</v>
      </c>
      <c r="H84">
        <v>18.896588516235401</v>
      </c>
      <c r="I84">
        <v>19.391707229614301</v>
      </c>
      <c r="N84">
        <f t="shared" si="7"/>
        <v>0.75114014585848587</v>
      </c>
      <c r="O84">
        <f t="shared" si="8"/>
        <v>0.91555176535098637</v>
      </c>
      <c r="P84">
        <f t="shared" si="9"/>
        <v>0.74851512152513422</v>
      </c>
      <c r="Q84">
        <f t="shared" si="10"/>
        <v>0.90091049301738835</v>
      </c>
      <c r="R84">
        <f t="shared" si="11"/>
        <v>0.60335639504647187</v>
      </c>
      <c r="S84">
        <f t="shared" si="12"/>
        <v>1.0508112666534934</v>
      </c>
      <c r="T84">
        <f t="shared" si="13"/>
        <v>0.73355581898731181</v>
      </c>
    </row>
    <row r="85" spans="2:20" x14ac:dyDescent="0.2">
      <c r="B85">
        <v>1095</v>
      </c>
      <c r="C85">
        <v>24.634617233276401</v>
      </c>
      <c r="D85">
        <v>14.322070312499999</v>
      </c>
      <c r="E85">
        <v>6.9877666473388702</v>
      </c>
      <c r="F85" s="13">
        <v>10.39310074</v>
      </c>
      <c r="G85">
        <v>15.877306365966801</v>
      </c>
      <c r="H85">
        <v>19.087471580505401</v>
      </c>
      <c r="I85">
        <v>19.050329971313499</v>
      </c>
      <c r="N85">
        <f t="shared" si="7"/>
        <v>0.75933990643895544</v>
      </c>
      <c r="O85">
        <f t="shared" si="8"/>
        <v>0.92241829133456643</v>
      </c>
      <c r="P85">
        <f t="shared" si="9"/>
        <v>0.75152875064104729</v>
      </c>
      <c r="Q85">
        <f t="shared" si="10"/>
        <v>0.92227873294367591</v>
      </c>
      <c r="R85">
        <f t="shared" si="11"/>
        <v>0.61624029842526473</v>
      </c>
      <c r="S85">
        <f t="shared" si="12"/>
        <v>1.0587996121534426</v>
      </c>
      <c r="T85">
        <f t="shared" si="13"/>
        <v>0.72064208883806236</v>
      </c>
    </row>
    <row r="86" spans="2:20" x14ac:dyDescent="0.2">
      <c r="B86">
        <v>1097</v>
      </c>
      <c r="C86">
        <v>24.881101989746099</v>
      </c>
      <c r="D86">
        <v>14.656609916687</v>
      </c>
      <c r="E86">
        <v>7.0392545938491802</v>
      </c>
      <c r="F86" s="13">
        <v>10.35649652</v>
      </c>
      <c r="G86">
        <v>16.136514472961402</v>
      </c>
      <c r="H86">
        <v>19.411728286743202</v>
      </c>
      <c r="I86">
        <v>18.998085021972699</v>
      </c>
      <c r="N86">
        <f t="shared" si="7"/>
        <v>0.76683752097879654</v>
      </c>
      <c r="O86">
        <f t="shared" si="8"/>
        <v>0.94022710722799097</v>
      </c>
      <c r="P86">
        <f t="shared" si="9"/>
        <v>0.75677150646024816</v>
      </c>
      <c r="Q86">
        <f t="shared" si="10"/>
        <v>0.91966444730152674</v>
      </c>
      <c r="R86">
        <f t="shared" si="11"/>
        <v>0.62450502459572332</v>
      </c>
      <c r="S86">
        <f t="shared" si="12"/>
        <v>1.0723695671937659</v>
      </c>
      <c r="T86">
        <f t="shared" si="13"/>
        <v>0.718665749872759</v>
      </c>
    </row>
    <row r="87" spans="2:20" x14ac:dyDescent="0.2">
      <c r="B87">
        <v>1099</v>
      </c>
      <c r="C87">
        <v>25.169731521606401</v>
      </c>
      <c r="D87">
        <v>14.905558013916</v>
      </c>
      <c r="E87">
        <v>7.1069478034973104</v>
      </c>
      <c r="F87" s="13">
        <v>10.38821626</v>
      </c>
      <c r="G87">
        <v>16.882577705383301</v>
      </c>
      <c r="H87">
        <v>19.819756126403799</v>
      </c>
      <c r="I87">
        <v>19.117291259765601</v>
      </c>
      <c r="N87">
        <f t="shared" si="7"/>
        <v>0.77561710234398074</v>
      </c>
      <c r="O87">
        <f t="shared" si="8"/>
        <v>0.95347956157145775</v>
      </c>
      <c r="P87">
        <f t="shared" si="9"/>
        <v>0.76366436183431241</v>
      </c>
      <c r="Q87">
        <f t="shared" si="10"/>
        <v>0.92192988174746504</v>
      </c>
      <c r="R87">
        <f t="shared" si="11"/>
        <v>0.64829289293559222</v>
      </c>
      <c r="S87">
        <f t="shared" si="12"/>
        <v>1.089445295568475</v>
      </c>
      <c r="T87">
        <f t="shared" si="13"/>
        <v>0.72317512227391756</v>
      </c>
    </row>
    <row r="88" spans="2:20" x14ac:dyDescent="0.2">
      <c r="B88">
        <v>1101</v>
      </c>
      <c r="C88">
        <v>25.707656097412102</v>
      </c>
      <c r="D88">
        <v>15.1430974960327</v>
      </c>
      <c r="E88">
        <v>7.19563555717468</v>
      </c>
      <c r="F88" s="13">
        <v>10.54818554</v>
      </c>
      <c r="G88">
        <v>17.2847583770752</v>
      </c>
      <c r="H88">
        <v>20.1805669784546</v>
      </c>
      <c r="I88">
        <v>19.129940032958999</v>
      </c>
      <c r="N88">
        <f t="shared" si="7"/>
        <v>0.79197978204338226</v>
      </c>
      <c r="O88">
        <f t="shared" si="8"/>
        <v>0.9661246919281945</v>
      </c>
      <c r="P88">
        <f t="shared" si="9"/>
        <v>0.77269498488685118</v>
      </c>
      <c r="Q88">
        <f t="shared" si="10"/>
        <v>0.93335494125942664</v>
      </c>
      <c r="R88">
        <f t="shared" si="11"/>
        <v>0.66111623075910364</v>
      </c>
      <c r="S88">
        <f t="shared" si="12"/>
        <v>1.1045450204043878</v>
      </c>
      <c r="T88">
        <f t="shared" si="13"/>
        <v>0.72365360418730462</v>
      </c>
    </row>
    <row r="89" spans="2:20" x14ac:dyDescent="0.2">
      <c r="B89">
        <v>1103</v>
      </c>
      <c r="C89">
        <v>26.136094665527299</v>
      </c>
      <c r="D89">
        <v>15.2016046524048</v>
      </c>
      <c r="E89">
        <v>7.3413772523403198</v>
      </c>
      <c r="F89" s="13">
        <v>10.528156900000001</v>
      </c>
      <c r="G89">
        <v>17.881485748290999</v>
      </c>
      <c r="H89">
        <v>20.605618667602499</v>
      </c>
      <c r="I89">
        <v>19.187340927124001</v>
      </c>
      <c r="N89">
        <f t="shared" si="7"/>
        <v>0.80501209805244178</v>
      </c>
      <c r="O89">
        <f t="shared" si="8"/>
        <v>0.96923925045351667</v>
      </c>
      <c r="P89">
        <f t="shared" si="9"/>
        <v>0.78753512072868093</v>
      </c>
      <c r="Q89">
        <f t="shared" si="10"/>
        <v>0.93192448908796188</v>
      </c>
      <c r="R89">
        <f t="shared" si="11"/>
        <v>0.68014259678869271</v>
      </c>
      <c r="S89">
        <f t="shared" si="12"/>
        <v>1.1223331870038487</v>
      </c>
      <c r="T89">
        <f t="shared" si="13"/>
        <v>0.7258249839132479</v>
      </c>
    </row>
    <row r="90" spans="2:20" x14ac:dyDescent="0.2">
      <c r="B90">
        <v>1105</v>
      </c>
      <c r="C90">
        <v>26.718914794921901</v>
      </c>
      <c r="D90">
        <v>15.264492797851601</v>
      </c>
      <c r="E90">
        <v>7.2977643072605103</v>
      </c>
      <c r="F90" s="13">
        <v>10.62376418</v>
      </c>
      <c r="G90">
        <v>18.622016334533701</v>
      </c>
      <c r="H90">
        <v>21.0214748382568</v>
      </c>
      <c r="I90">
        <v>19.4125988006592</v>
      </c>
      <c r="N90">
        <f t="shared" si="7"/>
        <v>0.82274041820841137</v>
      </c>
      <c r="O90">
        <f t="shared" si="8"/>
        <v>0.9725870256948449</v>
      </c>
      <c r="P90">
        <f t="shared" si="9"/>
        <v>0.78309423626722985</v>
      </c>
      <c r="Q90">
        <f t="shared" si="10"/>
        <v>0.93875279302092185</v>
      </c>
      <c r="R90">
        <f t="shared" si="11"/>
        <v>0.70375405935869861</v>
      </c>
      <c r="S90">
        <f t="shared" si="12"/>
        <v>1.1397365264890817</v>
      </c>
      <c r="T90">
        <f t="shared" si="13"/>
        <v>0.73434611214336609</v>
      </c>
    </row>
    <row r="91" spans="2:20" x14ac:dyDescent="0.2">
      <c r="B91">
        <v>1107</v>
      </c>
      <c r="C91">
        <v>27.275111007690398</v>
      </c>
      <c r="D91">
        <v>15.3646650314331</v>
      </c>
      <c r="E91">
        <v>7.2958472967147801</v>
      </c>
      <c r="F91" s="13">
        <v>10.46104674</v>
      </c>
      <c r="G91">
        <v>18.882581901550299</v>
      </c>
      <c r="H91">
        <v>21.154600143432599</v>
      </c>
      <c r="I91">
        <v>19.590721511840801</v>
      </c>
      <c r="N91">
        <f t="shared" si="7"/>
        <v>0.83965888761635743</v>
      </c>
      <c r="O91">
        <f t="shared" si="8"/>
        <v>0.97791957479563496</v>
      </c>
      <c r="P91">
        <f t="shared" si="9"/>
        <v>0.78289903682978312</v>
      </c>
      <c r="Q91">
        <f t="shared" si="10"/>
        <v>0.92713145900207738</v>
      </c>
      <c r="R91">
        <f t="shared" si="11"/>
        <v>0.7120620674908954</v>
      </c>
      <c r="S91">
        <f t="shared" si="12"/>
        <v>1.1453077432787819</v>
      </c>
      <c r="T91">
        <f t="shared" si="13"/>
        <v>0.74108419609512433</v>
      </c>
    </row>
    <row r="92" spans="2:20" x14ac:dyDescent="0.2">
      <c r="B92">
        <v>1109</v>
      </c>
      <c r="C92">
        <v>27.455987930297901</v>
      </c>
      <c r="D92">
        <v>15.129676246643101</v>
      </c>
      <c r="E92">
        <v>7.2499955475330404</v>
      </c>
      <c r="F92" s="13">
        <v>10.220678380000001</v>
      </c>
      <c r="G92">
        <v>19.281411552429201</v>
      </c>
      <c r="H92">
        <v>21.155251884460402</v>
      </c>
      <c r="I92">
        <v>19.649369430541999</v>
      </c>
      <c r="N92">
        <f t="shared" si="7"/>
        <v>0.84516083209473913</v>
      </c>
      <c r="O92">
        <f t="shared" si="8"/>
        <v>0.96541022776177698</v>
      </c>
      <c r="P92">
        <f t="shared" si="9"/>
        <v>0.77823018632911356</v>
      </c>
      <c r="Q92">
        <f t="shared" si="10"/>
        <v>0.9099642702906412</v>
      </c>
      <c r="R92">
        <f t="shared" si="11"/>
        <v>0.72477855962299675</v>
      </c>
      <c r="S92">
        <f t="shared" si="12"/>
        <v>1.1453350182626916</v>
      </c>
      <c r="T92">
        <f t="shared" si="13"/>
        <v>0.74330274867150903</v>
      </c>
    </row>
    <row r="93" spans="2:20" x14ac:dyDescent="0.2">
      <c r="B93">
        <v>1111</v>
      </c>
      <c r="C93">
        <v>27.4775901794434</v>
      </c>
      <c r="D93">
        <v>14.692008781433101</v>
      </c>
      <c r="E93">
        <v>7.0537608206272102</v>
      </c>
      <c r="F93" s="13">
        <v>9.9392388339999993</v>
      </c>
      <c r="G93">
        <v>19.210614585876499</v>
      </c>
      <c r="H93">
        <v>21.034622192382798</v>
      </c>
      <c r="I93">
        <v>19.757165908813501</v>
      </c>
      <c r="N93">
        <f t="shared" si="7"/>
        <v>0.84581793292160701</v>
      </c>
      <c r="O93">
        <f t="shared" si="8"/>
        <v>0.94211152347410809</v>
      </c>
      <c r="P93">
        <f t="shared" si="9"/>
        <v>0.75824860178079934</v>
      </c>
      <c r="Q93">
        <f t="shared" si="10"/>
        <v>0.8898637637304474</v>
      </c>
      <c r="R93">
        <f t="shared" si="11"/>
        <v>0.7225212323000153</v>
      </c>
      <c r="S93">
        <f t="shared" si="12"/>
        <v>1.1402867356318902</v>
      </c>
      <c r="T93">
        <f t="shared" si="13"/>
        <v>0.74738050897214103</v>
      </c>
    </row>
    <row r="94" spans="2:20" x14ac:dyDescent="0.2">
      <c r="B94">
        <v>1113</v>
      </c>
      <c r="C94">
        <v>27.1694034576416</v>
      </c>
      <c r="D94">
        <v>14.151902580261201</v>
      </c>
      <c r="E94">
        <v>6.9510231435298904</v>
      </c>
      <c r="F94" s="13">
        <v>9.701940918</v>
      </c>
      <c r="G94">
        <v>18.614340209960901</v>
      </c>
      <c r="H94">
        <v>20.622723007202101</v>
      </c>
      <c r="I94">
        <v>19.677742767333999</v>
      </c>
      <c r="N94">
        <f t="shared" si="7"/>
        <v>0.83644345768240014</v>
      </c>
      <c r="O94">
        <f t="shared" si="8"/>
        <v>0.91335961554098721</v>
      </c>
      <c r="P94">
        <f t="shared" si="9"/>
        <v>0.74778734645873468</v>
      </c>
      <c r="Q94">
        <f t="shared" si="10"/>
        <v>0.8729158671570274</v>
      </c>
      <c r="R94">
        <f t="shared" si="11"/>
        <v>0.70350930980830806</v>
      </c>
      <c r="S94">
        <f t="shared" si="12"/>
        <v>1.1230489936931043</v>
      </c>
      <c r="T94">
        <f t="shared" si="13"/>
        <v>0.74437606449983762</v>
      </c>
    </row>
    <row r="95" spans="2:20" x14ac:dyDescent="0.2">
      <c r="B95">
        <v>1115</v>
      </c>
      <c r="C95">
        <v>26.7530204772949</v>
      </c>
      <c r="D95">
        <v>13.473171997070301</v>
      </c>
      <c r="E95">
        <v>6.8131969511508901</v>
      </c>
      <c r="F95" s="13">
        <v>9.5726028920000008</v>
      </c>
      <c r="G95">
        <v>18.098287391662598</v>
      </c>
      <c r="H95">
        <v>20.0671335220337</v>
      </c>
      <c r="I95">
        <v>19.342145919799801</v>
      </c>
      <c r="N95">
        <f t="shared" si="7"/>
        <v>0.82377785055803598</v>
      </c>
      <c r="O95">
        <f t="shared" si="8"/>
        <v>0.87722820435378779</v>
      </c>
      <c r="P95">
        <f t="shared" si="9"/>
        <v>0.73375320602183425</v>
      </c>
      <c r="Q95">
        <f t="shared" si="10"/>
        <v>0.863678502056618</v>
      </c>
      <c r="R95">
        <f t="shared" si="11"/>
        <v>0.68705521320546636</v>
      </c>
      <c r="S95">
        <f t="shared" si="12"/>
        <v>1.0997978960609633</v>
      </c>
      <c r="T95">
        <f t="shared" si="13"/>
        <v>0.73168099761235117</v>
      </c>
    </row>
    <row r="96" spans="2:20" x14ac:dyDescent="0.2">
      <c r="B96">
        <v>1117</v>
      </c>
      <c r="C96">
        <v>26.065475845336898</v>
      </c>
      <c r="D96">
        <v>12.813579750061001</v>
      </c>
      <c r="E96">
        <v>6.6746042549610101</v>
      </c>
      <c r="F96" s="13">
        <v>9.2494914050000006</v>
      </c>
      <c r="G96">
        <v>16.889073562622102</v>
      </c>
      <c r="H96">
        <v>19.409248924255401</v>
      </c>
      <c r="I96">
        <v>18.841843032836898</v>
      </c>
      <c r="N96">
        <f t="shared" si="7"/>
        <v>0.80286400297090654</v>
      </c>
      <c r="O96">
        <f t="shared" si="8"/>
        <v>0.84211559961371396</v>
      </c>
      <c r="P96">
        <f t="shared" si="9"/>
        <v>0.71964101639891465</v>
      </c>
      <c r="Q96">
        <f t="shared" si="10"/>
        <v>0.84060177152452198</v>
      </c>
      <c r="R96">
        <f t="shared" si="11"/>
        <v>0.64850001022811654</v>
      </c>
      <c r="S96">
        <f t="shared" si="12"/>
        <v>1.0722658073120397</v>
      </c>
      <c r="T96">
        <f t="shared" si="13"/>
        <v>0.71275537700338698</v>
      </c>
    </row>
    <row r="97" spans="2:20" x14ac:dyDescent="0.2">
      <c r="B97">
        <v>1119</v>
      </c>
      <c r="C97">
        <v>25.198905944824201</v>
      </c>
      <c r="D97">
        <v>12.199393653869601</v>
      </c>
      <c r="E97">
        <v>6.59810544252396</v>
      </c>
      <c r="F97" s="13">
        <v>8.9317612650000004</v>
      </c>
      <c r="G97">
        <v>16.2279294967651</v>
      </c>
      <c r="H97">
        <v>18.863469314575202</v>
      </c>
      <c r="I97">
        <v>17.981925392150899</v>
      </c>
      <c r="N97">
        <f t="shared" si="7"/>
        <v>0.77650453482800996</v>
      </c>
      <c r="O97">
        <f t="shared" si="8"/>
        <v>0.80942013703027715</v>
      </c>
      <c r="P97">
        <f t="shared" si="9"/>
        <v>0.71185153126211675</v>
      </c>
      <c r="Q97">
        <f t="shared" si="10"/>
        <v>0.81790937859605539</v>
      </c>
      <c r="R97">
        <f t="shared" si="11"/>
        <v>0.62741974878534623</v>
      </c>
      <c r="S97">
        <f t="shared" si="12"/>
        <v>1.0494252472779353</v>
      </c>
      <c r="T97">
        <f t="shared" si="13"/>
        <v>0.68022613232648066</v>
      </c>
    </row>
    <row r="98" spans="2:20" x14ac:dyDescent="0.2">
      <c r="B98">
        <v>1121</v>
      </c>
      <c r="C98">
        <v>24.512953186035201</v>
      </c>
      <c r="D98">
        <v>11.766538619995099</v>
      </c>
      <c r="E98">
        <v>6.3595174431800796</v>
      </c>
      <c r="F98" s="13">
        <v>8.7599332329999999</v>
      </c>
      <c r="G98">
        <v>15.328640365600601</v>
      </c>
      <c r="H98">
        <v>18.233956336975101</v>
      </c>
      <c r="I98">
        <v>17.247957038879399</v>
      </c>
      <c r="N98">
        <f t="shared" si="7"/>
        <v>0.75563910910513066</v>
      </c>
      <c r="O98">
        <f t="shared" si="8"/>
        <v>0.78637761677158724</v>
      </c>
      <c r="P98">
        <f t="shared" si="9"/>
        <v>0.68755732831306027</v>
      </c>
      <c r="Q98">
        <f t="shared" si="10"/>
        <v>0.80563736304767475</v>
      </c>
      <c r="R98">
        <f t="shared" si="11"/>
        <v>0.59874634615408129</v>
      </c>
      <c r="S98">
        <f t="shared" si="12"/>
        <v>1.0230804943738314</v>
      </c>
      <c r="T98">
        <f t="shared" si="13"/>
        <v>0.65246133832873465</v>
      </c>
    </row>
    <row r="99" spans="2:20" x14ac:dyDescent="0.2">
      <c r="B99">
        <v>1123</v>
      </c>
      <c r="C99">
        <v>23.6897575378418</v>
      </c>
      <c r="D99">
        <v>11.3069141387939</v>
      </c>
      <c r="E99">
        <v>6.2367740839719801</v>
      </c>
      <c r="F99" s="13">
        <v>8.5055483820000006</v>
      </c>
      <c r="G99">
        <v>14.1895225524902</v>
      </c>
      <c r="H99">
        <v>17.6110534667969</v>
      </c>
      <c r="I99">
        <v>16.582656478881798</v>
      </c>
      <c r="N99">
        <f t="shared" si="7"/>
        <v>0.73059900622238905</v>
      </c>
      <c r="O99">
        <f t="shared" si="8"/>
        <v>0.76191005698680447</v>
      </c>
      <c r="P99">
        <f t="shared" si="9"/>
        <v>0.67505899609412678</v>
      </c>
      <c r="Q99">
        <f t="shared" si="10"/>
        <v>0.78746911185834345</v>
      </c>
      <c r="R99">
        <f t="shared" si="11"/>
        <v>0.5624261210253001</v>
      </c>
      <c r="S99">
        <f t="shared" si="12"/>
        <v>0.99701237063051684</v>
      </c>
      <c r="T99">
        <f t="shared" si="13"/>
        <v>0.62729413198722972</v>
      </c>
    </row>
    <row r="100" spans="2:20" x14ac:dyDescent="0.2">
      <c r="B100">
        <v>1125</v>
      </c>
      <c r="C100">
        <v>22.726138687133801</v>
      </c>
      <c r="D100">
        <v>10.8844537734985</v>
      </c>
      <c r="E100">
        <v>6.1995037823915498</v>
      </c>
      <c r="F100" s="13">
        <v>8.0870557309999995</v>
      </c>
      <c r="G100">
        <v>13.642025375366201</v>
      </c>
      <c r="H100">
        <v>17.088629150390599</v>
      </c>
      <c r="I100">
        <v>15.884554672241199</v>
      </c>
      <c r="N100">
        <f t="shared" si="7"/>
        <v>0.70128748688378273</v>
      </c>
      <c r="O100">
        <f t="shared" si="8"/>
        <v>0.73942088448330257</v>
      </c>
      <c r="P100">
        <f t="shared" si="9"/>
        <v>0.67126395077308165</v>
      </c>
      <c r="Q100">
        <f t="shared" si="10"/>
        <v>0.75758022667367819</v>
      </c>
      <c r="R100">
        <f t="shared" si="11"/>
        <v>0.54496943612260462</v>
      </c>
      <c r="S100">
        <f t="shared" si="12"/>
        <v>0.975149216070481</v>
      </c>
      <c r="T100">
        <f t="shared" si="13"/>
        <v>0.60088610940091958</v>
      </c>
    </row>
    <row r="101" spans="2:20" x14ac:dyDescent="0.2">
      <c r="B101">
        <v>1127</v>
      </c>
      <c r="C101">
        <v>21.8071491241455</v>
      </c>
      <c r="D101">
        <v>10.5076131820679</v>
      </c>
      <c r="E101">
        <v>5.9582563668489499</v>
      </c>
      <c r="F101" s="13">
        <v>7.7361318109999999</v>
      </c>
      <c r="G101">
        <v>12.4881078720093</v>
      </c>
      <c r="H101">
        <v>16.440955352783199</v>
      </c>
      <c r="I101">
        <v>14.974180412292499</v>
      </c>
      <c r="N101">
        <f t="shared" si="7"/>
        <v>0.67333350868200981</v>
      </c>
      <c r="O101">
        <f t="shared" si="8"/>
        <v>0.71936022610395733</v>
      </c>
      <c r="P101">
        <f t="shared" si="9"/>
        <v>0.64669895299345803</v>
      </c>
      <c r="Q101">
        <f t="shared" si="10"/>
        <v>0.7325171228691798</v>
      </c>
      <c r="R101">
        <f t="shared" si="11"/>
        <v>0.5081773299685225</v>
      </c>
      <c r="S101">
        <f t="shared" si="12"/>
        <v>0.94804444338497063</v>
      </c>
      <c r="T101">
        <f t="shared" si="13"/>
        <v>0.56644817529155034</v>
      </c>
    </row>
    <row r="102" spans="2:20" x14ac:dyDescent="0.2">
      <c r="B102">
        <v>1129</v>
      </c>
      <c r="C102">
        <v>20.868450546264601</v>
      </c>
      <c r="D102">
        <v>10.0035444259644</v>
      </c>
      <c r="E102">
        <v>5.7520130276680002</v>
      </c>
      <c r="F102" s="13">
        <v>7.6051200870000004</v>
      </c>
      <c r="G102">
        <v>11.5343185424805</v>
      </c>
      <c r="H102">
        <v>15.7524221420288</v>
      </c>
      <c r="I102">
        <v>14.0741678237915</v>
      </c>
      <c r="N102">
        <f t="shared" si="7"/>
        <v>0.64478001836946308</v>
      </c>
      <c r="O102">
        <f t="shared" si="8"/>
        <v>0.69252672847700092</v>
      </c>
      <c r="P102">
        <f t="shared" si="9"/>
        <v>0.62569824234274607</v>
      </c>
      <c r="Q102">
        <f t="shared" si="10"/>
        <v>0.7231602216975006</v>
      </c>
      <c r="R102">
        <f t="shared" si="11"/>
        <v>0.47776621465172797</v>
      </c>
      <c r="S102">
        <f t="shared" si="12"/>
        <v>0.91922972796362012</v>
      </c>
      <c r="T102">
        <f t="shared" si="13"/>
        <v>0.53240220586558396</v>
      </c>
    </row>
    <row r="103" spans="2:20" x14ac:dyDescent="0.2">
      <c r="B103">
        <v>1131</v>
      </c>
      <c r="C103">
        <v>19.963472366333001</v>
      </c>
      <c r="D103">
        <v>9.5135623931884794</v>
      </c>
      <c r="E103">
        <v>5.6497862011194204</v>
      </c>
      <c r="F103" s="13">
        <v>7.4695429329999996</v>
      </c>
      <c r="G103">
        <v>11.161633491516101</v>
      </c>
      <c r="H103">
        <v>15.105399131774901</v>
      </c>
      <c r="I103">
        <v>13.179407119751</v>
      </c>
      <c r="N103">
        <f t="shared" si="7"/>
        <v>0.61725224076051299</v>
      </c>
      <c r="O103">
        <f t="shared" si="8"/>
        <v>0.66644312072598966</v>
      </c>
      <c r="P103">
        <f t="shared" si="9"/>
        <v>0.61528900433480394</v>
      </c>
      <c r="Q103">
        <f t="shared" si="10"/>
        <v>0.71347725598738188</v>
      </c>
      <c r="R103">
        <f t="shared" si="11"/>
        <v>0.46588333054846059</v>
      </c>
      <c r="S103">
        <f t="shared" si="12"/>
        <v>0.89215219035130311</v>
      </c>
      <c r="T103">
        <f t="shared" si="13"/>
        <v>0.49855490643607681</v>
      </c>
    </row>
    <row r="104" spans="2:20" x14ac:dyDescent="0.2">
      <c r="B104">
        <v>1133</v>
      </c>
      <c r="C104">
        <v>19.0190944671631</v>
      </c>
      <c r="D104">
        <v>9.0190740585327092</v>
      </c>
      <c r="E104">
        <v>5.4713146954774903</v>
      </c>
      <c r="F104" s="13">
        <v>7.1611103060000003</v>
      </c>
      <c r="G104">
        <v>10.3792863845825</v>
      </c>
      <c r="H104">
        <v>14.4658246994019</v>
      </c>
      <c r="I104">
        <v>12.242653274536099</v>
      </c>
      <c r="N104">
        <f t="shared" si="7"/>
        <v>0.58852599590329291</v>
      </c>
      <c r="O104">
        <f t="shared" si="8"/>
        <v>0.64011962538159906</v>
      </c>
      <c r="P104">
        <f t="shared" si="9"/>
        <v>0.59711615829639342</v>
      </c>
      <c r="Q104">
        <f t="shared" si="10"/>
        <v>0.6914488945488253</v>
      </c>
      <c r="R104">
        <f t="shared" si="11"/>
        <v>0.44093856827221212</v>
      </c>
      <c r="S104">
        <f t="shared" si="12"/>
        <v>0.86538637140205055</v>
      </c>
      <c r="T104">
        <f t="shared" si="13"/>
        <v>0.46311907678067021</v>
      </c>
    </row>
    <row r="105" spans="2:20" x14ac:dyDescent="0.2">
      <c r="B105">
        <v>1135</v>
      </c>
      <c r="C105">
        <v>18.380771255493201</v>
      </c>
      <c r="D105">
        <v>8.6186917304992701</v>
      </c>
      <c r="E105">
        <v>5.3481115847826004</v>
      </c>
      <c r="F105" s="13">
        <v>6.8742049219999997</v>
      </c>
      <c r="G105">
        <v>9.9166442871093707</v>
      </c>
      <c r="H105">
        <v>13.8762674331665</v>
      </c>
      <c r="I105">
        <v>11.407700920105</v>
      </c>
      <c r="N105">
        <f t="shared" si="7"/>
        <v>0.56910937370936576</v>
      </c>
      <c r="O105">
        <f t="shared" si="8"/>
        <v>0.61880575079788147</v>
      </c>
      <c r="P105">
        <f t="shared" si="9"/>
        <v>0.58457101192101901</v>
      </c>
      <c r="Q105">
        <f t="shared" si="10"/>
        <v>0.670958016009507</v>
      </c>
      <c r="R105">
        <f t="shared" si="11"/>
        <v>0.42618744688609872</v>
      </c>
      <c r="S105">
        <f t="shared" si="12"/>
        <v>0.84071374183847525</v>
      </c>
      <c r="T105">
        <f t="shared" si="13"/>
        <v>0.43153422708601691</v>
      </c>
    </row>
    <row r="106" spans="2:20" x14ac:dyDescent="0.2">
      <c r="B106">
        <v>1137</v>
      </c>
      <c r="C106">
        <v>17.959755706787099</v>
      </c>
      <c r="D106">
        <v>8.3332407951355005</v>
      </c>
      <c r="E106">
        <v>5.1663827985525099</v>
      </c>
      <c r="F106" s="13">
        <v>6.7458739760000004</v>
      </c>
      <c r="G106">
        <v>9.8049292564392108</v>
      </c>
      <c r="H106">
        <v>13.3861268997192</v>
      </c>
      <c r="I106">
        <v>10.644865989685099</v>
      </c>
      <c r="N106">
        <f t="shared" si="7"/>
        <v>0.55630285234598043</v>
      </c>
      <c r="O106">
        <f t="shared" si="8"/>
        <v>0.60361011150473021</v>
      </c>
      <c r="P106">
        <f t="shared" si="9"/>
        <v>0.56606649356091421</v>
      </c>
      <c r="Q106">
        <f t="shared" si="10"/>
        <v>0.66179257689972104</v>
      </c>
      <c r="R106">
        <f t="shared" si="11"/>
        <v>0.4226254667138023</v>
      </c>
      <c r="S106">
        <f t="shared" si="12"/>
        <v>0.8202016448660161</v>
      </c>
      <c r="T106">
        <f t="shared" si="13"/>
        <v>0.40267745880304046</v>
      </c>
    </row>
    <row r="107" spans="2:20" x14ac:dyDescent="0.2">
      <c r="B107">
        <v>1139</v>
      </c>
      <c r="C107">
        <v>17.8516933441162</v>
      </c>
      <c r="D107">
        <v>8.0978142738342296</v>
      </c>
      <c r="E107">
        <v>5.1046250566840197</v>
      </c>
      <c r="F107" s="13">
        <v>6.5123627659999999</v>
      </c>
      <c r="G107">
        <v>9.7615814208984393</v>
      </c>
      <c r="H107">
        <v>13.129304504394501</v>
      </c>
      <c r="I107">
        <v>9.8915465354919405</v>
      </c>
      <c r="N107">
        <f t="shared" si="7"/>
        <v>0.55301579332790873</v>
      </c>
      <c r="O107">
        <f t="shared" si="8"/>
        <v>0.59107746209100009</v>
      </c>
      <c r="P107">
        <f t="shared" si="9"/>
        <v>0.55977801669386917</v>
      </c>
      <c r="Q107">
        <f t="shared" si="10"/>
        <v>0.64511512813605731</v>
      </c>
      <c r="R107">
        <f t="shared" si="11"/>
        <v>0.42124334176801881</v>
      </c>
      <c r="S107">
        <f t="shared" si="12"/>
        <v>0.80945377661576479</v>
      </c>
      <c r="T107">
        <f t="shared" si="13"/>
        <v>0.37418064505495413</v>
      </c>
    </row>
    <row r="108" spans="2:20" x14ac:dyDescent="0.2">
      <c r="B108">
        <v>1141</v>
      </c>
      <c r="C108">
        <v>17.9585884094238</v>
      </c>
      <c r="D108">
        <v>8.0471097946167003</v>
      </c>
      <c r="E108">
        <v>5.1141876146197296</v>
      </c>
      <c r="F108" s="13">
        <v>6.2961277009999996</v>
      </c>
      <c r="G108">
        <v>10.0079710006714</v>
      </c>
      <c r="H108">
        <v>12.9923206329346</v>
      </c>
      <c r="I108">
        <v>9.3299963951110794</v>
      </c>
      <c r="N108">
        <f t="shared" si="7"/>
        <v>0.55626734529958632</v>
      </c>
      <c r="O108">
        <f t="shared" si="8"/>
        <v>0.58837826975605545</v>
      </c>
      <c r="P108">
        <f t="shared" si="9"/>
        <v>0.56075172335070489</v>
      </c>
      <c r="Q108">
        <f t="shared" si="10"/>
        <v>0.6296715474298249</v>
      </c>
      <c r="R108">
        <f t="shared" si="11"/>
        <v>0.42909935534602123</v>
      </c>
      <c r="S108">
        <f t="shared" si="12"/>
        <v>0.8037210810656007</v>
      </c>
      <c r="T108">
        <f t="shared" si="13"/>
        <v>0.35293814338906465</v>
      </c>
    </row>
    <row r="109" spans="2:20" x14ac:dyDescent="0.2">
      <c r="B109">
        <v>1143</v>
      </c>
      <c r="C109">
        <v>18.191815948486301</v>
      </c>
      <c r="D109">
        <v>8.0187462806701699</v>
      </c>
      <c r="E109">
        <v>5.0646171599626504</v>
      </c>
      <c r="F109" s="13">
        <v>6.2892888549999997</v>
      </c>
      <c r="G109">
        <v>10.056824207305899</v>
      </c>
      <c r="H109">
        <v>13.008599281311</v>
      </c>
      <c r="I109">
        <v>8.8353192329406696</v>
      </c>
      <c r="N109">
        <f t="shared" si="7"/>
        <v>0.56336169958344384</v>
      </c>
      <c r="O109">
        <f t="shared" si="8"/>
        <v>0.586868371999131</v>
      </c>
      <c r="P109">
        <f t="shared" si="9"/>
        <v>0.55570421597804642</v>
      </c>
      <c r="Q109">
        <f t="shared" si="10"/>
        <v>0.62918311475985766</v>
      </c>
      <c r="R109">
        <f t="shared" si="11"/>
        <v>0.43065701640864906</v>
      </c>
      <c r="S109">
        <f t="shared" si="12"/>
        <v>0.80440233305618558</v>
      </c>
      <c r="T109">
        <f t="shared" si="13"/>
        <v>0.33422533453043735</v>
      </c>
    </row>
    <row r="110" spans="2:20" x14ac:dyDescent="0.2">
      <c r="B110">
        <v>1145</v>
      </c>
      <c r="C110">
        <v>18.607179260253901</v>
      </c>
      <c r="D110">
        <v>7.9902248382568404</v>
      </c>
      <c r="E110">
        <v>5.2284094050526599</v>
      </c>
      <c r="F110" s="13">
        <v>6.3954315189999997</v>
      </c>
      <c r="G110">
        <v>10.547656440734899</v>
      </c>
      <c r="H110">
        <v>13.170458793640099</v>
      </c>
      <c r="I110">
        <v>8.6980565071106</v>
      </c>
      <c r="N110">
        <f t="shared" si="7"/>
        <v>0.57599629025845833</v>
      </c>
      <c r="O110">
        <f t="shared" si="8"/>
        <v>0.58535006710907689</v>
      </c>
      <c r="P110">
        <f t="shared" si="9"/>
        <v>0.57238234754644524</v>
      </c>
      <c r="Q110">
        <f t="shared" si="10"/>
        <v>0.63676385934380619</v>
      </c>
      <c r="R110">
        <f t="shared" si="11"/>
        <v>0.44630696675919806</v>
      </c>
      <c r="S110">
        <f t="shared" si="12"/>
        <v>0.81117605974526052</v>
      </c>
      <c r="T110">
        <f t="shared" si="13"/>
        <v>0.32903291541692381</v>
      </c>
    </row>
    <row r="111" spans="2:20" x14ac:dyDescent="0.2">
      <c r="B111">
        <v>1147</v>
      </c>
      <c r="C111">
        <v>19.2127876281738</v>
      </c>
      <c r="D111">
        <v>7.9153436660766596</v>
      </c>
      <c r="E111">
        <v>5.2981809392571497</v>
      </c>
      <c r="F111" s="13">
        <v>6.4120519160000002</v>
      </c>
      <c r="G111">
        <v>11.1727802276611</v>
      </c>
      <c r="H111">
        <v>13.3443954467773</v>
      </c>
      <c r="I111">
        <v>8.6783104896545407</v>
      </c>
      <c r="N111">
        <f t="shared" si="7"/>
        <v>0.59441778686457347</v>
      </c>
      <c r="O111">
        <f t="shared" si="8"/>
        <v>0.58136385742702301</v>
      </c>
      <c r="P111">
        <f t="shared" si="9"/>
        <v>0.57948682814350916</v>
      </c>
      <c r="Q111">
        <f t="shared" si="10"/>
        <v>0.63795089365962876</v>
      </c>
      <c r="R111">
        <f t="shared" si="11"/>
        <v>0.46623873888426043</v>
      </c>
      <c r="S111">
        <f t="shared" si="12"/>
        <v>0.81845520777066838</v>
      </c>
      <c r="T111">
        <f t="shared" si="13"/>
        <v>0.32828595663525467</v>
      </c>
    </row>
    <row r="112" spans="2:20" x14ac:dyDescent="0.2">
      <c r="B112">
        <v>1149</v>
      </c>
      <c r="C112">
        <v>19.9246929168701</v>
      </c>
      <c r="D112">
        <v>7.8457266807556199</v>
      </c>
      <c r="E112">
        <v>5.4210871398448903</v>
      </c>
      <c r="F112" s="13">
        <v>6.4999517920000001</v>
      </c>
      <c r="G112">
        <v>11.715009689331101</v>
      </c>
      <c r="H112">
        <v>13.5725191116333</v>
      </c>
      <c r="I112">
        <v>8.4138985633850094</v>
      </c>
      <c r="N112">
        <f t="shared" si="7"/>
        <v>0.61607264098199355</v>
      </c>
      <c r="O112">
        <f t="shared" si="8"/>
        <v>0.57765788043918453</v>
      </c>
      <c r="P112">
        <f t="shared" si="9"/>
        <v>0.59200174167221675</v>
      </c>
      <c r="Q112">
        <f t="shared" si="10"/>
        <v>0.64422873221959498</v>
      </c>
      <c r="R112">
        <f t="shared" si="11"/>
        <v>0.48352746520620016</v>
      </c>
      <c r="S112">
        <f t="shared" si="12"/>
        <v>0.82800205080021383</v>
      </c>
      <c r="T112">
        <f t="shared" si="13"/>
        <v>0.31828369614173563</v>
      </c>
    </row>
    <row r="113" spans="2:20" x14ac:dyDescent="0.2">
      <c r="B113">
        <v>1151</v>
      </c>
      <c r="C113">
        <v>20.747850036621099</v>
      </c>
      <c r="D113">
        <v>8.0128146171569803</v>
      </c>
      <c r="E113">
        <v>5.7170814305543898</v>
      </c>
      <c r="F113" s="13">
        <v>6.6609243869999997</v>
      </c>
      <c r="G113">
        <v>12.625209236145</v>
      </c>
      <c r="H113">
        <v>13.852882766723599</v>
      </c>
      <c r="I113">
        <v>8.3400423049926804</v>
      </c>
      <c r="N113">
        <f t="shared" si="7"/>
        <v>0.64111157190013135</v>
      </c>
      <c r="O113">
        <f t="shared" si="8"/>
        <v>0.58655260698319256</v>
      </c>
      <c r="P113">
        <f t="shared" si="9"/>
        <v>0.62214133540716476</v>
      </c>
      <c r="Q113">
        <f t="shared" si="10"/>
        <v>0.65572544882462003</v>
      </c>
      <c r="R113">
        <f t="shared" si="11"/>
        <v>0.51254874120760663</v>
      </c>
      <c r="S113">
        <f t="shared" si="12"/>
        <v>0.83973510711432431</v>
      </c>
      <c r="T113">
        <f t="shared" si="13"/>
        <v>0.31548983753656934</v>
      </c>
    </row>
    <row r="114" spans="2:20" x14ac:dyDescent="0.2">
      <c r="B114">
        <v>1153</v>
      </c>
      <c r="C114">
        <v>21.485286712646499</v>
      </c>
      <c r="D114">
        <v>8.1537028312683102</v>
      </c>
      <c r="E114">
        <v>5.9403524667024596</v>
      </c>
      <c r="F114" s="13">
        <v>6.8212923050000001</v>
      </c>
      <c r="G114">
        <v>13.5711687088013</v>
      </c>
      <c r="H114">
        <v>14.157147026062001</v>
      </c>
      <c r="I114">
        <v>8.7593264579772896</v>
      </c>
      <c r="N114">
        <f t="shared" si="7"/>
        <v>0.66354304402672437</v>
      </c>
      <c r="O114">
        <f t="shared" si="8"/>
        <v>0.59405262263233993</v>
      </c>
      <c r="P114">
        <f t="shared" si="9"/>
        <v>0.64487588986817668</v>
      </c>
      <c r="Q114">
        <f t="shared" si="10"/>
        <v>0.66717897919594749</v>
      </c>
      <c r="R114">
        <f t="shared" si="11"/>
        <v>0.54271020529336755</v>
      </c>
      <c r="S114">
        <f t="shared" si="12"/>
        <v>0.85246838985041484</v>
      </c>
      <c r="T114">
        <f t="shared" si="13"/>
        <v>0.33135065508033462</v>
      </c>
    </row>
    <row r="115" spans="2:20" x14ac:dyDescent="0.2">
      <c r="B115">
        <v>1155</v>
      </c>
      <c r="C115">
        <v>22.285235595703099</v>
      </c>
      <c r="D115">
        <v>8.3228565216064396</v>
      </c>
      <c r="E115">
        <v>6.2216873198747598</v>
      </c>
      <c r="F115" s="13">
        <v>6.8210434910000002</v>
      </c>
      <c r="G115">
        <v>14.425737762451201</v>
      </c>
      <c r="H115">
        <v>14.3382616043091</v>
      </c>
      <c r="I115">
        <v>9.0739503860473594</v>
      </c>
      <c r="N115">
        <f t="shared" si="7"/>
        <v>0.68787602292017613</v>
      </c>
      <c r="O115">
        <f t="shared" si="8"/>
        <v>0.60305731711760402</v>
      </c>
      <c r="P115">
        <f t="shared" si="9"/>
        <v>0.67352278760991824</v>
      </c>
      <c r="Q115">
        <f t="shared" si="10"/>
        <v>0.66716120881680085</v>
      </c>
      <c r="R115">
        <f t="shared" si="11"/>
        <v>0.56995772970166658</v>
      </c>
      <c r="S115">
        <f t="shared" si="12"/>
        <v>0.8600479298774385</v>
      </c>
      <c r="T115">
        <f t="shared" si="13"/>
        <v>0.34325235153726052</v>
      </c>
    </row>
    <row r="116" spans="2:20" x14ac:dyDescent="0.2">
      <c r="B116">
        <v>1157</v>
      </c>
      <c r="C116">
        <v>23.047431182861299</v>
      </c>
      <c r="D116">
        <v>8.3856739044189492</v>
      </c>
      <c r="E116">
        <v>6.3056245371699298</v>
      </c>
      <c r="F116" s="13">
        <v>6.8407327650000003</v>
      </c>
      <c r="G116">
        <v>15.1491645812988</v>
      </c>
      <c r="H116">
        <v>14.4940734863281</v>
      </c>
      <c r="I116">
        <v>9.1567877769470201</v>
      </c>
      <c r="N116">
        <f t="shared" si="7"/>
        <v>0.71106061574582846</v>
      </c>
      <c r="O116">
        <f t="shared" si="8"/>
        <v>0.60640132539469105</v>
      </c>
      <c r="P116">
        <f t="shared" si="9"/>
        <v>0.68206968769523557</v>
      </c>
      <c r="Q116">
        <f t="shared" si="10"/>
        <v>0.66856742335497543</v>
      </c>
      <c r="R116">
        <f t="shared" si="11"/>
        <v>0.59302384685156684</v>
      </c>
      <c r="S116">
        <f t="shared" si="12"/>
        <v>0.86656856674653504</v>
      </c>
      <c r="T116">
        <f t="shared" si="13"/>
        <v>0.34638595134900757</v>
      </c>
    </row>
    <row r="117" spans="2:20" x14ac:dyDescent="0.2">
      <c r="B117">
        <v>1159</v>
      </c>
      <c r="C117">
        <v>23.5300506591797</v>
      </c>
      <c r="D117">
        <v>8.4545509338378899</v>
      </c>
      <c r="E117">
        <v>6.3060736328363403</v>
      </c>
      <c r="F117" s="13">
        <v>6.9299881460000003</v>
      </c>
      <c r="G117">
        <v>15.6012216567993</v>
      </c>
      <c r="H117">
        <v>14.749075698852501</v>
      </c>
      <c r="I117">
        <v>9.5026011466979998</v>
      </c>
      <c r="N117">
        <f t="shared" si="7"/>
        <v>0.72574101568082472</v>
      </c>
      <c r="O117">
        <f t="shared" si="8"/>
        <v>0.610067911714684</v>
      </c>
      <c r="P117">
        <f t="shared" si="9"/>
        <v>0.68211541682366339</v>
      </c>
      <c r="Q117">
        <f t="shared" si="10"/>
        <v>0.67494207253566696</v>
      </c>
      <c r="R117">
        <f t="shared" si="11"/>
        <v>0.60743746988885783</v>
      </c>
      <c r="S117">
        <f t="shared" si="12"/>
        <v>0.87724026140256284</v>
      </c>
      <c r="T117">
        <f t="shared" si="13"/>
        <v>0.35946749216749935</v>
      </c>
    </row>
    <row r="118" spans="2:20" x14ac:dyDescent="0.2">
      <c r="B118">
        <v>1161</v>
      </c>
      <c r="C118">
        <v>23.8965461730957</v>
      </c>
      <c r="D118">
        <v>8.4653888702392592</v>
      </c>
      <c r="E118">
        <v>6.40498944669962</v>
      </c>
      <c r="F118" s="13">
        <v>6.928456068</v>
      </c>
      <c r="G118">
        <v>15.953927230834999</v>
      </c>
      <c r="H118">
        <v>14.8167163848877</v>
      </c>
      <c r="I118">
        <v>10.0839029312134</v>
      </c>
      <c r="N118">
        <f t="shared" si="7"/>
        <v>0.73688913750904383</v>
      </c>
      <c r="O118">
        <f t="shared" si="8"/>
        <v>0.61064485630247256</v>
      </c>
      <c r="P118">
        <f t="shared" si="9"/>
        <v>0.69218751124364308</v>
      </c>
      <c r="Q118">
        <f t="shared" si="10"/>
        <v>0.67483265101219092</v>
      </c>
      <c r="R118">
        <f t="shared" si="11"/>
        <v>0.61868331795278497</v>
      </c>
      <c r="S118">
        <f t="shared" si="12"/>
        <v>0.88007098487176727</v>
      </c>
      <c r="T118">
        <f t="shared" si="13"/>
        <v>0.38145716546288466</v>
      </c>
    </row>
    <row r="119" spans="2:20" x14ac:dyDescent="0.2">
      <c r="B119">
        <v>1163</v>
      </c>
      <c r="C119">
        <v>23.9509475708008</v>
      </c>
      <c r="D119">
        <v>8.2070268630981396</v>
      </c>
      <c r="E119">
        <v>6.2717458128929104</v>
      </c>
      <c r="F119" s="13">
        <v>6.8209843640000001</v>
      </c>
      <c r="G119">
        <v>15.6616216659546</v>
      </c>
      <c r="H119">
        <v>14.507677841186499</v>
      </c>
      <c r="I119">
        <v>10.2899833679199</v>
      </c>
      <c r="N119">
        <f t="shared" si="7"/>
        <v>0.73854392832151983</v>
      </c>
      <c r="O119">
        <f t="shared" si="8"/>
        <v>0.59689126371897705</v>
      </c>
      <c r="P119">
        <f t="shared" si="9"/>
        <v>0.67861998944761026</v>
      </c>
      <c r="Q119">
        <f t="shared" si="10"/>
        <v>0.66715698594667372</v>
      </c>
      <c r="R119">
        <f t="shared" si="11"/>
        <v>0.60936329521179866</v>
      </c>
      <c r="S119">
        <f t="shared" si="12"/>
        <v>0.8671379011048681</v>
      </c>
      <c r="T119">
        <f t="shared" si="13"/>
        <v>0.38925284336455163</v>
      </c>
    </row>
    <row r="120" spans="2:20" x14ac:dyDescent="0.2">
      <c r="B120">
        <v>1165</v>
      </c>
      <c r="C120">
        <v>23.476179885864301</v>
      </c>
      <c r="D120">
        <v>7.9063647270202599</v>
      </c>
      <c r="E120">
        <v>6.0765518859028802</v>
      </c>
      <c r="F120" s="13">
        <v>6.7400047780000003</v>
      </c>
      <c r="G120">
        <v>14.653175544738801</v>
      </c>
      <c r="H120">
        <v>14.065731430053701</v>
      </c>
      <c r="I120">
        <v>10.3325814247131</v>
      </c>
      <c r="N120">
        <f t="shared" si="7"/>
        <v>0.72410236548976648</v>
      </c>
      <c r="O120">
        <f t="shared" si="8"/>
        <v>0.58088587434049943</v>
      </c>
      <c r="P120">
        <f t="shared" si="9"/>
        <v>0.65874438426310855</v>
      </c>
      <c r="Q120">
        <f t="shared" si="10"/>
        <v>0.66137339681441032</v>
      </c>
      <c r="R120">
        <f t="shared" si="11"/>
        <v>0.57720947430648539</v>
      </c>
      <c r="S120">
        <f t="shared" si="12"/>
        <v>0.84864270019171817</v>
      </c>
      <c r="T120">
        <f t="shared" si="13"/>
        <v>0.39086425653556334</v>
      </c>
    </row>
    <row r="121" spans="2:20" x14ac:dyDescent="0.2">
      <c r="B121">
        <v>1167</v>
      </c>
      <c r="C121">
        <v>22.3081352233887</v>
      </c>
      <c r="D121">
        <v>7.4460296630859402</v>
      </c>
      <c r="E121">
        <v>5.8665926612913601</v>
      </c>
      <c r="F121" s="13">
        <v>6.4497443199999998</v>
      </c>
      <c r="G121">
        <v>13.5655765533447</v>
      </c>
      <c r="H121">
        <v>13.3523151397705</v>
      </c>
      <c r="I121">
        <v>10.382422447204601</v>
      </c>
      <c r="N121">
        <f t="shared" si="7"/>
        <v>0.68857258762442641</v>
      </c>
      <c r="O121">
        <f t="shared" si="8"/>
        <v>0.55638048753340663</v>
      </c>
      <c r="P121">
        <f t="shared" si="9"/>
        <v>0.63736530389122892</v>
      </c>
      <c r="Q121">
        <f t="shared" si="10"/>
        <v>0.64064289776722305</v>
      </c>
      <c r="R121">
        <f t="shared" si="11"/>
        <v>0.54253190209873636</v>
      </c>
      <c r="S121">
        <f t="shared" si="12"/>
        <v>0.81878664232786791</v>
      </c>
      <c r="T121">
        <f t="shared" si="13"/>
        <v>0.39274965897280123</v>
      </c>
    </row>
    <row r="122" spans="2:20" x14ac:dyDescent="0.2">
      <c r="B122">
        <v>1169</v>
      </c>
      <c r="C122">
        <v>20.743008422851599</v>
      </c>
      <c r="D122">
        <v>6.9306749343872101</v>
      </c>
      <c r="E122">
        <v>5.5500067882239801</v>
      </c>
      <c r="F122" s="13">
        <v>5.8833875659999997</v>
      </c>
      <c r="G122">
        <v>11.9212089538574</v>
      </c>
      <c r="H122">
        <v>12.375821495056201</v>
      </c>
      <c r="I122">
        <v>9.86230115890503</v>
      </c>
      <c r="N122">
        <f t="shared" si="7"/>
        <v>0.64096429888286888</v>
      </c>
      <c r="O122">
        <f t="shared" si="8"/>
        <v>0.52894619464749992</v>
      </c>
      <c r="P122">
        <f t="shared" si="9"/>
        <v>0.60512897401607157</v>
      </c>
      <c r="Q122">
        <f t="shared" si="10"/>
        <v>0.60019350886298217</v>
      </c>
      <c r="R122">
        <f t="shared" si="11"/>
        <v>0.49010202985859092</v>
      </c>
      <c r="S122">
        <f t="shared" si="12"/>
        <v>0.77792094980394322</v>
      </c>
      <c r="T122">
        <f t="shared" si="13"/>
        <v>0.3730743414211492</v>
      </c>
    </row>
    <row r="123" spans="2:20" x14ac:dyDescent="0.2">
      <c r="B123">
        <v>1171</v>
      </c>
      <c r="C123">
        <v>19.0015956878662</v>
      </c>
      <c r="D123">
        <v>6.2819105148315399</v>
      </c>
      <c r="E123">
        <v>5.0496127717196897</v>
      </c>
      <c r="F123" s="13">
        <v>5.6038460250000002</v>
      </c>
      <c r="G123">
        <v>10.370994186401401</v>
      </c>
      <c r="H123">
        <v>11.496136283874501</v>
      </c>
      <c r="I123">
        <v>8.7515181541442892</v>
      </c>
      <c r="N123">
        <f t="shared" si="7"/>
        <v>0.5879937151084681</v>
      </c>
      <c r="O123">
        <f t="shared" si="8"/>
        <v>0.49440999635746685</v>
      </c>
      <c r="P123">
        <f t="shared" si="9"/>
        <v>0.55417639540826347</v>
      </c>
      <c r="Q123">
        <f t="shared" si="10"/>
        <v>0.5802285584550636</v>
      </c>
      <c r="R123">
        <f t="shared" si="11"/>
        <v>0.44067417551030136</v>
      </c>
      <c r="S123">
        <f t="shared" si="12"/>
        <v>0.74110663406048238</v>
      </c>
      <c r="T123">
        <f t="shared" si="13"/>
        <v>0.33105528001895934</v>
      </c>
    </row>
    <row r="124" spans="2:20" x14ac:dyDescent="0.2">
      <c r="B124">
        <v>1173</v>
      </c>
      <c r="C124">
        <v>17.1045211791992</v>
      </c>
      <c r="D124">
        <v>5.7111930847168004</v>
      </c>
      <c r="E124">
        <v>4.4670054599642803</v>
      </c>
      <c r="F124" s="13">
        <v>5.2477563380000003</v>
      </c>
      <c r="G124">
        <v>8.8911941528320302</v>
      </c>
      <c r="H124">
        <v>10.5771572113037</v>
      </c>
      <c r="I124">
        <v>7.9553909301757804</v>
      </c>
      <c r="N124">
        <f t="shared" si="7"/>
        <v>0.53028818547222822</v>
      </c>
      <c r="O124">
        <f t="shared" si="8"/>
        <v>0.46402853624669183</v>
      </c>
      <c r="P124">
        <f t="shared" si="9"/>
        <v>0.49485245493215524</v>
      </c>
      <c r="Q124">
        <f t="shared" si="10"/>
        <v>0.55479651384268069</v>
      </c>
      <c r="R124">
        <f t="shared" si="11"/>
        <v>0.39349146117976141</v>
      </c>
      <c r="S124">
        <f t="shared" si="12"/>
        <v>0.70264789301400321</v>
      </c>
      <c r="T124">
        <f t="shared" si="13"/>
        <v>0.30093912000884715</v>
      </c>
    </row>
    <row r="125" spans="2:20" x14ac:dyDescent="0.2">
      <c r="B125">
        <v>1175</v>
      </c>
      <c r="C125">
        <v>15.3649606704712</v>
      </c>
      <c r="D125">
        <v>5.30621433258057</v>
      </c>
      <c r="E125">
        <v>4.2069883782416602</v>
      </c>
      <c r="F125" s="13">
        <v>4.8516569609999998</v>
      </c>
      <c r="G125">
        <v>7.5461719512939496</v>
      </c>
      <c r="H125">
        <v>9.8198320388793903</v>
      </c>
      <c r="I125">
        <v>6.9761419296264604</v>
      </c>
      <c r="N125">
        <f t="shared" si="7"/>
        <v>0.47737394302585701</v>
      </c>
      <c r="O125">
        <f t="shared" si="8"/>
        <v>0.442469976520796</v>
      </c>
      <c r="P125">
        <f t="shared" si="9"/>
        <v>0.46837623747376544</v>
      </c>
      <c r="Q125">
        <f t="shared" si="10"/>
        <v>0.52650696378109441</v>
      </c>
      <c r="R125">
        <f t="shared" si="11"/>
        <v>0.35060607338156591</v>
      </c>
      <c r="S125">
        <f t="shared" si="12"/>
        <v>0.6709542739060419</v>
      </c>
      <c r="T125">
        <f t="shared" si="13"/>
        <v>0.26389576977233725</v>
      </c>
    </row>
    <row r="126" spans="2:20" x14ac:dyDescent="0.2">
      <c r="B126">
        <v>1177</v>
      </c>
      <c r="C126">
        <v>13.913831329345699</v>
      </c>
      <c r="D126">
        <v>5.0409339904785204</v>
      </c>
      <c r="E126">
        <v>3.8817539259791398</v>
      </c>
      <c r="F126" s="13">
        <v>4.5775849339999999</v>
      </c>
      <c r="G126">
        <v>6.8212920188903796</v>
      </c>
      <c r="H126">
        <v>9.2786248207092292</v>
      </c>
      <c r="I126">
        <v>5.5035879135131802</v>
      </c>
      <c r="N126">
        <f t="shared" si="7"/>
        <v>0.43323324806750535</v>
      </c>
      <c r="O126">
        <f t="shared" si="8"/>
        <v>0.42834809464638779</v>
      </c>
      <c r="P126">
        <f t="shared" si="9"/>
        <v>0.43525926675009297</v>
      </c>
      <c r="Q126">
        <f t="shared" si="10"/>
        <v>0.50693264789345049</v>
      </c>
      <c r="R126">
        <f t="shared" si="11"/>
        <v>0.32749362440287394</v>
      </c>
      <c r="S126">
        <f t="shared" si="12"/>
        <v>0.64830506580398473</v>
      </c>
      <c r="T126">
        <f t="shared" si="13"/>
        <v>0.20819151668608038</v>
      </c>
    </row>
    <row r="127" spans="2:20" x14ac:dyDescent="0.2">
      <c r="B127">
        <v>1179</v>
      </c>
      <c r="C127">
        <v>12.741777229309101</v>
      </c>
      <c r="D127">
        <v>4.7113496780395501</v>
      </c>
      <c r="E127">
        <v>3.1109859198331802</v>
      </c>
      <c r="F127" s="13">
        <v>4.2266078709999997</v>
      </c>
      <c r="G127">
        <v>6.0848316192627001</v>
      </c>
      <c r="H127">
        <v>8.8558509826660199</v>
      </c>
      <c r="I127">
        <v>4.4256688117980998</v>
      </c>
      <c r="N127">
        <f t="shared" si="7"/>
        <v>0.39758151045997081</v>
      </c>
      <c r="O127">
        <f t="shared" si="8"/>
        <v>0.41080306778521647</v>
      </c>
      <c r="P127">
        <f t="shared" si="9"/>
        <v>0.35677587940687366</v>
      </c>
      <c r="Q127">
        <f t="shared" si="10"/>
        <v>0.48186574859810771</v>
      </c>
      <c r="R127">
        <f t="shared" si="11"/>
        <v>0.30401193778095026</v>
      </c>
      <c r="S127">
        <f t="shared" si="12"/>
        <v>0.63061222595177235</v>
      </c>
      <c r="T127">
        <f t="shared" si="13"/>
        <v>0.16741564171550924</v>
      </c>
    </row>
    <row r="128" spans="2:20" x14ac:dyDescent="0.2">
      <c r="B128">
        <v>1181</v>
      </c>
      <c r="C128">
        <v>11.7484218597412</v>
      </c>
      <c r="D128">
        <v>4.4368867874145499</v>
      </c>
      <c r="E128">
        <v>2.7444307237863499</v>
      </c>
      <c r="F128" s="13">
        <v>3.9867907520000001</v>
      </c>
      <c r="G128">
        <v>5.4278302192687997</v>
      </c>
      <c r="H128">
        <v>8.4874456405639709</v>
      </c>
      <c r="I128">
        <v>3.6918404102325399</v>
      </c>
      <c r="N128">
        <f t="shared" si="7"/>
        <v>0.36736546071809933</v>
      </c>
      <c r="O128">
        <f t="shared" si="8"/>
        <v>0.39619236391774382</v>
      </c>
      <c r="P128">
        <f t="shared" si="9"/>
        <v>0.31945142742570876</v>
      </c>
      <c r="Q128">
        <f t="shared" si="10"/>
        <v>0.46473792970336636</v>
      </c>
      <c r="R128">
        <f t="shared" si="11"/>
        <v>0.2830637632523248</v>
      </c>
      <c r="S128">
        <f t="shared" si="12"/>
        <v>0.61519467611311618</v>
      </c>
      <c r="T128">
        <f t="shared" si="13"/>
        <v>0.13965614185649239</v>
      </c>
    </row>
    <row r="129" spans="2:20" x14ac:dyDescent="0.2">
      <c r="B129">
        <v>1183</v>
      </c>
      <c r="C129">
        <v>10.9686546325684</v>
      </c>
      <c r="D129">
        <v>4.0911440849304199</v>
      </c>
      <c r="E129">
        <v>2.5740738630294802</v>
      </c>
      <c r="F129" s="13">
        <v>3.8488605979999999</v>
      </c>
      <c r="G129">
        <v>5.0109519481658902</v>
      </c>
      <c r="H129">
        <v>8.1361709594726594</v>
      </c>
      <c r="I129">
        <v>2.9489816188812301</v>
      </c>
      <c r="N129">
        <f t="shared" si="7"/>
        <v>0.34364637080812727</v>
      </c>
      <c r="O129">
        <f t="shared" si="8"/>
        <v>0.37778716447955363</v>
      </c>
      <c r="P129">
        <f t="shared" si="9"/>
        <v>0.30210485441963564</v>
      </c>
      <c r="Q129">
        <f t="shared" si="10"/>
        <v>0.45488691194580672</v>
      </c>
      <c r="R129">
        <f t="shared" si="11"/>
        <v>0.26977179952083735</v>
      </c>
      <c r="S129">
        <f t="shared" si="12"/>
        <v>0.60049403449950156</v>
      </c>
      <c r="T129">
        <f t="shared" si="13"/>
        <v>0.11155503747051858</v>
      </c>
    </row>
    <row r="130" spans="2:20" x14ac:dyDescent="0.2">
      <c r="B130">
        <v>1185</v>
      </c>
      <c r="C130">
        <v>10.393546676635699</v>
      </c>
      <c r="D130">
        <v>3.8610764980316201</v>
      </c>
      <c r="E130">
        <v>2.6426399908959901</v>
      </c>
      <c r="F130" s="13">
        <v>3.6004993440000002</v>
      </c>
      <c r="G130">
        <v>4.7472287178039503</v>
      </c>
      <c r="H130">
        <v>7.9445299148559601</v>
      </c>
      <c r="I130">
        <v>2.4079440832138101</v>
      </c>
      <c r="N130">
        <f t="shared" si="7"/>
        <v>0.32615264083416279</v>
      </c>
      <c r="O130">
        <f t="shared" si="8"/>
        <v>0.36553979153223903</v>
      </c>
      <c r="P130">
        <f t="shared" si="9"/>
        <v>0.30908659461780491</v>
      </c>
      <c r="Q130">
        <f t="shared" si="10"/>
        <v>0.43714886807003628</v>
      </c>
      <c r="R130">
        <f t="shared" si="11"/>
        <v>0.26136311080734886</v>
      </c>
      <c r="S130">
        <f t="shared" si="12"/>
        <v>0.5924739679617812</v>
      </c>
      <c r="T130">
        <f t="shared" si="13"/>
        <v>9.1088493298828066E-2</v>
      </c>
    </row>
    <row r="131" spans="2:20" x14ac:dyDescent="0.2">
      <c r="B131">
        <v>1187</v>
      </c>
      <c r="C131">
        <v>10.0040386199951</v>
      </c>
      <c r="D131">
        <v>3.9115012645721401</v>
      </c>
      <c r="E131">
        <v>2.7485229969024698</v>
      </c>
      <c r="F131" s="13">
        <v>3.6420619009999999</v>
      </c>
      <c r="G131">
        <v>4.5450964450836198</v>
      </c>
      <c r="H131">
        <v>7.9839273452758803</v>
      </c>
      <c r="I131">
        <v>1.88703038692474</v>
      </c>
      <c r="N131">
        <f t="shared" si="7"/>
        <v>0.31430451963315537</v>
      </c>
      <c r="O131">
        <f t="shared" si="8"/>
        <v>0.36822409369721398</v>
      </c>
      <c r="P131">
        <f t="shared" si="9"/>
        <v>0.31986812279127358</v>
      </c>
      <c r="Q131">
        <f t="shared" si="10"/>
        <v>0.44011727980005277</v>
      </c>
      <c r="R131">
        <f t="shared" si="11"/>
        <v>0.25491822023808602</v>
      </c>
      <c r="S131">
        <f t="shared" si="12"/>
        <v>0.59412272756865425</v>
      </c>
      <c r="T131">
        <f t="shared" si="13"/>
        <v>7.1383200279579201E-2</v>
      </c>
    </row>
    <row r="132" spans="2:20" x14ac:dyDescent="0.2">
      <c r="B132">
        <v>1189</v>
      </c>
      <c r="C132">
        <v>9.8204687118530298</v>
      </c>
      <c r="D132">
        <v>3.9641204833984398</v>
      </c>
      <c r="E132">
        <v>2.1171078696847001</v>
      </c>
      <c r="F132" s="13">
        <v>3.5997060300000001</v>
      </c>
      <c r="G132">
        <v>4.6168746948242196</v>
      </c>
      <c r="H132">
        <v>8.0722657203674295</v>
      </c>
      <c r="I132">
        <v>1.6593509316444399</v>
      </c>
      <c r="N132">
        <f t="shared" si="7"/>
        <v>0.30872065947045813</v>
      </c>
      <c r="O132">
        <f t="shared" si="8"/>
        <v>0.37102521490619822</v>
      </c>
      <c r="P132">
        <f t="shared" si="9"/>
        <v>0.25557433061431079</v>
      </c>
      <c r="Q132">
        <f t="shared" si="10"/>
        <v>0.43709220931867054</v>
      </c>
      <c r="R132">
        <f t="shared" si="11"/>
        <v>0.25720683530487171</v>
      </c>
      <c r="S132">
        <f t="shared" si="12"/>
        <v>0.59781963731721754</v>
      </c>
      <c r="T132">
        <f t="shared" si="13"/>
        <v>6.2770467666245111E-2</v>
      </c>
    </row>
    <row r="133" spans="2:20" x14ac:dyDescent="0.2">
      <c r="B133">
        <v>1191</v>
      </c>
      <c r="C133">
        <v>9.7865262985229506</v>
      </c>
      <c r="D133">
        <v>4.0177303314208999</v>
      </c>
      <c r="E133">
        <v>2.9315906584262801</v>
      </c>
      <c r="F133" s="13">
        <v>3.4387884620000002</v>
      </c>
      <c r="G133">
        <v>4.7233576297760003</v>
      </c>
      <c r="H133">
        <v>8.2441979408264192</v>
      </c>
      <c r="I133">
        <v>1.6571561932563801</v>
      </c>
      <c r="N133">
        <f t="shared" si="7"/>
        <v>0.30768819346588316</v>
      </c>
      <c r="O133">
        <f t="shared" si="8"/>
        <v>0.37387907107616247</v>
      </c>
      <c r="P133">
        <f t="shared" si="9"/>
        <v>0.33850897201545604</v>
      </c>
      <c r="Q133">
        <f t="shared" si="10"/>
        <v>0.42559942276040053</v>
      </c>
      <c r="R133">
        <f t="shared" si="11"/>
        <v>0.26060199261459871</v>
      </c>
      <c r="S133">
        <f t="shared" si="12"/>
        <v>0.60501490099790267</v>
      </c>
      <c r="T133">
        <f t="shared" si="13"/>
        <v>6.2687444387445931E-2</v>
      </c>
    </row>
    <row r="134" spans="2:20" x14ac:dyDescent="0.2">
      <c r="B134">
        <v>1193</v>
      </c>
      <c r="C134">
        <v>9.8562017440795895</v>
      </c>
      <c r="D134">
        <v>4.0345883846283002</v>
      </c>
      <c r="E134">
        <v>2.3045221261680102</v>
      </c>
      <c r="F134" s="13">
        <v>3.5416485789999999</v>
      </c>
      <c r="G134">
        <v>4.9106719970703097</v>
      </c>
      <c r="H134">
        <v>8.5153026580810494</v>
      </c>
      <c r="I134">
        <v>1.3517030000686601</v>
      </c>
      <c r="N134">
        <f t="shared" ref="N134:N197" si="14">C134/$L$8+0.01</f>
        <v>0.30980759282005615</v>
      </c>
      <c r="O134">
        <f t="shared" ref="O134:O197" si="15">D134/$L$9+0.16</f>
        <v>0.3747764893851897</v>
      </c>
      <c r="P134">
        <f t="shared" ref="P134:P197" si="16">E134/$L$10+0.04</f>
        <v>0.27465777150435167</v>
      </c>
      <c r="Q134">
        <f t="shared" ref="Q134:Q197" si="17">F134/$L$11+0.18</f>
        <v>0.43294572673909154</v>
      </c>
      <c r="R134">
        <f t="shared" ref="R134:R197" si="18">G134/$L$12+0.11</f>
        <v>0.266574421376298</v>
      </c>
      <c r="S134">
        <f t="shared" ref="S134:S197" si="19">H134/$L$13+0.26</f>
        <v>0.6163604761351118</v>
      </c>
      <c r="T134">
        <f t="shared" ref="T134:T197" si="20">I134/$L$14</f>
        <v>5.1132661477516238E-2</v>
      </c>
    </row>
    <row r="135" spans="2:20" x14ac:dyDescent="0.2">
      <c r="B135">
        <v>1195</v>
      </c>
      <c r="C135">
        <v>9.9439167022705099</v>
      </c>
      <c r="D135">
        <v>4.0421299457550104</v>
      </c>
      <c r="E135">
        <v>2.4867000102996801</v>
      </c>
      <c r="F135" s="13">
        <v>3.6270993229999999</v>
      </c>
      <c r="G135">
        <v>5.0188790798187304</v>
      </c>
      <c r="H135">
        <v>8.7768857002258294</v>
      </c>
      <c r="I135">
        <v>1.18315762281418</v>
      </c>
      <c r="N135">
        <f t="shared" si="14"/>
        <v>0.3124757210861327</v>
      </c>
      <c r="O135">
        <f t="shared" si="15"/>
        <v>0.3751779553759832</v>
      </c>
      <c r="P135">
        <f t="shared" si="16"/>
        <v>0.29320801922048012</v>
      </c>
      <c r="Q135">
        <f t="shared" si="17"/>
        <v>0.43904864747200595</v>
      </c>
      <c r="R135">
        <f t="shared" si="18"/>
        <v>0.27002455231158728</v>
      </c>
      <c r="S135">
        <f t="shared" si="19"/>
        <v>0.62730757469292064</v>
      </c>
      <c r="T135">
        <f t="shared" si="20"/>
        <v>4.4756872033891539E-2</v>
      </c>
    </row>
    <row r="136" spans="2:20" x14ac:dyDescent="0.2">
      <c r="B136">
        <v>1197</v>
      </c>
      <c r="C136">
        <v>10.1224422454834</v>
      </c>
      <c r="D136">
        <v>4.1733324050903304</v>
      </c>
      <c r="E136">
        <v>2.4010311909019899</v>
      </c>
      <c r="F136" s="13">
        <v>3.8044927120000001</v>
      </c>
      <c r="G136">
        <v>5.00139017105103</v>
      </c>
      <c r="H136">
        <v>9.0508404731750502</v>
      </c>
      <c r="I136">
        <v>1.2006529808044399</v>
      </c>
      <c r="N136">
        <f t="shared" si="14"/>
        <v>0.31790614091288794</v>
      </c>
      <c r="O136">
        <f t="shared" si="15"/>
        <v>0.38216236144875765</v>
      </c>
      <c r="P136">
        <f t="shared" si="16"/>
        <v>0.28448479889683842</v>
      </c>
      <c r="Q136">
        <f t="shared" si="17"/>
        <v>0.4517181426797956</v>
      </c>
      <c r="R136">
        <f t="shared" si="18"/>
        <v>0.26946692684353746</v>
      </c>
      <c r="S136">
        <f t="shared" si="19"/>
        <v>0.63877242300750448</v>
      </c>
      <c r="T136">
        <f t="shared" si="20"/>
        <v>4.541869213601344E-2</v>
      </c>
    </row>
    <row r="137" spans="2:20" x14ac:dyDescent="0.2">
      <c r="B137">
        <v>1199</v>
      </c>
      <c r="C137">
        <v>10.302336692810099</v>
      </c>
      <c r="D137">
        <v>4.4834815979003899</v>
      </c>
      <c r="E137">
        <v>2.2383434735238601</v>
      </c>
      <c r="F137" s="13">
        <v>3.9944149969999998</v>
      </c>
      <c r="G137">
        <v>5.05929341316223</v>
      </c>
      <c r="H137">
        <v>9.3242984771728494</v>
      </c>
      <c r="I137">
        <v>1.1196313560008999</v>
      </c>
      <c r="N137">
        <f t="shared" si="14"/>
        <v>0.32337820029388725</v>
      </c>
      <c r="O137">
        <f t="shared" si="15"/>
        <v>0.39867278295078451</v>
      </c>
      <c r="P137">
        <f t="shared" si="16"/>
        <v>0.26791913576972359</v>
      </c>
      <c r="Q137">
        <f t="shared" si="17"/>
        <v>0.46528245583275052</v>
      </c>
      <c r="R137">
        <f t="shared" si="18"/>
        <v>0.27131314394677336</v>
      </c>
      <c r="S137">
        <f t="shared" si="19"/>
        <v>0.65021648182966896</v>
      </c>
      <c r="T137">
        <f t="shared" si="20"/>
        <v>4.2353779715735236E-2</v>
      </c>
    </row>
    <row r="138" spans="2:20" x14ac:dyDescent="0.2">
      <c r="B138">
        <v>1201</v>
      </c>
      <c r="C138">
        <v>10.290345954895001</v>
      </c>
      <c r="D138">
        <v>4.6267367362976097</v>
      </c>
      <c r="E138">
        <v>2.17603358924389</v>
      </c>
      <c r="F138" s="13">
        <v>4.0617017750000004</v>
      </c>
      <c r="G138">
        <v>5.2592811584472701</v>
      </c>
      <c r="H138">
        <v>9.5354765892028794</v>
      </c>
      <c r="I138">
        <v>1.06250686049461</v>
      </c>
      <c r="N138">
        <f t="shared" si="14"/>
        <v>0.32301346402287684</v>
      </c>
      <c r="O138">
        <f t="shared" si="15"/>
        <v>0.40629879898468013</v>
      </c>
      <c r="P138">
        <f t="shared" si="16"/>
        <v>0.26157443704810851</v>
      </c>
      <c r="Q138">
        <f t="shared" si="17"/>
        <v>0.47008810003530088</v>
      </c>
      <c r="R138">
        <f t="shared" si="18"/>
        <v>0.27768965728731754</v>
      </c>
      <c r="S138">
        <f t="shared" si="19"/>
        <v>0.65905416330431588</v>
      </c>
      <c r="T138">
        <f t="shared" si="20"/>
        <v>4.0192855688305655E-2</v>
      </c>
    </row>
    <row r="139" spans="2:20" x14ac:dyDescent="0.2">
      <c r="B139">
        <v>1203</v>
      </c>
      <c r="C139">
        <v>10.141879272460899</v>
      </c>
      <c r="D139">
        <v>4.5580718040466301</v>
      </c>
      <c r="E139">
        <v>2.12634567320347</v>
      </c>
      <c r="F139" s="13">
        <v>3.9374148369999999</v>
      </c>
      <c r="G139">
        <v>5.42717399597168</v>
      </c>
      <c r="H139">
        <v>9.5326310157775893</v>
      </c>
      <c r="I139">
        <v>1.1789599508047099</v>
      </c>
      <c r="N139">
        <f t="shared" si="14"/>
        <v>0.31849737964977798</v>
      </c>
      <c r="O139">
        <f t="shared" si="15"/>
        <v>0.40264350340386562</v>
      </c>
      <c r="P139">
        <f t="shared" si="16"/>
        <v>0.25651496917997912</v>
      </c>
      <c r="Q139">
        <f t="shared" si="17"/>
        <v>0.46121148533021822</v>
      </c>
      <c r="R139">
        <f t="shared" si="18"/>
        <v>0.28304283988723311</v>
      </c>
      <c r="S139">
        <f t="shared" si="19"/>
        <v>0.65893507770731108</v>
      </c>
      <c r="T139">
        <f t="shared" si="20"/>
        <v>4.4598081129496883E-2</v>
      </c>
    </row>
    <row r="140" spans="2:20" x14ac:dyDescent="0.2">
      <c r="B140">
        <v>1205</v>
      </c>
      <c r="C140">
        <v>10.015991973877</v>
      </c>
      <c r="D140">
        <v>4.3474654197692901</v>
      </c>
      <c r="E140">
        <v>1.9701288588345101</v>
      </c>
      <c r="F140" s="13">
        <v>3.6734138490000001</v>
      </c>
      <c r="G140">
        <v>5.3074093818664503</v>
      </c>
      <c r="H140">
        <v>9.4533123970031703</v>
      </c>
      <c r="I140">
        <v>1.2273859322071099</v>
      </c>
      <c r="N140">
        <f t="shared" si="14"/>
        <v>0.31466811875039252</v>
      </c>
      <c r="O140">
        <f t="shared" si="15"/>
        <v>0.3914321243126222</v>
      </c>
      <c r="P140">
        <f t="shared" si="16"/>
        <v>0.24060820520705792</v>
      </c>
      <c r="Q140">
        <f t="shared" si="17"/>
        <v>0.44235644641826799</v>
      </c>
      <c r="R140">
        <f t="shared" si="18"/>
        <v>0.27922420260784053</v>
      </c>
      <c r="S140">
        <f t="shared" si="19"/>
        <v>0.65561563952785828</v>
      </c>
      <c r="T140">
        <f t="shared" si="20"/>
        <v>4.6429954931389482E-2</v>
      </c>
    </row>
    <row r="141" spans="2:20" x14ac:dyDescent="0.2">
      <c r="B141">
        <v>1207</v>
      </c>
      <c r="C141">
        <v>9.8109205245971705</v>
      </c>
      <c r="D141">
        <v>4.1506990432739297</v>
      </c>
      <c r="E141">
        <v>1.7696996986866</v>
      </c>
      <c r="F141" s="13">
        <v>3.4660259249999998</v>
      </c>
      <c r="G141">
        <v>5.2585124969482404</v>
      </c>
      <c r="H141">
        <v>9.4215789794921907</v>
      </c>
      <c r="I141">
        <v>1.1713066995143899</v>
      </c>
      <c r="N141">
        <f t="shared" si="14"/>
        <v>0.30843022111384738</v>
      </c>
      <c r="O141">
        <f t="shared" si="15"/>
        <v>0.38095750149019725</v>
      </c>
      <c r="P141">
        <f t="shared" si="16"/>
        <v>0.22019952284695263</v>
      </c>
      <c r="Q141">
        <f t="shared" si="17"/>
        <v>0.42754473148298688</v>
      </c>
      <c r="R141">
        <f t="shared" si="18"/>
        <v>0.27766514888408544</v>
      </c>
      <c r="S141">
        <f t="shared" si="19"/>
        <v>0.65428761441498984</v>
      </c>
      <c r="T141">
        <f t="shared" si="20"/>
        <v>4.4308571446222952E-2</v>
      </c>
    </row>
    <row r="142" spans="2:20" x14ac:dyDescent="0.2">
      <c r="B142">
        <v>1209</v>
      </c>
      <c r="C142">
        <v>9.46065349578857</v>
      </c>
      <c r="D142">
        <v>3.9182885169982899</v>
      </c>
      <c r="E142">
        <v>1.6676814503967801</v>
      </c>
      <c r="F142" s="13">
        <v>3.2722795250000001</v>
      </c>
      <c r="G142">
        <v>5.4849754333496099</v>
      </c>
      <c r="H142">
        <v>9.2762666702270504</v>
      </c>
      <c r="I142">
        <v>1.1172385632991799</v>
      </c>
      <c r="N142">
        <f t="shared" si="14"/>
        <v>0.2977757400593764</v>
      </c>
      <c r="O142">
        <f t="shared" si="15"/>
        <v>0.36858540496609427</v>
      </c>
      <c r="P142">
        <f t="shared" si="16"/>
        <v>0.20981152330265079</v>
      </c>
      <c r="Q142">
        <f t="shared" si="17"/>
        <v>0.41370729875697648</v>
      </c>
      <c r="R142">
        <f t="shared" si="18"/>
        <v>0.28488581099537613</v>
      </c>
      <c r="S142">
        <f t="shared" si="19"/>
        <v>0.64820637857437347</v>
      </c>
      <c r="T142">
        <f t="shared" si="20"/>
        <v>4.2263264373831946E-2</v>
      </c>
    </row>
    <row r="143" spans="2:20" x14ac:dyDescent="0.2">
      <c r="B143">
        <v>1211</v>
      </c>
      <c r="C143">
        <v>9.1420169830322298</v>
      </c>
      <c r="D143">
        <v>3.7389350414276099</v>
      </c>
      <c r="E143">
        <v>1.6750372037291501</v>
      </c>
      <c r="F143" s="13">
        <v>3.2248034479999999</v>
      </c>
      <c r="G143">
        <v>5.4564466476440403</v>
      </c>
      <c r="H143">
        <v>9.0034693717956493</v>
      </c>
      <c r="I143">
        <v>0.97767488956451398</v>
      </c>
      <c r="N143">
        <f t="shared" si="14"/>
        <v>0.2880834013314848</v>
      </c>
      <c r="O143">
        <f t="shared" si="15"/>
        <v>0.35903773710761655</v>
      </c>
      <c r="P143">
        <f t="shared" si="16"/>
        <v>0.21056052226651834</v>
      </c>
      <c r="Q143">
        <f t="shared" si="17"/>
        <v>0.41031654144957674</v>
      </c>
      <c r="R143">
        <f t="shared" si="18"/>
        <v>0.28397618434609417</v>
      </c>
      <c r="S143">
        <f t="shared" si="19"/>
        <v>0.63678996989685799</v>
      </c>
      <c r="T143">
        <f t="shared" si="20"/>
        <v>3.6983804253324183E-2</v>
      </c>
    </row>
    <row r="144" spans="2:20" x14ac:dyDescent="0.2">
      <c r="B144">
        <v>1213</v>
      </c>
      <c r="C144">
        <v>8.7002300262451193</v>
      </c>
      <c r="D144">
        <v>3.8386011600494401</v>
      </c>
      <c r="E144">
        <v>1.793202095991</v>
      </c>
      <c r="F144" s="13">
        <v>3.288589859</v>
      </c>
      <c r="G144">
        <v>4.9158882617950397</v>
      </c>
      <c r="H144">
        <v>8.9467045783996593</v>
      </c>
      <c r="I144">
        <v>0.96484763622283898</v>
      </c>
      <c r="N144">
        <f t="shared" si="14"/>
        <v>0.27464505180366572</v>
      </c>
      <c r="O144">
        <f t="shared" si="15"/>
        <v>0.36434334378357902</v>
      </c>
      <c r="P144">
        <f t="shared" si="16"/>
        <v>0.2225926524740614</v>
      </c>
      <c r="Q144">
        <f t="shared" si="17"/>
        <v>0.41487218826957523</v>
      </c>
      <c r="R144">
        <f t="shared" si="18"/>
        <v>0.26674073947522775</v>
      </c>
      <c r="S144">
        <f t="shared" si="19"/>
        <v>0.63441439622501572</v>
      </c>
      <c r="T144">
        <f t="shared" si="20"/>
        <v>3.6498570734738445E-2</v>
      </c>
    </row>
    <row r="145" spans="2:20" x14ac:dyDescent="0.2">
      <c r="B145">
        <v>1215</v>
      </c>
      <c r="C145">
        <v>8.2952241897583008</v>
      </c>
      <c r="D145">
        <v>3.9299696922302201</v>
      </c>
      <c r="E145">
        <v>1.9015293847769501</v>
      </c>
      <c r="F145" s="13">
        <v>3.3470659490000001</v>
      </c>
      <c r="G145">
        <v>4.4203335762023901</v>
      </c>
      <c r="H145">
        <v>8.8946658134460392</v>
      </c>
      <c r="I145">
        <v>0.85230055451393105</v>
      </c>
      <c r="N145">
        <f t="shared" si="14"/>
        <v>0.26232551654373426</v>
      </c>
      <c r="O145">
        <f t="shared" si="15"/>
        <v>0.36920723836495239</v>
      </c>
      <c r="P145">
        <f t="shared" si="16"/>
        <v>0.23362306953579204</v>
      </c>
      <c r="Q145">
        <f t="shared" si="17"/>
        <v>0.41904857018663344</v>
      </c>
      <c r="R145">
        <f t="shared" si="18"/>
        <v>0.25094021600241728</v>
      </c>
      <c r="S145">
        <f t="shared" si="19"/>
        <v>0.63223660410170734</v>
      </c>
      <c r="T145">
        <f t="shared" si="20"/>
        <v>3.2241103059508287E-2</v>
      </c>
    </row>
    <row r="146" spans="2:20" x14ac:dyDescent="0.2">
      <c r="B146">
        <v>1217</v>
      </c>
      <c r="C146">
        <v>7.9225885391235398</v>
      </c>
      <c r="D146">
        <v>4.01403551101685</v>
      </c>
      <c r="E146">
        <v>2.0011984050273899</v>
      </c>
      <c r="F146" s="13">
        <v>3.4008680820000001</v>
      </c>
      <c r="G146">
        <v>3.9643866062164301</v>
      </c>
      <c r="H146">
        <v>8.8467860221862793</v>
      </c>
      <c r="I146">
        <v>0.93673595190048198</v>
      </c>
      <c r="N146">
        <f t="shared" si="14"/>
        <v>0.25099062301004105</v>
      </c>
      <c r="O146">
        <f t="shared" si="15"/>
        <v>0.37368238172903745</v>
      </c>
      <c r="P146">
        <f t="shared" si="16"/>
        <v>0.24377185913274002</v>
      </c>
      <c r="Q146">
        <f t="shared" si="17"/>
        <v>0.42289113653059318</v>
      </c>
      <c r="R146">
        <f t="shared" si="18"/>
        <v>0.23640256554512368</v>
      </c>
      <c r="S146">
        <f t="shared" si="19"/>
        <v>0.63023286261468159</v>
      </c>
      <c r="T146">
        <f t="shared" si="20"/>
        <v>3.5435152781279095E-2</v>
      </c>
    </row>
    <row r="147" spans="2:20" x14ac:dyDescent="0.2">
      <c r="B147">
        <v>1219</v>
      </c>
      <c r="C147">
        <v>7.8794593811035201</v>
      </c>
      <c r="D147">
        <v>3.9311754703521702</v>
      </c>
      <c r="E147">
        <v>2.0648502100259098</v>
      </c>
      <c r="F147" s="13">
        <v>3.3434205530000001</v>
      </c>
      <c r="G147">
        <v>4.45184679031372</v>
      </c>
      <c r="H147">
        <v>8.9207627296447694</v>
      </c>
      <c r="I147">
        <v>1.0138303816318499</v>
      </c>
      <c r="N147">
        <f t="shared" si="14"/>
        <v>0.24967871306926648</v>
      </c>
      <c r="O147">
        <f t="shared" si="15"/>
        <v>0.36927142652179057</v>
      </c>
      <c r="P147">
        <f t="shared" si="16"/>
        <v>0.25025319881855967</v>
      </c>
      <c r="Q147">
        <f t="shared" si="17"/>
        <v>0.41878821478436701</v>
      </c>
      <c r="R147">
        <f t="shared" si="18"/>
        <v>0.25194499972002915</v>
      </c>
      <c r="S147">
        <f t="shared" si="19"/>
        <v>0.63332874490464319</v>
      </c>
      <c r="T147">
        <f t="shared" si="20"/>
        <v>3.8351505986869351E-2</v>
      </c>
    </row>
    <row r="148" spans="2:20" x14ac:dyDescent="0.2">
      <c r="B148">
        <v>1221</v>
      </c>
      <c r="C148">
        <v>8.0533723831176793</v>
      </c>
      <c r="D148">
        <v>3.9626978874206502</v>
      </c>
      <c r="E148">
        <v>2.0983991350978601</v>
      </c>
      <c r="F148" s="13">
        <v>3.525004435</v>
      </c>
      <c r="G148">
        <v>4.4738382339477498</v>
      </c>
      <c r="H148">
        <v>9.0033939361572308</v>
      </c>
      <c r="I148">
        <v>1.0845014333725</v>
      </c>
      <c r="N148">
        <f t="shared" si="14"/>
        <v>0.25496882784652275</v>
      </c>
      <c r="O148">
        <f t="shared" si="15"/>
        <v>0.37094948471000588</v>
      </c>
      <c r="P148">
        <f t="shared" si="16"/>
        <v>0.25366931528989112</v>
      </c>
      <c r="Q148">
        <f t="shared" si="17"/>
        <v>0.43175699640458193</v>
      </c>
      <c r="R148">
        <f t="shared" si="18"/>
        <v>0.25264618635279185</v>
      </c>
      <c r="S148">
        <f t="shared" si="19"/>
        <v>0.63678681295915385</v>
      </c>
      <c r="T148">
        <f t="shared" si="20"/>
        <v>4.1024873557061282E-2</v>
      </c>
    </row>
    <row r="149" spans="2:20" x14ac:dyDescent="0.2">
      <c r="B149">
        <v>1223</v>
      </c>
      <c r="C149">
        <v>8.2233228683471697</v>
      </c>
      <c r="D149">
        <v>4.1055519104003899</v>
      </c>
      <c r="E149">
        <v>2.02872021794319</v>
      </c>
      <c r="F149" s="13">
        <v>3.5525533679999999</v>
      </c>
      <c r="G149">
        <v>4.7049816608428996</v>
      </c>
      <c r="H149">
        <v>9.0878290176391605</v>
      </c>
      <c r="I149">
        <v>1.1697236299514799</v>
      </c>
      <c r="N149">
        <f t="shared" si="14"/>
        <v>0.26013841012560507</v>
      </c>
      <c r="O149">
        <f t="shared" si="15"/>
        <v>0.37855414784417751</v>
      </c>
      <c r="P149">
        <f t="shared" si="16"/>
        <v>0.24657426541612865</v>
      </c>
      <c r="Q149">
        <f t="shared" si="17"/>
        <v>0.43372455041880292</v>
      </c>
      <c r="R149">
        <f t="shared" si="18"/>
        <v>0.26001608365862577</v>
      </c>
      <c r="S149">
        <f t="shared" si="19"/>
        <v>0.64032037213462867</v>
      </c>
      <c r="T149">
        <f t="shared" si="20"/>
        <v>4.4248686575026008E-2</v>
      </c>
    </row>
    <row r="150" spans="2:20" x14ac:dyDescent="0.2">
      <c r="B150">
        <v>1225</v>
      </c>
      <c r="C150">
        <v>8.4549125671386705</v>
      </c>
      <c r="D150">
        <v>4.1523172378539996</v>
      </c>
      <c r="E150">
        <v>1.99827037155628</v>
      </c>
      <c r="F150" s="13">
        <v>3.6495020870000001</v>
      </c>
      <c r="G150">
        <v>4.8214716434478797</v>
      </c>
      <c r="H150">
        <v>9.1054341316223102</v>
      </c>
      <c r="I150">
        <v>1.20416387915611</v>
      </c>
      <c r="N150">
        <f t="shared" si="14"/>
        <v>0.26718294431021716</v>
      </c>
      <c r="O150">
        <f t="shared" si="15"/>
        <v>0.38104364414414771</v>
      </c>
      <c r="P150">
        <f t="shared" si="16"/>
        <v>0.24347371237102361</v>
      </c>
      <c r="Q150">
        <f t="shared" si="17"/>
        <v>0.44064866037406086</v>
      </c>
      <c r="R150">
        <f t="shared" si="18"/>
        <v>0.26373031088320753</v>
      </c>
      <c r="S150">
        <f t="shared" si="19"/>
        <v>0.64105713594131419</v>
      </c>
      <c r="T150">
        <f t="shared" si="20"/>
        <v>4.5551503542726898E-2</v>
      </c>
    </row>
    <row r="151" spans="2:20" x14ac:dyDescent="0.2">
      <c r="B151">
        <v>1227</v>
      </c>
      <c r="C151">
        <v>8.6144115447998004</v>
      </c>
      <c r="D151">
        <v>4.1929105281829804</v>
      </c>
      <c r="E151">
        <v>2.0981562122702599</v>
      </c>
      <c r="F151" s="13">
        <v>3.769852352</v>
      </c>
      <c r="G151">
        <v>4.8309555053710902</v>
      </c>
      <c r="H151">
        <v>9.1801317214965792</v>
      </c>
      <c r="I151">
        <v>1.1179239690303799</v>
      </c>
      <c r="N151">
        <f t="shared" si="14"/>
        <v>0.27203461088436853</v>
      </c>
      <c r="O151">
        <f t="shared" si="15"/>
        <v>0.38320457942633651</v>
      </c>
      <c r="P151">
        <f t="shared" si="16"/>
        <v>0.25364457969341975</v>
      </c>
      <c r="Q151">
        <f t="shared" si="17"/>
        <v>0.44924411657606006</v>
      </c>
      <c r="R151">
        <f t="shared" si="18"/>
        <v>0.26403269927199124</v>
      </c>
      <c r="S151">
        <f t="shared" si="19"/>
        <v>0.64418318674216013</v>
      </c>
      <c r="T151">
        <f t="shared" si="20"/>
        <v>4.2289192125140054E-2</v>
      </c>
    </row>
    <row r="152" spans="2:20" x14ac:dyDescent="0.2">
      <c r="B152">
        <v>1229</v>
      </c>
      <c r="C152">
        <v>8.6785964965820295</v>
      </c>
      <c r="D152">
        <v>4.4537611961364698</v>
      </c>
      <c r="E152">
        <v>2.1012015268206601</v>
      </c>
      <c r="F152" s="13">
        <v>3.7805178169999998</v>
      </c>
      <c r="G152">
        <v>5.1301267623901401</v>
      </c>
      <c r="H152">
        <v>9.1627532958984403</v>
      </c>
      <c r="I152">
        <v>1.2701014339923899</v>
      </c>
      <c r="N152">
        <f t="shared" si="14"/>
        <v>0.27398699948078298</v>
      </c>
      <c r="O152">
        <f t="shared" si="15"/>
        <v>0.3970906528930338</v>
      </c>
      <c r="P152">
        <f t="shared" si="16"/>
        <v>0.25395466859116228</v>
      </c>
      <c r="Q152">
        <f t="shared" si="17"/>
        <v>0.45000584765560075</v>
      </c>
      <c r="R152">
        <f t="shared" si="18"/>
        <v>0.27357163131390394</v>
      </c>
      <c r="S152">
        <f t="shared" si="19"/>
        <v>0.64345590971287525</v>
      </c>
      <c r="T152">
        <f t="shared" si="20"/>
        <v>4.8045810849825725E-2</v>
      </c>
    </row>
    <row r="153" spans="2:20" x14ac:dyDescent="0.2">
      <c r="B153">
        <v>1231</v>
      </c>
      <c r="C153">
        <v>8.7418699264526403</v>
      </c>
      <c r="D153">
        <v>4.5556210517883304</v>
      </c>
      <c r="E153">
        <v>2.0778575360775</v>
      </c>
      <c r="F153" s="13">
        <v>3.6128124239999999</v>
      </c>
      <c r="G153">
        <v>5.0674168109893802</v>
      </c>
      <c r="H153">
        <v>9.1849144935607896</v>
      </c>
      <c r="I153">
        <v>1.43078932762146</v>
      </c>
      <c r="N153">
        <f t="shared" si="14"/>
        <v>0.27591166125126382</v>
      </c>
      <c r="O153">
        <f t="shared" si="15"/>
        <v>0.40251304053722081</v>
      </c>
      <c r="P153">
        <f t="shared" si="16"/>
        <v>0.2515776686988172</v>
      </c>
      <c r="Q153">
        <f t="shared" si="17"/>
        <v>0.4380282723642579</v>
      </c>
      <c r="R153">
        <f t="shared" si="18"/>
        <v>0.27157215459035827</v>
      </c>
      <c r="S153">
        <f t="shared" si="19"/>
        <v>0.64438334297834876</v>
      </c>
      <c r="T153">
        <f t="shared" si="20"/>
        <v>5.4124364842864897E-2</v>
      </c>
    </row>
    <row r="154" spans="2:20" x14ac:dyDescent="0.2">
      <c r="B154">
        <v>1233</v>
      </c>
      <c r="C154">
        <v>8.8888154983520504</v>
      </c>
      <c r="D154">
        <v>4.5118721008300797</v>
      </c>
      <c r="E154">
        <v>2.0485607489943498</v>
      </c>
      <c r="F154" s="13">
        <v>3.5949576849999998</v>
      </c>
      <c r="G154">
        <v>5.2109024524688703</v>
      </c>
      <c r="H154">
        <v>9.1656451225280797</v>
      </c>
      <c r="I154">
        <v>1.3713506340980499</v>
      </c>
      <c r="N154">
        <f t="shared" si="14"/>
        <v>0.28038147622975612</v>
      </c>
      <c r="O154">
        <f t="shared" si="15"/>
        <v>0.40018411743396265</v>
      </c>
      <c r="P154">
        <f t="shared" si="16"/>
        <v>0.24859452582025401</v>
      </c>
      <c r="Q154">
        <f t="shared" si="17"/>
        <v>0.43675308092971782</v>
      </c>
      <c r="R154">
        <f t="shared" si="18"/>
        <v>0.27614712545053</v>
      </c>
      <c r="S154">
        <f t="shared" si="19"/>
        <v>0.64357693097964852</v>
      </c>
      <c r="T154">
        <f t="shared" si="20"/>
        <v>5.1875898578867562E-2</v>
      </c>
    </row>
    <row r="155" spans="2:20" x14ac:dyDescent="0.2">
      <c r="B155">
        <v>1235</v>
      </c>
      <c r="C155">
        <v>8.8818586349487294</v>
      </c>
      <c r="D155">
        <v>4.4685635566711399</v>
      </c>
      <c r="E155">
        <v>2.0662286415696101</v>
      </c>
      <c r="F155" s="13">
        <v>3.7989336009999999</v>
      </c>
      <c r="G155">
        <v>5.2635754108428996</v>
      </c>
      <c r="H155">
        <v>9.1997288703918496</v>
      </c>
      <c r="I155">
        <v>1.3597281455993699</v>
      </c>
      <c r="N155">
        <f t="shared" si="14"/>
        <v>0.28016986119541687</v>
      </c>
      <c r="O155">
        <f t="shared" si="15"/>
        <v>0.39787863886016817</v>
      </c>
      <c r="P155">
        <f t="shared" si="16"/>
        <v>0.25039355749446174</v>
      </c>
      <c r="Q155">
        <f t="shared" si="17"/>
        <v>0.45132110911179674</v>
      </c>
      <c r="R155">
        <f t="shared" si="18"/>
        <v>0.27782657746534828</v>
      </c>
      <c r="S155">
        <f t="shared" si="19"/>
        <v>0.6450033160542501</v>
      </c>
      <c r="T155">
        <f t="shared" si="20"/>
        <v>5.1436239297280452E-2</v>
      </c>
    </row>
    <row r="156" spans="2:20" x14ac:dyDescent="0.2">
      <c r="B156">
        <v>1237</v>
      </c>
      <c r="C156">
        <v>8.7516973495483406</v>
      </c>
      <c r="D156">
        <v>4.3973588943481401</v>
      </c>
      <c r="E156">
        <v>2.01435523703694</v>
      </c>
      <c r="F156" s="13">
        <v>3.8397661209999998</v>
      </c>
      <c r="G156">
        <v>5.1193377494811996</v>
      </c>
      <c r="H156">
        <v>9.1193062782287608</v>
      </c>
      <c r="I156">
        <v>1.54794970154762</v>
      </c>
      <c r="N156">
        <f t="shared" si="14"/>
        <v>0.27621059345034504</v>
      </c>
      <c r="O156">
        <f t="shared" si="15"/>
        <v>0.39408814378516666</v>
      </c>
      <c r="P156">
        <f t="shared" si="16"/>
        <v>0.24511155244458155</v>
      </c>
      <c r="Q156">
        <f t="shared" si="17"/>
        <v>0.45423738135496344</v>
      </c>
      <c r="R156">
        <f t="shared" si="18"/>
        <v>0.27322762881191509</v>
      </c>
      <c r="S156">
        <f t="shared" si="19"/>
        <v>0.64163767722894538</v>
      </c>
      <c r="T156">
        <f t="shared" si="20"/>
        <v>5.855634563912062E-2</v>
      </c>
    </row>
    <row r="157" spans="2:20" x14ac:dyDescent="0.2">
      <c r="B157">
        <v>1239</v>
      </c>
      <c r="C157">
        <v>8.6009031295776399</v>
      </c>
      <c r="D157">
        <v>4.4756226539611799</v>
      </c>
      <c r="E157">
        <v>2.0661103025078802</v>
      </c>
      <c r="F157" s="13">
        <v>3.705015564</v>
      </c>
      <c r="G157">
        <v>5.1328731060028101</v>
      </c>
      <c r="H157">
        <v>9.08741645812988</v>
      </c>
      <c r="I157">
        <v>1.6286805212497699</v>
      </c>
      <c r="N157">
        <f t="shared" si="14"/>
        <v>0.27162370965124366</v>
      </c>
      <c r="O157">
        <f t="shared" si="15"/>
        <v>0.39825442146539247</v>
      </c>
      <c r="P157">
        <f t="shared" si="16"/>
        <v>0.25038150762946276</v>
      </c>
      <c r="Q157">
        <f t="shared" si="17"/>
        <v>0.44461345147920872</v>
      </c>
      <c r="R157">
        <f t="shared" si="18"/>
        <v>0.27365919716279608</v>
      </c>
      <c r="S157">
        <f t="shared" si="19"/>
        <v>0.64030310675850932</v>
      </c>
      <c r="T157">
        <f t="shared" si="20"/>
        <v>6.1610257389277827E-2</v>
      </c>
    </row>
    <row r="158" spans="2:20" x14ac:dyDescent="0.2">
      <c r="B158">
        <v>1241</v>
      </c>
      <c r="C158">
        <v>8.5659091949462898</v>
      </c>
      <c r="D158">
        <v>4.6370585441589398</v>
      </c>
      <c r="E158">
        <v>1.9863180652260799</v>
      </c>
      <c r="F158" s="13">
        <v>3.7412271979999998</v>
      </c>
      <c r="G158">
        <v>5.1335970878601103</v>
      </c>
      <c r="H158">
        <v>9.0795947074890098</v>
      </c>
      <c r="I158">
        <v>1.5252020657062499</v>
      </c>
      <c r="N158">
        <f t="shared" si="14"/>
        <v>0.27055925829588967</v>
      </c>
      <c r="O158">
        <f t="shared" si="15"/>
        <v>0.40684826808666119</v>
      </c>
      <c r="P158">
        <f t="shared" si="16"/>
        <v>0.24225666978508592</v>
      </c>
      <c r="Q158">
        <f t="shared" si="17"/>
        <v>0.4471996984978574</v>
      </c>
      <c r="R158">
        <f t="shared" si="18"/>
        <v>0.27368228097708086</v>
      </c>
      <c r="S158">
        <f t="shared" si="19"/>
        <v>0.63997577103193415</v>
      </c>
      <c r="T158">
        <f t="shared" si="20"/>
        <v>5.7695840659231175E-2</v>
      </c>
    </row>
    <row r="159" spans="2:20" x14ac:dyDescent="0.2">
      <c r="B159">
        <v>1243</v>
      </c>
      <c r="C159">
        <v>8.5068732261657694</v>
      </c>
      <c r="D159">
        <v>4.7465094566345201</v>
      </c>
      <c r="E159">
        <v>1.9785630576312501</v>
      </c>
      <c r="F159" s="13">
        <v>3.819099998</v>
      </c>
      <c r="G159">
        <v>4.9264581680297796</v>
      </c>
      <c r="H159">
        <v>8.9868004798889203</v>
      </c>
      <c r="I159">
        <v>1.52065961360931</v>
      </c>
      <c r="N159">
        <f t="shared" si="14"/>
        <v>0.26876349232544178</v>
      </c>
      <c r="O159">
        <f t="shared" si="15"/>
        <v>0.4126747565659008</v>
      </c>
      <c r="P159">
        <f t="shared" si="16"/>
        <v>0.24146701678955229</v>
      </c>
      <c r="Q159">
        <f t="shared" si="17"/>
        <v>0.45276139993430248</v>
      </c>
      <c r="R159">
        <f t="shared" si="18"/>
        <v>0.26707775586599736</v>
      </c>
      <c r="S159">
        <f t="shared" si="19"/>
        <v>0.63609238644092658</v>
      </c>
      <c r="T159">
        <f t="shared" si="20"/>
        <v>5.7524007301356796E-2</v>
      </c>
    </row>
    <row r="160" spans="2:20" x14ac:dyDescent="0.2">
      <c r="B160">
        <v>1245</v>
      </c>
      <c r="C160">
        <v>8.4558500289916996</v>
      </c>
      <c r="D160">
        <v>4.7389931678771999</v>
      </c>
      <c r="E160">
        <v>2.0128902241587601</v>
      </c>
      <c r="F160" s="13">
        <v>3.961858082</v>
      </c>
      <c r="G160">
        <v>5.1754239082336397</v>
      </c>
      <c r="H160">
        <v>8.9807012557983406</v>
      </c>
      <c r="I160">
        <v>1.6559800624847401</v>
      </c>
      <c r="N160">
        <f t="shared" si="14"/>
        <v>0.26721146018162634</v>
      </c>
      <c r="O160">
        <f t="shared" si="15"/>
        <v>0.41227463591947922</v>
      </c>
      <c r="P160">
        <f t="shared" si="16"/>
        <v>0.24496237763158443</v>
      </c>
      <c r="Q160">
        <f t="shared" si="17"/>
        <v>0.46295723006814826</v>
      </c>
      <c r="R160">
        <f t="shared" si="18"/>
        <v>0.27501590908376417</v>
      </c>
      <c r="S160">
        <f t="shared" si="19"/>
        <v>0.63583713745116688</v>
      </c>
      <c r="T160">
        <f t="shared" si="20"/>
        <v>6.2642953329427639E-2</v>
      </c>
    </row>
    <row r="161" spans="2:20" x14ac:dyDescent="0.2">
      <c r="B161">
        <v>1247</v>
      </c>
      <c r="C161">
        <v>8.4260580062866204</v>
      </c>
      <c r="D161">
        <v>4.7348215103149398</v>
      </c>
      <c r="E161">
        <v>2.0494670346379298</v>
      </c>
      <c r="F161" s="13">
        <v>4.0621675970000002</v>
      </c>
      <c r="G161">
        <v>5.2094580650329601</v>
      </c>
      <c r="H161">
        <v>9.0440090179443402</v>
      </c>
      <c r="I161">
        <v>1.8556892871856701</v>
      </c>
      <c r="N161">
        <f t="shared" si="14"/>
        <v>0.26630524145311713</v>
      </c>
      <c r="O161">
        <f t="shared" si="15"/>
        <v>0.41205256271628621</v>
      </c>
      <c r="P161">
        <f t="shared" si="16"/>
        <v>0.2486868082796212</v>
      </c>
      <c r="Q161">
        <f t="shared" si="17"/>
        <v>0.47012136919843006</v>
      </c>
      <c r="R161">
        <f t="shared" si="18"/>
        <v>0.2761010718498913</v>
      </c>
      <c r="S161">
        <f t="shared" si="19"/>
        <v>0.63848653056933002</v>
      </c>
      <c r="T161">
        <f t="shared" si="20"/>
        <v>7.0197618947578352E-2</v>
      </c>
    </row>
    <row r="162" spans="2:20" x14ac:dyDescent="0.2">
      <c r="B162">
        <v>1249</v>
      </c>
      <c r="C162">
        <v>8.3500144004821806</v>
      </c>
      <c r="D162">
        <v>4.67133274078369</v>
      </c>
      <c r="E162">
        <v>2.0787583429366401</v>
      </c>
      <c r="F162" s="13">
        <v>3.9884734630000001</v>
      </c>
      <c r="G162">
        <v>5.1529852867126502</v>
      </c>
      <c r="H162">
        <v>9.0392349243164105</v>
      </c>
      <c r="I162">
        <v>1.83688582181931</v>
      </c>
      <c r="N162">
        <f t="shared" si="14"/>
        <v>0.26399213433563334</v>
      </c>
      <c r="O162">
        <f t="shared" si="15"/>
        <v>0.40867281396985655</v>
      </c>
      <c r="P162">
        <f t="shared" si="16"/>
        <v>0.25166939328142002</v>
      </c>
      <c r="Q162">
        <f t="shared" si="17"/>
        <v>0.46485810948611234</v>
      </c>
      <c r="R162">
        <f t="shared" si="18"/>
        <v>0.27430046439855071</v>
      </c>
      <c r="S162">
        <f t="shared" si="19"/>
        <v>0.63828673752066512</v>
      </c>
      <c r="T162">
        <f t="shared" si="20"/>
        <v>6.9486315333446069E-2</v>
      </c>
    </row>
    <row r="163" spans="2:20" x14ac:dyDescent="0.2">
      <c r="B163">
        <v>1251</v>
      </c>
      <c r="C163">
        <v>8.3255314826965297</v>
      </c>
      <c r="D163">
        <v>4.7584497451782202</v>
      </c>
      <c r="E163">
        <v>2.12169909626245</v>
      </c>
      <c r="F163" s="13">
        <v>4.0481338979999997</v>
      </c>
      <c r="G163">
        <v>5.3168850421905498</v>
      </c>
      <c r="H163">
        <v>9.1046233177185094</v>
      </c>
      <c r="I163">
        <v>1.7621101140976001</v>
      </c>
      <c r="N163">
        <f t="shared" si="14"/>
        <v>0.26324740884835968</v>
      </c>
      <c r="O163">
        <f t="shared" si="15"/>
        <v>0.41331038355214622</v>
      </c>
      <c r="P163">
        <f t="shared" si="16"/>
        <v>0.25604183187410462</v>
      </c>
      <c r="Q163">
        <f t="shared" si="17"/>
        <v>0.4691190777194163</v>
      </c>
      <c r="R163">
        <f t="shared" si="18"/>
        <v>0.27952632949257022</v>
      </c>
      <c r="S163">
        <f t="shared" si="19"/>
        <v>0.64102320384982936</v>
      </c>
      <c r="T163">
        <f t="shared" si="20"/>
        <v>6.6657675499487229E-2</v>
      </c>
    </row>
    <row r="164" spans="2:20" x14ac:dyDescent="0.2">
      <c r="B164">
        <v>1253</v>
      </c>
      <c r="C164">
        <v>8.2562392234802306</v>
      </c>
      <c r="D164">
        <v>4.9060937881469702</v>
      </c>
      <c r="E164">
        <v>2.2003597371280201</v>
      </c>
      <c r="F164" s="13">
        <v>3.9485569950000001</v>
      </c>
      <c r="G164">
        <v>5.5424619674682596</v>
      </c>
      <c r="H164">
        <v>9.1665243148803697</v>
      </c>
      <c r="I164">
        <v>2.0416970849037201</v>
      </c>
      <c r="N164">
        <f t="shared" si="14"/>
        <v>0.26113966532036414</v>
      </c>
      <c r="O164">
        <f t="shared" si="15"/>
        <v>0.42117003767405869</v>
      </c>
      <c r="P164">
        <f t="shared" si="16"/>
        <v>0.26405144500865568</v>
      </c>
      <c r="Q164">
        <f t="shared" si="17"/>
        <v>0.46200726198334613</v>
      </c>
      <c r="R164">
        <f t="shared" si="18"/>
        <v>0.28671874156413057</v>
      </c>
      <c r="S164">
        <f t="shared" si="19"/>
        <v>0.64361372466953326</v>
      </c>
      <c r="T164">
        <f t="shared" si="20"/>
        <v>7.7233982521834124E-2</v>
      </c>
    </row>
    <row r="165" spans="2:20" x14ac:dyDescent="0.2">
      <c r="B165">
        <v>1255</v>
      </c>
      <c r="C165">
        <v>8.3320284843444803</v>
      </c>
      <c r="D165">
        <v>4.9956890106201204</v>
      </c>
      <c r="E165">
        <v>2.2651241600513501</v>
      </c>
      <c r="F165" s="13">
        <v>4.0913251879999999</v>
      </c>
      <c r="G165">
        <v>5.8304533004760701</v>
      </c>
      <c r="H165">
        <v>9.3108522415161108</v>
      </c>
      <c r="I165">
        <v>2.1674641847610499</v>
      </c>
      <c r="N165">
        <f t="shared" si="14"/>
        <v>0.26344503573092526</v>
      </c>
      <c r="O165">
        <f t="shared" si="15"/>
        <v>0.4259395322331031</v>
      </c>
      <c r="P165">
        <f t="shared" si="16"/>
        <v>0.27064607692100989</v>
      </c>
      <c r="Q165">
        <f t="shared" si="17"/>
        <v>0.47220381410535489</v>
      </c>
      <c r="R165">
        <f t="shared" si="18"/>
        <v>0.29590120709104589</v>
      </c>
      <c r="S165">
        <f t="shared" si="19"/>
        <v>0.64965376466819336</v>
      </c>
      <c r="T165">
        <f t="shared" si="20"/>
        <v>8.1991541350724173E-2</v>
      </c>
    </row>
    <row r="166" spans="2:20" x14ac:dyDescent="0.2">
      <c r="B166">
        <v>1257</v>
      </c>
      <c r="C166">
        <v>8.4121292114257802</v>
      </c>
      <c r="D166">
        <v>5.13370351791382</v>
      </c>
      <c r="E166">
        <v>2.2652320064604301</v>
      </c>
      <c r="F166" s="13">
        <v>4.1810367580000003</v>
      </c>
      <c r="G166">
        <v>6.0741132736206103</v>
      </c>
      <c r="H166">
        <v>9.4366941452026403</v>
      </c>
      <c r="I166">
        <v>2.0905518770217899</v>
      </c>
      <c r="N166">
        <f t="shared" si="14"/>
        <v>0.26588155304184641</v>
      </c>
      <c r="O166">
        <f t="shared" si="15"/>
        <v>0.43328656953527345</v>
      </c>
      <c r="P166">
        <f t="shared" si="16"/>
        <v>0.27065705837253606</v>
      </c>
      <c r="Q166">
        <f t="shared" si="17"/>
        <v>0.47861104445709185</v>
      </c>
      <c r="R166">
        <f t="shared" si="18"/>
        <v>0.30367018847087157</v>
      </c>
      <c r="S166">
        <f t="shared" si="19"/>
        <v>0.65492017533099256</v>
      </c>
      <c r="T166">
        <f t="shared" si="20"/>
        <v>7.9082077515187546E-2</v>
      </c>
    </row>
    <row r="167" spans="2:20" x14ac:dyDescent="0.2">
      <c r="B167">
        <v>1259</v>
      </c>
      <c r="C167">
        <v>8.3688558578491197</v>
      </c>
      <c r="D167">
        <v>5.3063447952270497</v>
      </c>
      <c r="E167">
        <v>2.3388709872961</v>
      </c>
      <c r="F167" s="13">
        <v>4.0161726470000003</v>
      </c>
      <c r="G167">
        <v>6.2436784744262699</v>
      </c>
      <c r="H167">
        <v>9.6902849197387706</v>
      </c>
      <c r="I167">
        <v>2.2761244058608998</v>
      </c>
      <c r="N167">
        <f t="shared" si="14"/>
        <v>0.26456525693651728</v>
      </c>
      <c r="O167">
        <f t="shared" si="15"/>
        <v>0.4424769215438159</v>
      </c>
      <c r="P167">
        <f t="shared" si="16"/>
        <v>0.27815534139726161</v>
      </c>
      <c r="Q167">
        <f t="shared" si="17"/>
        <v>0.46683639447703545</v>
      </c>
      <c r="R167">
        <f t="shared" si="18"/>
        <v>0.30907669357191303</v>
      </c>
      <c r="S167">
        <f t="shared" si="19"/>
        <v>0.66553280212604915</v>
      </c>
      <c r="T167">
        <f t="shared" si="20"/>
        <v>8.6101975596478211E-2</v>
      </c>
    </row>
    <row r="168" spans="2:20" x14ac:dyDescent="0.2">
      <c r="B168">
        <v>1261</v>
      </c>
      <c r="C168">
        <v>8.4331764221191392</v>
      </c>
      <c r="D168">
        <v>5.4772782325744602</v>
      </c>
      <c r="E168">
        <v>2.39156981445849</v>
      </c>
      <c r="F168" s="13">
        <v>4.1753454689999998</v>
      </c>
      <c r="G168">
        <v>6.3179323196411099</v>
      </c>
      <c r="H168">
        <v>9.8511749267578104</v>
      </c>
      <c r="I168">
        <v>2.54796702861786</v>
      </c>
      <c r="N168">
        <f t="shared" si="14"/>
        <v>0.2665217706162627</v>
      </c>
      <c r="O168">
        <f t="shared" si="15"/>
        <v>0.45157635873346669</v>
      </c>
      <c r="P168">
        <f t="shared" si="16"/>
        <v>0.28352139503692964</v>
      </c>
      <c r="Q168">
        <f t="shared" si="17"/>
        <v>0.47820457069209915</v>
      </c>
      <c r="R168">
        <f t="shared" si="18"/>
        <v>0.31144424181305291</v>
      </c>
      <c r="S168">
        <f t="shared" si="19"/>
        <v>0.67226595558035118</v>
      </c>
      <c r="T168">
        <f t="shared" si="20"/>
        <v>9.6385326897678064E-2</v>
      </c>
    </row>
    <row r="169" spans="2:20" x14ac:dyDescent="0.2">
      <c r="B169">
        <v>1263</v>
      </c>
      <c r="C169">
        <v>8.53843803405762</v>
      </c>
      <c r="D169">
        <v>5.5559031486511197</v>
      </c>
      <c r="E169">
        <v>2.4300968471914501</v>
      </c>
      <c r="F169" s="13">
        <v>4.3404531000000004</v>
      </c>
      <c r="G169">
        <v>6.37937965393066</v>
      </c>
      <c r="H169">
        <v>9.8982568740844705</v>
      </c>
      <c r="I169">
        <v>2.6304128170013401</v>
      </c>
      <c r="N169">
        <f t="shared" si="14"/>
        <v>0.26972363593020998</v>
      </c>
      <c r="O169">
        <f t="shared" si="15"/>
        <v>0.4557618621462779</v>
      </c>
      <c r="P169">
        <f t="shared" si="16"/>
        <v>0.28744440690179057</v>
      </c>
      <c r="Q169">
        <f t="shared" si="17"/>
        <v>0.48999661295205055</v>
      </c>
      <c r="R169">
        <f t="shared" si="18"/>
        <v>0.31340346059558249</v>
      </c>
      <c r="S169">
        <f t="shared" si="19"/>
        <v>0.67423630776164156</v>
      </c>
      <c r="T169">
        <f t="shared" si="20"/>
        <v>9.9504113041857148E-2</v>
      </c>
    </row>
    <row r="170" spans="2:20" x14ac:dyDescent="0.2">
      <c r="B170">
        <v>1265</v>
      </c>
      <c r="C170">
        <v>8.5409339904785195</v>
      </c>
      <c r="D170">
        <v>5.5412165641784696</v>
      </c>
      <c r="E170">
        <v>2.4515178628265901</v>
      </c>
      <c r="F170" s="13">
        <v>4.321979046</v>
      </c>
      <c r="G170">
        <v>6.6328646659851103</v>
      </c>
      <c r="H170">
        <v>10.0685711860657</v>
      </c>
      <c r="I170">
        <v>2.76286804676056</v>
      </c>
      <c r="N170">
        <f t="shared" si="14"/>
        <v>0.26979955834999841</v>
      </c>
      <c r="O170">
        <f t="shared" si="15"/>
        <v>0.45498003937939724</v>
      </c>
      <c r="P170">
        <f t="shared" si="16"/>
        <v>0.28962560001563586</v>
      </c>
      <c r="Q170">
        <f t="shared" si="17"/>
        <v>0.48867718983295422</v>
      </c>
      <c r="R170">
        <f t="shared" si="18"/>
        <v>0.32148570862877796</v>
      </c>
      <c r="S170">
        <f t="shared" si="19"/>
        <v>0.68136386291115314</v>
      </c>
      <c r="T170">
        <f t="shared" si="20"/>
        <v>0.10451467262769872</v>
      </c>
    </row>
    <row r="171" spans="2:20" x14ac:dyDescent="0.2">
      <c r="B171">
        <v>1267</v>
      </c>
      <c r="C171">
        <v>8.5907032012939393</v>
      </c>
      <c r="D171">
        <v>5.5150795936584496</v>
      </c>
      <c r="E171">
        <v>2.42141208350658</v>
      </c>
      <c r="F171" s="13">
        <v>4.3127957339999998</v>
      </c>
      <c r="G171">
        <v>6.6681263923645</v>
      </c>
      <c r="H171">
        <v>10.089386940002401</v>
      </c>
      <c r="I171">
        <v>2.9197980403900101</v>
      </c>
      <c r="N171">
        <f t="shared" si="14"/>
        <v>0.27131344652706296</v>
      </c>
      <c r="O171">
        <f t="shared" si="15"/>
        <v>0.4535886689999945</v>
      </c>
      <c r="P171">
        <f t="shared" si="16"/>
        <v>0.28656008157065466</v>
      </c>
      <c r="Q171">
        <f t="shared" si="17"/>
        <v>0.48802131461668197</v>
      </c>
      <c r="R171">
        <f t="shared" si="18"/>
        <v>0.32261001186220023</v>
      </c>
      <c r="S171">
        <f t="shared" si="19"/>
        <v>0.68223499013725986</v>
      </c>
      <c r="T171">
        <f t="shared" si="20"/>
        <v>0.11045107155521153</v>
      </c>
    </row>
    <row r="172" spans="2:20" x14ac:dyDescent="0.2">
      <c r="B172">
        <v>1269</v>
      </c>
      <c r="C172">
        <v>8.5685611724853494</v>
      </c>
      <c r="D172">
        <v>5.5512084007263196</v>
      </c>
      <c r="E172">
        <v>2.4196256726980199</v>
      </c>
      <c r="F172" s="13">
        <v>4.2480986119999997</v>
      </c>
      <c r="G172">
        <v>6.6968286514282198</v>
      </c>
      <c r="H172">
        <v>10.1115252494812</v>
      </c>
      <c r="I172">
        <v>3.1478039503097501</v>
      </c>
      <c r="N172">
        <f t="shared" si="14"/>
        <v>0.27063992659214042</v>
      </c>
      <c r="O172">
        <f t="shared" si="15"/>
        <v>0.45551194285297936</v>
      </c>
      <c r="P172">
        <f t="shared" si="16"/>
        <v>0.2863781804404516</v>
      </c>
      <c r="Q172">
        <f t="shared" si="17"/>
        <v>0.48340062451229043</v>
      </c>
      <c r="R172">
        <f t="shared" si="18"/>
        <v>0.32352516962630573</v>
      </c>
      <c r="S172">
        <f t="shared" si="19"/>
        <v>0.68316146554553026</v>
      </c>
      <c r="T172">
        <f t="shared" si="20"/>
        <v>0.11907615340100675</v>
      </c>
    </row>
    <row r="173" spans="2:20" x14ac:dyDescent="0.2">
      <c r="B173">
        <v>1271</v>
      </c>
      <c r="C173">
        <v>8.5512353897094702</v>
      </c>
      <c r="D173">
        <v>5.5305195808410597</v>
      </c>
      <c r="E173">
        <v>2.4267236948013302</v>
      </c>
      <c r="F173" s="13">
        <v>4.2616414550000004</v>
      </c>
      <c r="G173">
        <v>6.6954954147338901</v>
      </c>
      <c r="H173">
        <v>10.0832132339478</v>
      </c>
      <c r="I173">
        <v>3.2467375755310099</v>
      </c>
      <c r="N173">
        <f t="shared" si="14"/>
        <v>0.27011290803442067</v>
      </c>
      <c r="O173">
        <f t="shared" si="15"/>
        <v>0.45441059825946184</v>
      </c>
      <c r="P173">
        <f t="shared" si="16"/>
        <v>0.28710093594361569</v>
      </c>
      <c r="Q173">
        <f t="shared" si="17"/>
        <v>0.48436785889151723</v>
      </c>
      <c r="R173">
        <f t="shared" si="18"/>
        <v>0.32348266001375237</v>
      </c>
      <c r="S173">
        <f t="shared" si="19"/>
        <v>0.68197662412051618</v>
      </c>
      <c r="T173">
        <f t="shared" si="20"/>
        <v>0.12281864680889677</v>
      </c>
    </row>
    <row r="174" spans="2:20" x14ac:dyDescent="0.2">
      <c r="B174">
        <v>1273</v>
      </c>
      <c r="C174">
        <v>8.5921592712402308</v>
      </c>
      <c r="D174">
        <v>5.5341799736022903</v>
      </c>
      <c r="E174">
        <v>2.3456544720102102</v>
      </c>
      <c r="F174" s="13">
        <v>4.3216722010000002</v>
      </c>
      <c r="G174">
        <v>6.6316780090331999</v>
      </c>
      <c r="H174">
        <v>10.158260250091599</v>
      </c>
      <c r="I174">
        <v>3.0836963176727301</v>
      </c>
      <c r="N174">
        <f t="shared" si="14"/>
        <v>0.27135773750617542</v>
      </c>
      <c r="O174">
        <f t="shared" si="15"/>
        <v>0.45460545489217896</v>
      </c>
      <c r="P174">
        <f t="shared" si="16"/>
        <v>0.27884606915724791</v>
      </c>
      <c r="Q174">
        <f t="shared" si="17"/>
        <v>0.48865527486036731</v>
      </c>
      <c r="R174">
        <f t="shared" si="18"/>
        <v>0.32144787264100921</v>
      </c>
      <c r="S174">
        <f t="shared" si="19"/>
        <v>0.68511729820802425</v>
      </c>
      <c r="T174">
        <f t="shared" si="20"/>
        <v>0.1166510689870584</v>
      </c>
    </row>
    <row r="175" spans="2:20" x14ac:dyDescent="0.2">
      <c r="B175">
        <v>1275</v>
      </c>
      <c r="C175">
        <v>8.7196712493896502</v>
      </c>
      <c r="D175">
        <v>5.5152252197265597</v>
      </c>
      <c r="E175">
        <v>2.2568835459649601</v>
      </c>
      <c r="F175" s="13">
        <v>4.1843412400000002</v>
      </c>
      <c r="G175">
        <v>6.6177767753601104</v>
      </c>
      <c r="H175">
        <v>10.041415309906</v>
      </c>
      <c r="I175">
        <v>3.0966684341430701</v>
      </c>
      <c r="N175">
        <f t="shared" si="14"/>
        <v>0.27523641818026617</v>
      </c>
      <c r="O175">
        <f t="shared" si="15"/>
        <v>0.45359642122963728</v>
      </c>
      <c r="P175">
        <f t="shared" si="16"/>
        <v>0.26980697708535112</v>
      </c>
      <c r="Q175">
        <f t="shared" si="17"/>
        <v>0.47884705166739006</v>
      </c>
      <c r="R175">
        <f t="shared" si="18"/>
        <v>0.32100463847263483</v>
      </c>
      <c r="S175">
        <f t="shared" si="19"/>
        <v>0.68022740524820047</v>
      </c>
      <c r="T175">
        <f t="shared" si="20"/>
        <v>0.11714178243527233</v>
      </c>
    </row>
    <row r="176" spans="2:20" x14ac:dyDescent="0.2">
      <c r="B176">
        <v>1277</v>
      </c>
      <c r="C176">
        <v>8.8821640014648402</v>
      </c>
      <c r="D176">
        <v>5.4986622810363803</v>
      </c>
      <c r="E176">
        <v>2.2970374517142802</v>
      </c>
      <c r="F176" s="13">
        <v>4.2565090659999996</v>
      </c>
      <c r="G176">
        <v>6.6106604576110799</v>
      </c>
      <c r="H176">
        <v>9.8491694450378393</v>
      </c>
      <c r="I176">
        <v>3.2252573251724201</v>
      </c>
      <c r="N176">
        <f t="shared" si="14"/>
        <v>0.28017914988516779</v>
      </c>
      <c r="O176">
        <f t="shared" si="15"/>
        <v>0.45271471298913069</v>
      </c>
      <c r="P176">
        <f t="shared" si="16"/>
        <v>0.27389564515815412</v>
      </c>
      <c r="Q176">
        <f t="shared" si="17"/>
        <v>0.4840013019515626</v>
      </c>
      <c r="R176">
        <f t="shared" si="18"/>
        <v>0.3207777380943263</v>
      </c>
      <c r="S176">
        <f t="shared" si="19"/>
        <v>0.67218202733383958</v>
      </c>
      <c r="T176">
        <f t="shared" si="20"/>
        <v>0.12200608489996984</v>
      </c>
    </row>
    <row r="177" spans="2:20" x14ac:dyDescent="0.2">
      <c r="B177">
        <v>1279</v>
      </c>
      <c r="C177">
        <v>9.1020574569702095</v>
      </c>
      <c r="D177">
        <v>5.4690690040588397</v>
      </c>
      <c r="E177">
        <v>2.3562628557905598</v>
      </c>
      <c r="F177" s="13">
        <v>4.2903226849999996</v>
      </c>
      <c r="G177">
        <v>6.65534200668335</v>
      </c>
      <c r="H177">
        <v>9.7943275451660199</v>
      </c>
      <c r="I177">
        <v>3.1261947154998802</v>
      </c>
      <c r="N177">
        <f t="shared" si="14"/>
        <v>0.2868679057856392</v>
      </c>
      <c r="O177">
        <f t="shared" si="15"/>
        <v>0.4511393502674077</v>
      </c>
      <c r="P177">
        <f t="shared" si="16"/>
        <v>0.2799262669426773</v>
      </c>
      <c r="Q177">
        <f t="shared" si="17"/>
        <v>0.4864162819364059</v>
      </c>
      <c r="R177">
        <f t="shared" si="18"/>
        <v>0.32220238785638766</v>
      </c>
      <c r="S177">
        <f t="shared" si="19"/>
        <v>0.66988692564042784</v>
      </c>
      <c r="T177">
        <f t="shared" si="20"/>
        <v>0.11825871222623306</v>
      </c>
    </row>
    <row r="178" spans="2:20" x14ac:dyDescent="0.2">
      <c r="B178">
        <v>1281</v>
      </c>
      <c r="C178">
        <v>9.2763442993164098</v>
      </c>
      <c r="D178">
        <v>5.4794478416442898</v>
      </c>
      <c r="E178">
        <v>2.3577798172831499</v>
      </c>
      <c r="F178" s="13">
        <v>4.3029203889999996</v>
      </c>
      <c r="G178">
        <v>6.7727933883666998</v>
      </c>
      <c r="H178">
        <v>9.6902208328247106</v>
      </c>
      <c r="I178">
        <v>3.1090805053710899</v>
      </c>
      <c r="N178">
        <f t="shared" si="14"/>
        <v>0.29216939210062964</v>
      </c>
      <c r="O178">
        <f t="shared" si="15"/>
        <v>0.45169185527857447</v>
      </c>
      <c r="P178">
        <f t="shared" si="16"/>
        <v>0.28008073141896378</v>
      </c>
      <c r="Q178">
        <f t="shared" si="17"/>
        <v>0.48731601417195813</v>
      </c>
      <c r="R178">
        <f t="shared" si="18"/>
        <v>0.32594726882947822</v>
      </c>
      <c r="S178">
        <f t="shared" si="19"/>
        <v>0.66553012012587542</v>
      </c>
      <c r="T178">
        <f t="shared" si="20"/>
        <v>0.11761131030959453</v>
      </c>
    </row>
    <row r="179" spans="2:20" x14ac:dyDescent="0.2">
      <c r="B179">
        <v>1283</v>
      </c>
      <c r="C179">
        <v>9.1759088516235394</v>
      </c>
      <c r="D179">
        <v>5.4988964080810501</v>
      </c>
      <c r="E179">
        <v>2.28920106366277</v>
      </c>
      <c r="F179" s="13">
        <v>4.4055115699999998</v>
      </c>
      <c r="G179">
        <v>6.6934876441955602</v>
      </c>
      <c r="H179">
        <v>9.4740958213806206</v>
      </c>
      <c r="I179">
        <v>3.1803408145904499</v>
      </c>
      <c r="N179">
        <f t="shared" si="14"/>
        <v>0.28911432985774371</v>
      </c>
      <c r="O179">
        <f t="shared" si="15"/>
        <v>0.45272717646245941</v>
      </c>
      <c r="P179">
        <f t="shared" si="16"/>
        <v>0.27309770560446955</v>
      </c>
      <c r="Q179">
        <f t="shared" si="17"/>
        <v>0.49464311065152861</v>
      </c>
      <c r="R179">
        <f t="shared" si="18"/>
        <v>0.32341864321310204</v>
      </c>
      <c r="S179">
        <f t="shared" si="19"/>
        <v>0.65648541378066616</v>
      </c>
      <c r="T179">
        <f t="shared" si="20"/>
        <v>0.12030696850367383</v>
      </c>
    </row>
    <row r="180" spans="2:20" x14ac:dyDescent="0.2">
      <c r="B180">
        <v>1285</v>
      </c>
      <c r="C180">
        <v>8.9485702514648402</v>
      </c>
      <c r="D180">
        <v>5.4579131126403801</v>
      </c>
      <c r="E180">
        <v>2.2265543080866301</v>
      </c>
      <c r="F180" s="13">
        <v>4.3021089549999996</v>
      </c>
      <c r="G180">
        <v>6.6722485542297401</v>
      </c>
      <c r="H180">
        <v>9.34069519042969</v>
      </c>
      <c r="I180">
        <v>3.16467652320862</v>
      </c>
      <c r="N180">
        <f t="shared" si="14"/>
        <v>0.28219910630221917</v>
      </c>
      <c r="O180">
        <f t="shared" si="15"/>
        <v>0.45054547972439329</v>
      </c>
      <c r="P180">
        <f t="shared" si="16"/>
        <v>0.26671870499147954</v>
      </c>
      <c r="Q180">
        <f t="shared" si="17"/>
        <v>0.48725806128412846</v>
      </c>
      <c r="R180">
        <f t="shared" si="18"/>
        <v>0.32274144501620733</v>
      </c>
      <c r="S180">
        <f t="shared" si="19"/>
        <v>0.65090267476700547</v>
      </c>
      <c r="T180">
        <f t="shared" si="20"/>
        <v>0.11971441458578536</v>
      </c>
    </row>
    <row r="181" spans="2:20" x14ac:dyDescent="0.2">
      <c r="B181">
        <v>1287</v>
      </c>
      <c r="C181">
        <v>8.7375358581543008</v>
      </c>
      <c r="D181">
        <v>5.3911750793457003</v>
      </c>
      <c r="E181">
        <v>2.1730619097128501</v>
      </c>
      <c r="F181" s="13">
        <v>4.1793945309999998</v>
      </c>
      <c r="G181">
        <v>6.7412594795227099</v>
      </c>
      <c r="H181">
        <v>9.2281641960144007</v>
      </c>
      <c r="I181">
        <v>3.0950406551361098</v>
      </c>
      <c r="N181">
        <f t="shared" si="14"/>
        <v>0.27577982683701563</v>
      </c>
      <c r="O181">
        <f t="shared" si="15"/>
        <v>0.44699276030594781</v>
      </c>
      <c r="P181">
        <f t="shared" si="16"/>
        <v>0.2612718460300138</v>
      </c>
      <c r="Q181">
        <f t="shared" si="17"/>
        <v>0.47849375605517397</v>
      </c>
      <c r="R181">
        <f t="shared" si="18"/>
        <v>0.32494182527024101</v>
      </c>
      <c r="S181">
        <f t="shared" si="19"/>
        <v>0.64619331793495749</v>
      </c>
      <c r="T181">
        <f t="shared" si="20"/>
        <v>0.11708020628065932</v>
      </c>
    </row>
    <row r="182" spans="2:20" x14ac:dyDescent="0.2">
      <c r="B182">
        <v>1289</v>
      </c>
      <c r="C182">
        <v>8.4848148345947294</v>
      </c>
      <c r="D182">
        <v>5.4241106033325197</v>
      </c>
      <c r="E182">
        <v>2.0710031151771502</v>
      </c>
      <c r="F182" s="13">
        <v>4.2551538469999999</v>
      </c>
      <c r="G182">
        <v>6.4424286842346197</v>
      </c>
      <c r="H182">
        <v>9.1694020271301309</v>
      </c>
      <c r="I182">
        <v>2.9453326463699301</v>
      </c>
      <c r="N182">
        <f t="shared" si="14"/>
        <v>0.268092516481997</v>
      </c>
      <c r="O182">
        <f t="shared" si="15"/>
        <v>0.44874604355161962</v>
      </c>
      <c r="P182">
        <f t="shared" si="16"/>
        <v>0.25087971786763841</v>
      </c>
      <c r="Q182">
        <f t="shared" si="17"/>
        <v>0.48390451175705312</v>
      </c>
      <c r="R182">
        <f t="shared" si="18"/>
        <v>0.31541374868732813</v>
      </c>
      <c r="S182">
        <f t="shared" si="19"/>
        <v>0.64373415525769695</v>
      </c>
      <c r="T182">
        <f t="shared" si="20"/>
        <v>0.11141700294950946</v>
      </c>
    </row>
    <row r="183" spans="2:20" x14ac:dyDescent="0.2">
      <c r="B183">
        <v>1291</v>
      </c>
      <c r="C183">
        <v>8.2435925483703603</v>
      </c>
      <c r="D183">
        <v>5.3817782402038601</v>
      </c>
      <c r="E183">
        <v>2.05281588155776</v>
      </c>
      <c r="F183" s="13">
        <v>4.2541753289999997</v>
      </c>
      <c r="G183">
        <v>6.3060022354126</v>
      </c>
      <c r="H183">
        <v>9.0775800704956104</v>
      </c>
      <c r="I183">
        <v>2.7987854719162</v>
      </c>
      <c r="N183">
        <f t="shared" si="14"/>
        <v>0.26075497664207642</v>
      </c>
      <c r="O183">
        <f t="shared" si="15"/>
        <v>0.44649253080796703</v>
      </c>
      <c r="P183">
        <f t="shared" si="16"/>
        <v>0.24902780433532981</v>
      </c>
      <c r="Q183">
        <f t="shared" si="17"/>
        <v>0.48383462567402818</v>
      </c>
      <c r="R183">
        <f t="shared" si="18"/>
        <v>0.31106385679931881</v>
      </c>
      <c r="S183">
        <f t="shared" si="19"/>
        <v>0.63989145964254091</v>
      </c>
      <c r="T183">
        <f t="shared" si="20"/>
        <v>0.10587336868854498</v>
      </c>
    </row>
    <row r="184" spans="2:20" x14ac:dyDescent="0.2">
      <c r="B184">
        <v>1293</v>
      </c>
      <c r="C184">
        <v>8.1184811592102104</v>
      </c>
      <c r="D184">
        <v>5.4120258331298796</v>
      </c>
      <c r="E184">
        <v>2.0881297875195699</v>
      </c>
      <c r="F184" s="13">
        <v>4.2856014250000003</v>
      </c>
      <c r="G184">
        <v>6.32705135345459</v>
      </c>
      <c r="H184">
        <v>9.0340398788452205</v>
      </c>
      <c r="I184">
        <v>2.8163554906845101</v>
      </c>
      <c r="N184">
        <f t="shared" si="14"/>
        <v>0.25694931748529126</v>
      </c>
      <c r="O184">
        <f t="shared" si="15"/>
        <v>0.44810272525698547</v>
      </c>
      <c r="P184">
        <f t="shared" si="16"/>
        <v>0.25262363983719666</v>
      </c>
      <c r="Q184">
        <f t="shared" si="17"/>
        <v>0.48607908796721738</v>
      </c>
      <c r="R184">
        <f t="shared" si="18"/>
        <v>0.31173499783253628</v>
      </c>
      <c r="S184">
        <f t="shared" si="19"/>
        <v>0.63806932788157256</v>
      </c>
      <c r="T184">
        <f t="shared" si="20"/>
        <v>0.10653801308290377</v>
      </c>
    </row>
    <row r="185" spans="2:20" x14ac:dyDescent="0.2">
      <c r="B185">
        <v>1295</v>
      </c>
      <c r="C185">
        <v>8.0677818298339794</v>
      </c>
      <c r="D185">
        <v>5.5166766166686996</v>
      </c>
      <c r="E185">
        <v>2.1297975122928601</v>
      </c>
      <c r="F185" s="13">
        <v>4.282039213</v>
      </c>
      <c r="G185">
        <v>6.1490449905395499</v>
      </c>
      <c r="H185">
        <v>9.0915904998779293</v>
      </c>
      <c r="I185">
        <v>2.7625252723693801</v>
      </c>
      <c r="N185">
        <f t="shared" si="14"/>
        <v>0.25540713680630817</v>
      </c>
      <c r="O185">
        <f t="shared" si="15"/>
        <v>0.45367368461073576</v>
      </c>
      <c r="P185">
        <f t="shared" si="16"/>
        <v>0.25686645240468337</v>
      </c>
      <c r="Q185">
        <f t="shared" si="17"/>
        <v>0.48582467359406878</v>
      </c>
      <c r="R185">
        <f t="shared" si="18"/>
        <v>0.30605935032617676</v>
      </c>
      <c r="S185">
        <f t="shared" si="19"/>
        <v>0.64047778798411803</v>
      </c>
      <c r="T185">
        <f t="shared" si="20"/>
        <v>0.10450170604635171</v>
      </c>
    </row>
    <row r="186" spans="2:20" x14ac:dyDescent="0.2">
      <c r="B186">
        <v>1297</v>
      </c>
      <c r="C186">
        <v>8.1181360244751009</v>
      </c>
      <c r="D186">
        <v>5.6675458908081104</v>
      </c>
      <c r="E186">
        <v>2.14161196276546</v>
      </c>
      <c r="F186" s="13">
        <v>4.2963774199999998</v>
      </c>
      <c r="G186">
        <v>6.1879239082336399</v>
      </c>
      <c r="H186">
        <v>9.15333042144775</v>
      </c>
      <c r="I186">
        <v>2.74428038597107</v>
      </c>
      <c r="N186">
        <f t="shared" si="14"/>
        <v>0.2569388191192048</v>
      </c>
      <c r="O186">
        <f t="shared" si="15"/>
        <v>0.46170503005831842</v>
      </c>
      <c r="P186">
        <f t="shared" si="16"/>
        <v>0.25806945782952551</v>
      </c>
      <c r="Q186">
        <f t="shared" si="17"/>
        <v>0.48684871313634731</v>
      </c>
      <c r="R186">
        <f t="shared" si="18"/>
        <v>0.30729898596979549</v>
      </c>
      <c r="S186">
        <f t="shared" si="19"/>
        <v>0.64306156788374214</v>
      </c>
      <c r="T186">
        <f t="shared" si="20"/>
        <v>0.10381153253941038</v>
      </c>
    </row>
    <row r="187" spans="2:20" x14ac:dyDescent="0.2">
      <c r="B187">
        <v>1299</v>
      </c>
      <c r="C187">
        <v>8.26209907531738</v>
      </c>
      <c r="D187">
        <v>5.7755008697509798</v>
      </c>
      <c r="E187">
        <v>2.1324650466442101</v>
      </c>
      <c r="F187" s="13">
        <v>4.4334141249999997</v>
      </c>
      <c r="G187">
        <v>6.2734477043151902</v>
      </c>
      <c r="H187">
        <v>9.2907416343688993</v>
      </c>
      <c r="I187">
        <v>2.7645990610122699</v>
      </c>
      <c r="N187">
        <f t="shared" si="14"/>
        <v>0.26131791127343967</v>
      </c>
      <c r="O187">
        <f t="shared" si="15"/>
        <v>0.46745188430430307</v>
      </c>
      <c r="P187">
        <f t="shared" si="16"/>
        <v>0.25713807386545884</v>
      </c>
      <c r="Q187">
        <f t="shared" si="17"/>
        <v>0.49663592046733063</v>
      </c>
      <c r="R187">
        <f t="shared" si="18"/>
        <v>0.3100258711890409</v>
      </c>
      <c r="S187">
        <f t="shared" si="19"/>
        <v>0.64881214742613968</v>
      </c>
      <c r="T187">
        <f t="shared" si="20"/>
        <v>0.10458015399878462</v>
      </c>
    </row>
    <row r="188" spans="2:20" x14ac:dyDescent="0.2">
      <c r="B188">
        <v>1301</v>
      </c>
      <c r="C188">
        <v>8.4063896179199205</v>
      </c>
      <c r="D188">
        <v>5.9616665840148899</v>
      </c>
      <c r="E188">
        <v>2.1223840966820702</v>
      </c>
      <c r="F188" s="13">
        <v>4.4590375419999999</v>
      </c>
      <c r="G188">
        <v>6.4187424659729002</v>
      </c>
      <c r="H188">
        <v>9.4244023323059096</v>
      </c>
      <c r="I188">
        <v>2.7423650979995702</v>
      </c>
      <c r="N188">
        <f t="shared" si="14"/>
        <v>0.26570696512680181</v>
      </c>
      <c r="O188">
        <f t="shared" si="15"/>
        <v>0.47736219354571852</v>
      </c>
      <c r="P188">
        <f t="shared" si="16"/>
        <v>0.25611158198416972</v>
      </c>
      <c r="Q188">
        <f t="shared" si="17"/>
        <v>0.49846595348445</v>
      </c>
      <c r="R188">
        <f t="shared" si="18"/>
        <v>0.31465852497840724</v>
      </c>
      <c r="S188">
        <f t="shared" si="19"/>
        <v>0.65440577009229139</v>
      </c>
      <c r="T188">
        <f t="shared" si="20"/>
        <v>0.10373908040201503</v>
      </c>
    </row>
    <row r="189" spans="2:20" x14ac:dyDescent="0.2">
      <c r="B189">
        <v>1303</v>
      </c>
      <c r="C189">
        <v>8.6573442459106396</v>
      </c>
      <c r="D189">
        <v>6.1742723464965801</v>
      </c>
      <c r="E189">
        <v>2.1543029513210099</v>
      </c>
      <c r="F189" s="13">
        <v>4.6832250599999998</v>
      </c>
      <c r="G189">
        <v>6.6067125320434599</v>
      </c>
      <c r="H189">
        <v>9.6935661315917994</v>
      </c>
      <c r="I189">
        <v>2.7531698703765901</v>
      </c>
      <c r="N189">
        <f t="shared" si="14"/>
        <v>0.27334054496602783</v>
      </c>
      <c r="O189">
        <f t="shared" si="15"/>
        <v>0.48868000714545345</v>
      </c>
      <c r="P189">
        <f t="shared" si="16"/>
        <v>0.25936171667087782</v>
      </c>
      <c r="Q189">
        <f t="shared" si="17"/>
        <v>0.51447750104526269</v>
      </c>
      <c r="R189">
        <f t="shared" si="18"/>
        <v>0.32065186038110183</v>
      </c>
      <c r="S189">
        <f t="shared" si="19"/>
        <v>0.66567011893852146</v>
      </c>
      <c r="T189">
        <f t="shared" si="20"/>
        <v>0.1041478068517364</v>
      </c>
    </row>
    <row r="190" spans="2:20" x14ac:dyDescent="0.2">
      <c r="B190">
        <v>1305</v>
      </c>
      <c r="C190">
        <v>9.0178190231323203</v>
      </c>
      <c r="D190">
        <v>6.4741408348083498</v>
      </c>
      <c r="E190">
        <v>2.2019302316010001</v>
      </c>
      <c r="F190" s="13">
        <v>4.8903525830000003</v>
      </c>
      <c r="G190">
        <v>6.7867213249206504</v>
      </c>
      <c r="H190">
        <v>10.0028827667236</v>
      </c>
      <c r="I190">
        <v>2.8249937295913701</v>
      </c>
      <c r="N190">
        <f t="shared" si="14"/>
        <v>0.28430552701868267</v>
      </c>
      <c r="O190">
        <f t="shared" si="15"/>
        <v>0.5046431476338924</v>
      </c>
      <c r="P190">
        <f t="shared" si="16"/>
        <v>0.264211360476164</v>
      </c>
      <c r="Q190">
        <f t="shared" si="17"/>
        <v>0.52927061805397957</v>
      </c>
      <c r="R190">
        <f t="shared" si="18"/>
        <v>0.3263913544064016</v>
      </c>
      <c r="S190">
        <f t="shared" si="19"/>
        <v>0.67861484067045819</v>
      </c>
      <c r="T190">
        <f t="shared" si="20"/>
        <v>0.10686478319864957</v>
      </c>
    </row>
    <row r="191" spans="2:20" x14ac:dyDescent="0.2">
      <c r="B191">
        <v>1307</v>
      </c>
      <c r="C191">
        <v>9.4343376159668004</v>
      </c>
      <c r="D191">
        <v>6.7663127899169897</v>
      </c>
      <c r="E191">
        <v>2.2641537312418198</v>
      </c>
      <c r="F191" s="13">
        <v>4.875884342</v>
      </c>
      <c r="G191">
        <v>7.2392042160034196</v>
      </c>
      <c r="H191">
        <v>10.37141456604</v>
      </c>
      <c r="I191">
        <v>2.9895977735519401</v>
      </c>
      <c r="N191">
        <f t="shared" si="14"/>
        <v>0.29697525922637746</v>
      </c>
      <c r="O191">
        <f t="shared" si="15"/>
        <v>0.52019657237831585</v>
      </c>
      <c r="P191">
        <f t="shared" si="16"/>
        <v>0.27054726308916938</v>
      </c>
      <c r="Q191">
        <f t="shared" si="17"/>
        <v>0.52823729143990472</v>
      </c>
      <c r="R191">
        <f t="shared" si="18"/>
        <v>0.34081855436930408</v>
      </c>
      <c r="S191">
        <f t="shared" si="19"/>
        <v>0.6940376826701713</v>
      </c>
      <c r="T191">
        <f t="shared" si="20"/>
        <v>0.11309147860232813</v>
      </c>
    </row>
    <row r="192" spans="2:20" x14ac:dyDescent="0.2">
      <c r="B192">
        <v>1309</v>
      </c>
      <c r="C192">
        <v>9.8838577270507795</v>
      </c>
      <c r="D192">
        <v>6.9979331970214798</v>
      </c>
      <c r="E192">
        <v>2.3469473347067802</v>
      </c>
      <c r="F192" s="13">
        <v>5.1171362399999998</v>
      </c>
      <c r="G192">
        <v>7.5415822029113802</v>
      </c>
      <c r="H192">
        <v>10.8302654266357</v>
      </c>
      <c r="I192">
        <v>3.2287893295288099</v>
      </c>
      <c r="N192">
        <f t="shared" si="14"/>
        <v>0.31064883713474822</v>
      </c>
      <c r="O192">
        <f t="shared" si="15"/>
        <v>0.5325266078529145</v>
      </c>
      <c r="P192">
        <f t="shared" si="16"/>
        <v>0.27897771479249406</v>
      </c>
      <c r="Q192">
        <f t="shared" si="17"/>
        <v>0.5454675827309805</v>
      </c>
      <c r="R192">
        <f t="shared" si="18"/>
        <v>0.35045973145571702</v>
      </c>
      <c r="S192">
        <f t="shared" si="19"/>
        <v>0.71324032498632106</v>
      </c>
      <c r="T192">
        <f t="shared" si="20"/>
        <v>0.12213969471150625</v>
      </c>
    </row>
    <row r="193" spans="2:20" x14ac:dyDescent="0.2">
      <c r="B193">
        <v>1311</v>
      </c>
      <c r="C193">
        <v>10.2839454650879</v>
      </c>
      <c r="D193">
        <v>7.1763921737670904</v>
      </c>
      <c r="E193">
        <v>2.42455016449094</v>
      </c>
      <c r="F193" s="13">
        <v>5.3101574420000004</v>
      </c>
      <c r="G193">
        <v>7.7755713462829599</v>
      </c>
      <c r="H193">
        <v>11.2081384658813</v>
      </c>
      <c r="I193">
        <v>3.5378838539123501</v>
      </c>
      <c r="N193">
        <f t="shared" si="14"/>
        <v>0.32281877285362504</v>
      </c>
      <c r="O193">
        <f t="shared" si="15"/>
        <v>0.5420266581357952</v>
      </c>
      <c r="P193">
        <f t="shared" si="16"/>
        <v>0.28687961640272613</v>
      </c>
      <c r="Q193">
        <f t="shared" si="17"/>
        <v>0.5592532215731405</v>
      </c>
      <c r="R193">
        <f t="shared" si="18"/>
        <v>0.35792036306654296</v>
      </c>
      <c r="S193">
        <f t="shared" si="19"/>
        <v>0.72905409245780273</v>
      </c>
      <c r="T193">
        <f t="shared" si="20"/>
        <v>0.13383222308427353</v>
      </c>
    </row>
    <row r="194" spans="2:20" x14ac:dyDescent="0.2">
      <c r="B194">
        <v>1313</v>
      </c>
      <c r="C194">
        <v>10.615116119384799</v>
      </c>
      <c r="D194">
        <v>7.3679183959960897</v>
      </c>
      <c r="E194">
        <v>2.4508660107850999</v>
      </c>
      <c r="F194" s="13">
        <v>5.3654423710000003</v>
      </c>
      <c r="G194">
        <v>8.0187647819519103</v>
      </c>
      <c r="H194">
        <v>11.481840133666999</v>
      </c>
      <c r="I194">
        <v>3.7713716030120801</v>
      </c>
      <c r="N194">
        <f t="shared" si="14"/>
        <v>0.33289237719487508</v>
      </c>
      <c r="O194">
        <f t="shared" si="15"/>
        <v>0.55222232761035106</v>
      </c>
      <c r="P194">
        <f t="shared" si="16"/>
        <v>0.2895592252363835</v>
      </c>
      <c r="Q194">
        <f t="shared" si="17"/>
        <v>0.56320168970364393</v>
      </c>
      <c r="R194">
        <f t="shared" si="18"/>
        <v>0.36567446912271961</v>
      </c>
      <c r="S194">
        <f t="shared" si="19"/>
        <v>0.74050834846813063</v>
      </c>
      <c r="T194">
        <f t="shared" si="20"/>
        <v>0.14266467372857727</v>
      </c>
    </row>
    <row r="195" spans="2:20" x14ac:dyDescent="0.2">
      <c r="B195">
        <v>1315</v>
      </c>
      <c r="C195">
        <v>10.869513130188</v>
      </c>
      <c r="D195">
        <v>7.5446169853210403</v>
      </c>
      <c r="E195">
        <v>2.4508849896490599</v>
      </c>
      <c r="F195" s="13">
        <v>5.4657746789999999</v>
      </c>
      <c r="G195">
        <v>8.1972847938537594</v>
      </c>
      <c r="H195">
        <v>11.7522491455078</v>
      </c>
      <c r="I195">
        <v>3.9059875488281199</v>
      </c>
      <c r="N195">
        <f t="shared" si="14"/>
        <v>0.34063066801013153</v>
      </c>
      <c r="O195">
        <f t="shared" si="15"/>
        <v>0.5616286657734012</v>
      </c>
      <c r="P195">
        <f t="shared" si="16"/>
        <v>0.2895611577576086</v>
      </c>
      <c r="Q195">
        <f t="shared" si="17"/>
        <v>0.57036745671761346</v>
      </c>
      <c r="R195">
        <f t="shared" si="18"/>
        <v>0.37136649408066785</v>
      </c>
      <c r="S195">
        <f t="shared" si="19"/>
        <v>0.75182480873738067</v>
      </c>
      <c r="T195">
        <f t="shared" si="20"/>
        <v>0.14775696958538723</v>
      </c>
    </row>
    <row r="196" spans="2:20" x14ac:dyDescent="0.2">
      <c r="B196">
        <v>1317</v>
      </c>
      <c r="C196">
        <v>11.017554473877</v>
      </c>
      <c r="D196">
        <v>7.5141704559326197</v>
      </c>
      <c r="E196">
        <v>2.4614009216427801</v>
      </c>
      <c r="F196" s="13">
        <v>5.4549362659999998</v>
      </c>
      <c r="G196">
        <v>8.3332199096679709</v>
      </c>
      <c r="H196">
        <v>11.8003904342651</v>
      </c>
      <c r="I196">
        <v>4.23073434829712</v>
      </c>
      <c r="N196">
        <f t="shared" si="14"/>
        <v>0.3451338143581561</v>
      </c>
      <c r="O196">
        <f t="shared" si="15"/>
        <v>0.56000788117963152</v>
      </c>
      <c r="P196">
        <f t="shared" si="16"/>
        <v>0.29063194164764694</v>
      </c>
      <c r="Q196">
        <f t="shared" si="17"/>
        <v>0.56959337363403506</v>
      </c>
      <c r="R196">
        <f t="shared" si="18"/>
        <v>0.37570072005137578</v>
      </c>
      <c r="S196">
        <f t="shared" si="19"/>
        <v>0.75383949374297221</v>
      </c>
      <c r="T196">
        <f t="shared" si="20"/>
        <v>0.16004159731966891</v>
      </c>
    </row>
    <row r="197" spans="2:20" x14ac:dyDescent="0.2">
      <c r="B197">
        <v>1319</v>
      </c>
      <c r="C197">
        <v>11.040185546875</v>
      </c>
      <c r="D197">
        <v>7.3421293258666998</v>
      </c>
      <c r="E197">
        <v>2.4829706110060199</v>
      </c>
      <c r="F197" s="13">
        <v>5.4160221100000001</v>
      </c>
      <c r="G197">
        <v>8.2913914680481007</v>
      </c>
      <c r="H197">
        <v>11.6193790435791</v>
      </c>
      <c r="I197">
        <v>4.2825481414794897</v>
      </c>
      <c r="N197">
        <f t="shared" si="14"/>
        <v>0.34582221012101078</v>
      </c>
      <c r="O197">
        <f t="shared" si="15"/>
        <v>0.55084947729233547</v>
      </c>
      <c r="P197">
        <f t="shared" si="16"/>
        <v>0.29282827345134083</v>
      </c>
      <c r="Q197">
        <f t="shared" si="17"/>
        <v>0.5668141115897366</v>
      </c>
      <c r="R197">
        <f t="shared" si="18"/>
        <v>0.37436704025203044</v>
      </c>
      <c r="S197">
        <f t="shared" si="19"/>
        <v>0.74626427205551682</v>
      </c>
      <c r="T197">
        <f t="shared" si="20"/>
        <v>0.16200162636933854</v>
      </c>
    </row>
    <row r="198" spans="2:20" x14ac:dyDescent="0.2">
      <c r="B198">
        <v>1321</v>
      </c>
      <c r="C198">
        <v>10.939553451538099</v>
      </c>
      <c r="D198">
        <v>7.2094284057617202</v>
      </c>
      <c r="E198">
        <v>2.4592310898005998</v>
      </c>
      <c r="F198" s="13">
        <v>5.286661863</v>
      </c>
      <c r="G198">
        <v>8.4290824890136697</v>
      </c>
      <c r="H198">
        <v>11.4289344787598</v>
      </c>
      <c r="I198">
        <v>4.2509068965911903</v>
      </c>
      <c r="N198">
        <f t="shared" ref="N198:N261" si="21">C198/$L$8+0.01</f>
        <v>0.34276116621720504</v>
      </c>
      <c r="O198">
        <f t="shared" ref="O198:O261" si="22">D198/$L$9+0.16</f>
        <v>0.5437853024518684</v>
      </c>
      <c r="P198">
        <f t="shared" ref="P198:P261" si="23">E198/$L$10+0.04</f>
        <v>0.29041099870297155</v>
      </c>
      <c r="Q198">
        <f t="shared" ref="Q198:Q261" si="24">F198/$L$11+0.18</f>
        <v>0.55757515945807068</v>
      </c>
      <c r="R198">
        <f t="shared" ref="R198:R261" si="25">G198/$L$12+0.11</f>
        <v>0.37875725241632441</v>
      </c>
      <c r="S198">
        <f t="shared" ref="S198:S261" si="26">H198/$L$13+0.26</f>
        <v>0.73829427750318644</v>
      </c>
      <c r="T198">
        <f t="shared" ref="T198:T261" si="27">I198/$L$14</f>
        <v>0.16080469104884401</v>
      </c>
    </row>
    <row r="199" spans="2:20" x14ac:dyDescent="0.2">
      <c r="B199">
        <v>1323</v>
      </c>
      <c r="C199">
        <v>10.7948541641235</v>
      </c>
      <c r="D199">
        <v>7.0862606048584</v>
      </c>
      <c r="E199">
        <v>2.4499489277601199</v>
      </c>
      <c r="F199" s="13">
        <v>5.2785236839999996</v>
      </c>
      <c r="G199">
        <v>8.4599974632263208</v>
      </c>
      <c r="H199">
        <v>11.1993398666382</v>
      </c>
      <c r="I199">
        <v>4.3687280654907203</v>
      </c>
      <c r="N199">
        <f t="shared" si="21"/>
        <v>0.33835967909579873</v>
      </c>
      <c r="O199">
        <f t="shared" si="22"/>
        <v>0.53722861181544646</v>
      </c>
      <c r="P199">
        <f t="shared" si="23"/>
        <v>0.28946584333456415</v>
      </c>
      <c r="Q199">
        <f t="shared" si="24"/>
        <v>0.55699392799041636</v>
      </c>
      <c r="R199">
        <f t="shared" si="25"/>
        <v>0.37974296154169396</v>
      </c>
      <c r="S199">
        <f t="shared" si="26"/>
        <v>0.72868587618393754</v>
      </c>
      <c r="T199">
        <f t="shared" si="27"/>
        <v>0.16526166861264235</v>
      </c>
    </row>
    <row r="200" spans="2:20" x14ac:dyDescent="0.2">
      <c r="B200">
        <v>1325</v>
      </c>
      <c r="C200">
        <v>10.6436864852905</v>
      </c>
      <c r="D200">
        <v>7.0772236824035604</v>
      </c>
      <c r="E200">
        <v>2.4364273920655299</v>
      </c>
      <c r="F200" s="13">
        <v>5.3200947279999999</v>
      </c>
      <c r="G200">
        <v>8.2235264778137207</v>
      </c>
      <c r="H200">
        <v>10.9763040542603</v>
      </c>
      <c r="I200">
        <v>4.2862948417663604</v>
      </c>
      <c r="N200">
        <f t="shared" si="21"/>
        <v>0.33376143536257358</v>
      </c>
      <c r="O200">
        <f t="shared" si="22"/>
        <v>0.53674754205202491</v>
      </c>
      <c r="P200">
        <f t="shared" si="23"/>
        <v>0.28808901410069387</v>
      </c>
      <c r="Q200">
        <f t="shared" si="24"/>
        <v>0.55996294586481321</v>
      </c>
      <c r="R200">
        <f t="shared" si="25"/>
        <v>0.37220319758772796</v>
      </c>
      <c r="S200">
        <f t="shared" si="26"/>
        <v>0.71935195682891129</v>
      </c>
      <c r="T200">
        <f t="shared" si="27"/>
        <v>0.1621433577684821</v>
      </c>
    </row>
    <row r="201" spans="2:20" x14ac:dyDescent="0.2">
      <c r="B201">
        <v>1327</v>
      </c>
      <c r="C201">
        <v>10.6047241210937</v>
      </c>
      <c r="D201">
        <v>7.0820675849914503</v>
      </c>
      <c r="E201">
        <v>2.4122892647981602</v>
      </c>
      <c r="F201" s="13">
        <v>5.2463673589999997</v>
      </c>
      <c r="G201">
        <v>8.2815423011779803</v>
      </c>
      <c r="H201">
        <v>10.9383958816528</v>
      </c>
      <c r="I201">
        <v>4.1466388225555404</v>
      </c>
      <c r="N201">
        <f t="shared" si="21"/>
        <v>0.33257627165309106</v>
      </c>
      <c r="O201">
        <f t="shared" si="22"/>
        <v>0.53700540141550157</v>
      </c>
      <c r="P201">
        <f t="shared" si="23"/>
        <v>0.28563115132362094</v>
      </c>
      <c r="Q201">
        <f t="shared" si="24"/>
        <v>0.55469731249767329</v>
      </c>
      <c r="R201">
        <f t="shared" si="25"/>
        <v>0.37405300429022159</v>
      </c>
      <c r="S201">
        <f t="shared" si="26"/>
        <v>0.7177655217975033</v>
      </c>
      <c r="T201">
        <f t="shared" si="27"/>
        <v>0.1568604043732158</v>
      </c>
    </row>
    <row r="202" spans="2:20" x14ac:dyDescent="0.2">
      <c r="B202">
        <v>1329</v>
      </c>
      <c r="C202">
        <v>10.6678068161011</v>
      </c>
      <c r="D202">
        <v>7.0903809547424297</v>
      </c>
      <c r="E202">
        <v>2.4174601584672901</v>
      </c>
      <c r="F202" s="13">
        <v>5.2797040940000004</v>
      </c>
      <c r="G202">
        <v>8.3443503379821795</v>
      </c>
      <c r="H202">
        <v>10.9167335510254</v>
      </c>
      <c r="I202">
        <v>4.2123166084289503</v>
      </c>
      <c r="N202">
        <f t="shared" si="21"/>
        <v>0.33449513161860783</v>
      </c>
      <c r="O202">
        <f t="shared" si="22"/>
        <v>0.53744795371572607</v>
      </c>
      <c r="P202">
        <f t="shared" si="23"/>
        <v>0.28615767713619866</v>
      </c>
      <c r="Q202">
        <f t="shared" si="24"/>
        <v>0.55707823326764538</v>
      </c>
      <c r="R202">
        <f t="shared" si="25"/>
        <v>0.37605560841981239</v>
      </c>
      <c r="S202">
        <f t="shared" si="26"/>
        <v>0.71685896582802755</v>
      </c>
      <c r="T202">
        <f t="shared" si="27"/>
        <v>0.1593448850553533</v>
      </c>
    </row>
    <row r="203" spans="2:20" x14ac:dyDescent="0.2">
      <c r="B203">
        <v>1331</v>
      </c>
      <c r="C203">
        <v>10.737917709350601</v>
      </c>
      <c r="D203">
        <v>7.18086557388306</v>
      </c>
      <c r="E203">
        <v>2.4484415128827099</v>
      </c>
      <c r="F203" s="13">
        <v>5.3495779509999997</v>
      </c>
      <c r="G203">
        <v>8.3631248474121094</v>
      </c>
      <c r="H203">
        <v>10.983406639099099</v>
      </c>
      <c r="I203">
        <v>4.2490694522857702</v>
      </c>
      <c r="N203">
        <f t="shared" si="21"/>
        <v>0.33662777649351844</v>
      </c>
      <c r="O203">
        <f t="shared" si="22"/>
        <v>0.5422647942431077</v>
      </c>
      <c r="P203">
        <f t="shared" si="23"/>
        <v>0.28931235094156482</v>
      </c>
      <c r="Q203">
        <f t="shared" si="24"/>
        <v>0.562068647518152</v>
      </c>
      <c r="R203">
        <f t="shared" si="25"/>
        <v>0.37665422464837922</v>
      </c>
      <c r="S203">
        <f t="shared" si="26"/>
        <v>0.71964919588388976</v>
      </c>
      <c r="T203">
        <f t="shared" si="27"/>
        <v>0.16073518360701095</v>
      </c>
    </row>
    <row r="204" spans="2:20" x14ac:dyDescent="0.2">
      <c r="B204">
        <v>1333</v>
      </c>
      <c r="C204">
        <v>10.825189781189</v>
      </c>
      <c r="D204">
        <v>7.1692994117736797</v>
      </c>
      <c r="E204">
        <v>2.4521567478775999</v>
      </c>
      <c r="F204" s="13">
        <v>5.408402014</v>
      </c>
      <c r="G204">
        <v>8.3611789703369102</v>
      </c>
      <c r="H204">
        <v>11.098523139953601</v>
      </c>
      <c r="I204">
        <v>4.1318415164947497</v>
      </c>
      <c r="N204">
        <f t="shared" si="21"/>
        <v>0.33928243296846389</v>
      </c>
      <c r="O204">
        <f t="shared" si="22"/>
        <v>0.54164908343033247</v>
      </c>
      <c r="P204">
        <f t="shared" si="23"/>
        <v>0.28969065443217418</v>
      </c>
      <c r="Q204">
        <f t="shared" si="24"/>
        <v>0.56626988178332094</v>
      </c>
      <c r="R204">
        <f t="shared" si="25"/>
        <v>0.3765921812911156</v>
      </c>
      <c r="S204">
        <f t="shared" si="26"/>
        <v>0.72446675466045152</v>
      </c>
      <c r="T204">
        <f t="shared" si="27"/>
        <v>0.15630064705851932</v>
      </c>
    </row>
    <row r="205" spans="2:20" x14ac:dyDescent="0.2">
      <c r="B205">
        <v>1335</v>
      </c>
      <c r="C205">
        <v>10.8320049285889</v>
      </c>
      <c r="D205">
        <v>7.0834994316101101</v>
      </c>
      <c r="E205">
        <v>2.4182397618889802</v>
      </c>
      <c r="F205" s="13">
        <v>5.4119611259999996</v>
      </c>
      <c r="G205">
        <v>8.3245391845703107</v>
      </c>
      <c r="H205">
        <v>11.164783668518099</v>
      </c>
      <c r="I205">
        <v>4.0971655368804898</v>
      </c>
      <c r="N205">
        <f t="shared" si="21"/>
        <v>0.33948973726171311</v>
      </c>
      <c r="O205">
        <f t="shared" si="22"/>
        <v>0.53708162405850168</v>
      </c>
      <c r="P205">
        <f t="shared" si="23"/>
        <v>0.28623706018898587</v>
      </c>
      <c r="Q205">
        <f t="shared" si="24"/>
        <v>0.56652407475343192</v>
      </c>
      <c r="R205">
        <f t="shared" si="25"/>
        <v>0.37542393929507528</v>
      </c>
      <c r="S205">
        <f t="shared" si="26"/>
        <v>0.72723971934019782</v>
      </c>
      <c r="T205">
        <f t="shared" si="27"/>
        <v>0.15498891280408092</v>
      </c>
    </row>
    <row r="206" spans="2:20" x14ac:dyDescent="0.2">
      <c r="B206">
        <v>1337</v>
      </c>
      <c r="C206">
        <v>10.695532798767101</v>
      </c>
      <c r="D206">
        <v>7.0310784339904799</v>
      </c>
      <c r="E206">
        <v>2.3931549817323701</v>
      </c>
      <c r="F206" s="13">
        <v>5.3640707020000002</v>
      </c>
      <c r="G206">
        <v>8.3620345115661596</v>
      </c>
      <c r="H206">
        <v>11.098686218261699</v>
      </c>
      <c r="I206">
        <v>4.2295550346374498</v>
      </c>
      <c r="N206">
        <f t="shared" si="21"/>
        <v>0.33533850519572206</v>
      </c>
      <c r="O206">
        <f t="shared" si="22"/>
        <v>0.53429105491848494</v>
      </c>
      <c r="P206">
        <f t="shared" si="23"/>
        <v>0.28368280456115447</v>
      </c>
      <c r="Q206">
        <f t="shared" si="24"/>
        <v>0.56310372464462932</v>
      </c>
      <c r="R206">
        <f t="shared" si="25"/>
        <v>0.37661945981287659</v>
      </c>
      <c r="S206">
        <f t="shared" si="26"/>
        <v>0.72447357939303647</v>
      </c>
      <c r="T206">
        <f t="shared" si="27"/>
        <v>0.15999698585832522</v>
      </c>
    </row>
    <row r="207" spans="2:20" x14ac:dyDescent="0.2">
      <c r="B207">
        <v>1339</v>
      </c>
      <c r="C207">
        <v>10.5687623977661</v>
      </c>
      <c r="D207">
        <v>6.9240584373474103</v>
      </c>
      <c r="E207">
        <v>2.3524436123669101</v>
      </c>
      <c r="F207" s="13">
        <v>5.3041242119999996</v>
      </c>
      <c r="G207">
        <v>8.1832288742065398</v>
      </c>
      <c r="H207">
        <v>10.933723068237301</v>
      </c>
      <c r="I207">
        <v>4.1955533027648899</v>
      </c>
      <c r="N207">
        <f t="shared" si="21"/>
        <v>0.3314823819393396</v>
      </c>
      <c r="O207">
        <f t="shared" si="22"/>
        <v>0.52859397333747737</v>
      </c>
      <c r="P207">
        <f t="shared" si="23"/>
        <v>0.27953737280256485</v>
      </c>
      <c r="Q207">
        <f t="shared" si="24"/>
        <v>0.55882232626749584</v>
      </c>
      <c r="R207">
        <f t="shared" si="25"/>
        <v>0.37091832782419865</v>
      </c>
      <c r="S207">
        <f t="shared" si="26"/>
        <v>0.71756996726697142</v>
      </c>
      <c r="T207">
        <f t="shared" si="27"/>
        <v>0.1587107572671328</v>
      </c>
    </row>
    <row r="208" spans="2:20" x14ac:dyDescent="0.2">
      <c r="B208">
        <v>1341</v>
      </c>
      <c r="C208">
        <v>10.3357088088989</v>
      </c>
      <c r="D208">
        <v>6.7807780265808102</v>
      </c>
      <c r="E208">
        <v>2.2939858421683299</v>
      </c>
      <c r="F208" s="13">
        <v>5.0623475070000001</v>
      </c>
      <c r="G208">
        <v>7.9155710220336903</v>
      </c>
      <c r="H208">
        <v>10.650973892211899</v>
      </c>
      <c r="I208">
        <v>3.8133814334869398</v>
      </c>
      <c r="N208">
        <f t="shared" si="21"/>
        <v>0.32439331890161099</v>
      </c>
      <c r="O208">
        <f t="shared" si="22"/>
        <v>0.52096661195921035</v>
      </c>
      <c r="P208">
        <f t="shared" si="23"/>
        <v>0.27358491527301959</v>
      </c>
      <c r="Q208">
        <f t="shared" si="24"/>
        <v>0.54155455308485112</v>
      </c>
      <c r="R208">
        <f t="shared" si="25"/>
        <v>0.36238418558138769</v>
      </c>
      <c r="S208">
        <f t="shared" si="26"/>
        <v>0.70573707828567367</v>
      </c>
      <c r="T208">
        <f t="shared" si="27"/>
        <v>0.14425383528277205</v>
      </c>
    </row>
    <row r="209" spans="2:20" x14ac:dyDescent="0.2">
      <c r="B209">
        <v>1343</v>
      </c>
      <c r="C209">
        <v>10.095736503601101</v>
      </c>
      <c r="D209">
        <v>6.6673147201538097</v>
      </c>
      <c r="E209">
        <v>2.2450017020106299</v>
      </c>
      <c r="F209" s="13">
        <v>4.926932764</v>
      </c>
      <c r="G209">
        <v>7.9094202041625996</v>
      </c>
      <c r="H209">
        <v>10.3333046913147</v>
      </c>
      <c r="I209">
        <v>3.5759860038757298</v>
      </c>
      <c r="N209">
        <f t="shared" si="21"/>
        <v>0.31709380119053848</v>
      </c>
      <c r="O209">
        <f t="shared" si="22"/>
        <v>0.51492652848470444</v>
      </c>
      <c r="P209">
        <f t="shared" si="23"/>
        <v>0.26859710932490494</v>
      </c>
      <c r="Q209">
        <f t="shared" si="24"/>
        <v>0.53188318682270397</v>
      </c>
      <c r="R209">
        <f t="shared" si="25"/>
        <v>0.36218806970361545</v>
      </c>
      <c r="S209">
        <f t="shared" si="26"/>
        <v>0.69244280652214985</v>
      </c>
      <c r="T209">
        <f t="shared" si="27"/>
        <v>0.13527356362694015</v>
      </c>
    </row>
    <row r="210" spans="2:20" x14ac:dyDescent="0.2">
      <c r="B210">
        <v>1345</v>
      </c>
      <c r="C210">
        <v>9.9631309509277308</v>
      </c>
      <c r="D210">
        <v>6.62846460342407</v>
      </c>
      <c r="E210">
        <v>2.2394633859396</v>
      </c>
      <c r="F210" s="13">
        <v>4.9522296429999999</v>
      </c>
      <c r="G210">
        <v>7.8908261299133304</v>
      </c>
      <c r="H210">
        <v>10.088218498230001</v>
      </c>
      <c r="I210">
        <v>3.8471728801727298</v>
      </c>
      <c r="N210">
        <f t="shared" si="21"/>
        <v>0.31306018331482316</v>
      </c>
      <c r="O210">
        <f t="shared" si="22"/>
        <v>0.51285838896514169</v>
      </c>
      <c r="P210">
        <f t="shared" si="23"/>
        <v>0.26803317075718303</v>
      </c>
      <c r="Q210">
        <f t="shared" si="24"/>
        <v>0.53368989838658609</v>
      </c>
      <c r="R210">
        <f t="shared" si="25"/>
        <v>0.36159520656424388</v>
      </c>
      <c r="S210">
        <f t="shared" si="26"/>
        <v>0.68218609152694998</v>
      </c>
      <c r="T210">
        <f t="shared" si="27"/>
        <v>0.14553210913740747</v>
      </c>
    </row>
    <row r="211" spans="2:20" x14ac:dyDescent="0.2">
      <c r="B211">
        <v>1347</v>
      </c>
      <c r="C211">
        <v>9.9269767761230501</v>
      </c>
      <c r="D211">
        <v>6.5745658874511701</v>
      </c>
      <c r="E211">
        <v>2.2536175593733798</v>
      </c>
      <c r="F211" s="13">
        <v>4.8201820370000004</v>
      </c>
      <c r="G211">
        <v>7.96458597183228</v>
      </c>
      <c r="H211">
        <v>9.9237216949462894</v>
      </c>
      <c r="I211">
        <v>3.7761166572570799</v>
      </c>
      <c r="N211">
        <f t="shared" si="21"/>
        <v>0.31196043957985975</v>
      </c>
      <c r="O211">
        <f t="shared" si="22"/>
        <v>0.50998915525517174</v>
      </c>
      <c r="P211">
        <f t="shared" si="23"/>
        <v>0.26947441827559143</v>
      </c>
      <c r="Q211">
        <f t="shared" si="24"/>
        <v>0.52425901417580478</v>
      </c>
      <c r="R211">
        <f t="shared" si="25"/>
        <v>0.36394700374722755</v>
      </c>
      <c r="S211">
        <f t="shared" si="26"/>
        <v>0.67530199574143412</v>
      </c>
      <c r="T211">
        <f t="shared" si="27"/>
        <v>0.14284417118651715</v>
      </c>
    </row>
    <row r="212" spans="2:20" x14ac:dyDescent="0.2">
      <c r="B212">
        <v>1349</v>
      </c>
      <c r="C212">
        <v>10.0663499832153</v>
      </c>
      <c r="D212">
        <v>6.5749018669128398</v>
      </c>
      <c r="E212">
        <v>2.2622429087758098</v>
      </c>
      <c r="F212" s="13">
        <v>4.7894392970000004</v>
      </c>
      <c r="G212">
        <v>8.0890410423278798</v>
      </c>
      <c r="H212">
        <v>9.8149305343627908</v>
      </c>
      <c r="I212">
        <v>3.7185515403747602</v>
      </c>
      <c r="N212">
        <f t="shared" si="21"/>
        <v>0.31619991709938577</v>
      </c>
      <c r="O212">
        <f t="shared" si="22"/>
        <v>0.5100070407201569</v>
      </c>
      <c r="P212">
        <f t="shared" si="23"/>
        <v>0.27035269375241927</v>
      </c>
      <c r="Q212">
        <f t="shared" si="24"/>
        <v>0.52206335739682341</v>
      </c>
      <c r="R212">
        <f t="shared" si="25"/>
        <v>0.3679151939789963</v>
      </c>
      <c r="S212">
        <f t="shared" si="26"/>
        <v>0.67074914878560277</v>
      </c>
      <c r="T212">
        <f t="shared" si="27"/>
        <v>0.14066657919011868</v>
      </c>
    </row>
    <row r="213" spans="2:20" x14ac:dyDescent="0.2">
      <c r="B213">
        <v>1351</v>
      </c>
      <c r="C213">
        <v>10.315142440795899</v>
      </c>
      <c r="D213">
        <v>6.6212626457214396</v>
      </c>
      <c r="E213">
        <v>2.2749126382172098</v>
      </c>
      <c r="F213" s="13">
        <v>4.8558634759999997</v>
      </c>
      <c r="G213">
        <v>8.2750188827514606</v>
      </c>
      <c r="H213">
        <v>9.7257516860961903</v>
      </c>
      <c r="I213">
        <v>3.7724467277526901</v>
      </c>
      <c r="N213">
        <f t="shared" si="21"/>
        <v>0.32376772767751544</v>
      </c>
      <c r="O213">
        <f t="shared" si="22"/>
        <v>0.51247500135663993</v>
      </c>
      <c r="P213">
        <f t="shared" si="23"/>
        <v>0.27164278788626284</v>
      </c>
      <c r="Q213">
        <f t="shared" si="24"/>
        <v>0.52680739449012148</v>
      </c>
      <c r="R213">
        <f t="shared" si="25"/>
        <v>0.37384500822244571</v>
      </c>
      <c r="S213">
        <f t="shared" si="26"/>
        <v>0.66701706572225949</v>
      </c>
      <c r="T213">
        <f t="shared" si="27"/>
        <v>0.14270534389754555</v>
      </c>
    </row>
    <row r="214" spans="2:20" x14ac:dyDescent="0.2">
      <c r="B214">
        <v>1353</v>
      </c>
      <c r="C214">
        <v>10.5532320022583</v>
      </c>
      <c r="D214">
        <v>6.6342669486999499</v>
      </c>
      <c r="E214">
        <v>2.30637401789427</v>
      </c>
      <c r="F214" s="13">
        <v>4.9434732910000001</v>
      </c>
      <c r="G214">
        <v>8.3737479209899899</v>
      </c>
      <c r="H214">
        <v>9.7110647201538107</v>
      </c>
      <c r="I214">
        <v>3.70365300178528</v>
      </c>
      <c r="N214">
        <f t="shared" si="21"/>
        <v>0.33100997577176755</v>
      </c>
      <c r="O214">
        <f t="shared" si="22"/>
        <v>0.51316726987931438</v>
      </c>
      <c r="P214">
        <f t="shared" si="23"/>
        <v>0.27484634022348742</v>
      </c>
      <c r="Q214">
        <f t="shared" si="24"/>
        <v>0.53306451679639766</v>
      </c>
      <c r="R214">
        <f t="shared" si="25"/>
        <v>0.37699293625438485</v>
      </c>
      <c r="S214">
        <f t="shared" si="26"/>
        <v>0.6664024247181326</v>
      </c>
      <c r="T214">
        <f t="shared" si="27"/>
        <v>0.14010299241834492</v>
      </c>
    </row>
    <row r="215" spans="2:20" x14ac:dyDescent="0.2">
      <c r="B215">
        <v>1355</v>
      </c>
      <c r="C215">
        <v>10.8040575027466</v>
      </c>
      <c r="D215">
        <v>6.7167184829711903</v>
      </c>
      <c r="E215">
        <v>2.3430583454668499</v>
      </c>
      <c r="F215" s="13">
        <v>4.8781057360000002</v>
      </c>
      <c r="G215">
        <v>8.4684140205383294</v>
      </c>
      <c r="H215">
        <v>9.8026060104370103</v>
      </c>
      <c r="I215">
        <v>3.7014719009399402</v>
      </c>
      <c r="N215">
        <f t="shared" si="21"/>
        <v>0.33863962778903212</v>
      </c>
      <c r="O215">
        <f t="shared" si="22"/>
        <v>0.51755647873706778</v>
      </c>
      <c r="P215">
        <f t="shared" si="23"/>
        <v>0.27858171879050997</v>
      </c>
      <c r="Q215">
        <f t="shared" si="24"/>
        <v>0.52839594414278301</v>
      </c>
      <c r="R215">
        <f t="shared" si="25"/>
        <v>0.38001131943484878</v>
      </c>
      <c r="S215">
        <f t="shared" si="26"/>
        <v>0.67023337460931298</v>
      </c>
      <c r="T215">
        <f t="shared" si="27"/>
        <v>0.14002048502495493</v>
      </c>
    </row>
    <row r="216" spans="2:20" x14ac:dyDescent="0.2">
      <c r="B216">
        <v>1357</v>
      </c>
      <c r="C216">
        <v>10.9763233184814</v>
      </c>
      <c r="D216">
        <v>6.8375500679016099</v>
      </c>
      <c r="E216">
        <v>2.3343729287385901</v>
      </c>
      <c r="F216" s="13">
        <v>4.8850297449999998</v>
      </c>
      <c r="G216">
        <v>8.6256318092346191</v>
      </c>
      <c r="H216">
        <v>9.9232254981994608</v>
      </c>
      <c r="I216">
        <v>3.7640945911407502</v>
      </c>
      <c r="N216">
        <f t="shared" si="21"/>
        <v>0.3438796381785979</v>
      </c>
      <c r="O216">
        <f t="shared" si="22"/>
        <v>0.5239888037090723</v>
      </c>
      <c r="P216">
        <f t="shared" si="23"/>
        <v>0.27769732696328586</v>
      </c>
      <c r="Q216">
        <f t="shared" si="24"/>
        <v>0.52889045918271038</v>
      </c>
      <c r="R216">
        <f t="shared" si="25"/>
        <v>0.38502413322283313</v>
      </c>
      <c r="S216">
        <f t="shared" si="26"/>
        <v>0.67528123019544517</v>
      </c>
      <c r="T216">
        <f t="shared" si="27"/>
        <v>0.14238939655262539</v>
      </c>
    </row>
    <row r="217" spans="2:20" x14ac:dyDescent="0.2">
      <c r="B217">
        <v>1359</v>
      </c>
      <c r="C217">
        <v>11.031944274902299</v>
      </c>
      <c r="D217">
        <v>6.9582984924316396</v>
      </c>
      <c r="E217">
        <v>2.36440796107054</v>
      </c>
      <c r="F217" s="13">
        <v>5.1483924869999997</v>
      </c>
      <c r="G217">
        <v>8.8481688499450701</v>
      </c>
      <c r="H217">
        <v>10.071261215210001</v>
      </c>
      <c r="I217">
        <v>3.8252284049987799</v>
      </c>
      <c r="N217">
        <f t="shared" si="21"/>
        <v>0.34557152573202748</v>
      </c>
      <c r="O217">
        <f t="shared" si="22"/>
        <v>0.53041670173657862</v>
      </c>
      <c r="P217">
        <f t="shared" si="23"/>
        <v>0.28075564160216326</v>
      </c>
      <c r="Q217">
        <f t="shared" si="24"/>
        <v>0.54769991435174914</v>
      </c>
      <c r="R217">
        <f t="shared" si="25"/>
        <v>0.39211962003295198</v>
      </c>
      <c r="S217">
        <f t="shared" si="26"/>
        <v>0.68147643907023658</v>
      </c>
      <c r="T217">
        <f t="shared" si="27"/>
        <v>0.14470198638091855</v>
      </c>
    </row>
    <row r="218" spans="2:20" x14ac:dyDescent="0.2">
      <c r="B218">
        <v>1361</v>
      </c>
      <c r="C218">
        <v>11.112561416626001</v>
      </c>
      <c r="D218">
        <v>7.0134076118469197</v>
      </c>
      <c r="E218">
        <v>2.3981203779578202</v>
      </c>
      <c r="F218" s="13">
        <v>5.1993092540000001</v>
      </c>
      <c r="G218">
        <v>8.8059392929077092</v>
      </c>
      <c r="H218">
        <v>10.165816211700401</v>
      </c>
      <c r="I218">
        <v>3.9804887771606401</v>
      </c>
      <c r="N218">
        <f t="shared" si="21"/>
        <v>0.34802375142989678</v>
      </c>
      <c r="O218">
        <f t="shared" si="22"/>
        <v>0.5333503698267904</v>
      </c>
      <c r="P218">
        <f t="shared" si="23"/>
        <v>0.28418840561382808</v>
      </c>
      <c r="Q218">
        <f t="shared" si="24"/>
        <v>0.55133640689038954</v>
      </c>
      <c r="R218">
        <f t="shared" si="25"/>
        <v>0.39077315086090247</v>
      </c>
      <c r="S218">
        <f t="shared" si="26"/>
        <v>0.68543351081780335</v>
      </c>
      <c r="T218">
        <f t="shared" si="27"/>
        <v>0.15057522632358519</v>
      </c>
    </row>
    <row r="219" spans="2:20" x14ac:dyDescent="0.2">
      <c r="B219">
        <v>1363</v>
      </c>
      <c r="C219">
        <v>11.2465982437134</v>
      </c>
      <c r="D219">
        <v>7.10469770431519</v>
      </c>
      <c r="E219">
        <v>2.3660112783312801</v>
      </c>
      <c r="F219" s="13">
        <v>5.1863842010000001</v>
      </c>
      <c r="G219">
        <v>8.9088325500488299</v>
      </c>
      <c r="H219">
        <v>10.2890167236328</v>
      </c>
      <c r="I219">
        <v>3.91713571548462</v>
      </c>
      <c r="N219">
        <f t="shared" si="21"/>
        <v>0.35210090605007793</v>
      </c>
      <c r="O219">
        <f t="shared" si="22"/>
        <v>0.53821008876384147</v>
      </c>
      <c r="P219">
        <f t="shared" si="23"/>
        <v>0.28091889924727226</v>
      </c>
      <c r="Q219">
        <f t="shared" si="24"/>
        <v>0.55041329527970873</v>
      </c>
      <c r="R219">
        <f t="shared" si="25"/>
        <v>0.39405385301531332</v>
      </c>
      <c r="S219">
        <f t="shared" si="26"/>
        <v>0.69058938076808096</v>
      </c>
      <c r="T219">
        <f t="shared" si="27"/>
        <v>0.14817868606579218</v>
      </c>
    </row>
    <row r="220" spans="2:20" x14ac:dyDescent="0.2">
      <c r="B220">
        <v>1365</v>
      </c>
      <c r="C220">
        <v>11.4840137481689</v>
      </c>
      <c r="D220">
        <v>7.2221967697143601</v>
      </c>
      <c r="E220">
        <v>2.39668750166893</v>
      </c>
      <c r="F220" s="13">
        <v>5.4730606560000004</v>
      </c>
      <c r="G220">
        <v>9.2562095642089801</v>
      </c>
      <c r="H220">
        <v>10.3838001251221</v>
      </c>
      <c r="I220">
        <v>3.66096301078796</v>
      </c>
      <c r="N220">
        <f t="shared" si="21"/>
        <v>0.35932265056557733</v>
      </c>
      <c r="O220">
        <f t="shared" si="22"/>
        <v>0.54446501104256095</v>
      </c>
      <c r="P220">
        <f t="shared" si="23"/>
        <v>0.28404250310633017</v>
      </c>
      <c r="Q220">
        <f t="shared" si="24"/>
        <v>0.57088782363323487</v>
      </c>
      <c r="R220">
        <f t="shared" si="25"/>
        <v>0.40512980250328579</v>
      </c>
      <c r="S220">
        <f t="shared" si="26"/>
        <v>0.69455601113234389</v>
      </c>
      <c r="T220">
        <f t="shared" si="27"/>
        <v>0.13848810153030716</v>
      </c>
    </row>
    <row r="221" spans="2:20" x14ac:dyDescent="0.2">
      <c r="B221">
        <v>1367</v>
      </c>
      <c r="C221">
        <v>11.6955324172974</v>
      </c>
      <c r="D221">
        <v>7.2271275520324698</v>
      </c>
      <c r="E221">
        <v>2.4234341785311702</v>
      </c>
      <c r="F221" s="13">
        <v>5.4357895850000002</v>
      </c>
      <c r="G221">
        <v>9.3458446502685604</v>
      </c>
      <c r="H221">
        <v>10.4655708312988</v>
      </c>
      <c r="I221">
        <v>3.8685865879058801</v>
      </c>
      <c r="N221">
        <f t="shared" si="21"/>
        <v>0.36575666081359298</v>
      </c>
      <c r="O221">
        <f t="shared" si="22"/>
        <v>0.54472749534461296</v>
      </c>
      <c r="P221">
        <f t="shared" si="23"/>
        <v>0.28676598122631536</v>
      </c>
      <c r="Q221">
        <f t="shared" si="24"/>
        <v>0.56822591126950139</v>
      </c>
      <c r="R221">
        <f t="shared" si="25"/>
        <v>0.40798777423162896</v>
      </c>
      <c r="S221">
        <f t="shared" si="26"/>
        <v>0.69797806774701732</v>
      </c>
      <c r="T221">
        <f t="shared" si="27"/>
        <v>0.1463421538502194</v>
      </c>
    </row>
    <row r="222" spans="2:20" x14ac:dyDescent="0.2">
      <c r="B222">
        <v>1369</v>
      </c>
      <c r="C222">
        <v>11.9304666519165</v>
      </c>
      <c r="D222">
        <v>7.1934447288513201</v>
      </c>
      <c r="E222">
        <v>2.4432379275560399</v>
      </c>
      <c r="F222" s="13">
        <v>5.3784968849999997</v>
      </c>
      <c r="G222">
        <v>9.5567850112915007</v>
      </c>
      <c r="H222">
        <v>10.479058074951199</v>
      </c>
      <c r="I222">
        <v>4.1990835666656503</v>
      </c>
      <c r="N222">
        <f t="shared" si="21"/>
        <v>0.3729029296482872</v>
      </c>
      <c r="O222">
        <f t="shared" si="22"/>
        <v>0.54293443051971235</v>
      </c>
      <c r="P222">
        <f t="shared" si="23"/>
        <v>0.28878249630371</v>
      </c>
      <c r="Q222">
        <f t="shared" si="24"/>
        <v>0.56413404746226936</v>
      </c>
      <c r="R222">
        <f t="shared" si="25"/>
        <v>0.41471350647189636</v>
      </c>
      <c r="S222">
        <f t="shared" si="26"/>
        <v>0.6985425010693207</v>
      </c>
      <c r="T222">
        <f t="shared" si="27"/>
        <v>0.15884430124014662</v>
      </c>
    </row>
    <row r="223" spans="2:20" x14ac:dyDescent="0.2">
      <c r="B223">
        <v>1371</v>
      </c>
      <c r="C223">
        <v>12.0973045349121</v>
      </c>
      <c r="D223">
        <v>7.1457941055297898</v>
      </c>
      <c r="E223">
        <v>2.4318645857274501</v>
      </c>
      <c r="F223" s="13">
        <v>5.3991992470000003</v>
      </c>
      <c r="G223">
        <v>9.6368696212768494</v>
      </c>
      <c r="H223">
        <v>10.4300691604614</v>
      </c>
      <c r="I223">
        <v>4.0316839218139604</v>
      </c>
      <c r="N223">
        <f t="shared" si="21"/>
        <v>0.37797783227212506</v>
      </c>
      <c r="O223">
        <f t="shared" si="22"/>
        <v>0.54039780655256708</v>
      </c>
      <c r="P223">
        <f t="shared" si="23"/>
        <v>0.28762440672941203</v>
      </c>
      <c r="Q223">
        <f t="shared" si="24"/>
        <v>0.565612617084438</v>
      </c>
      <c r="R223">
        <f t="shared" si="25"/>
        <v>0.41726696585119993</v>
      </c>
      <c r="S223">
        <f t="shared" si="26"/>
        <v>0.69649234341856947</v>
      </c>
      <c r="T223">
        <f t="shared" si="27"/>
        <v>0.15251185293513944</v>
      </c>
    </row>
    <row r="224" spans="2:20" x14ac:dyDescent="0.2">
      <c r="B224">
        <v>1373</v>
      </c>
      <c r="C224">
        <v>11.984111404418901</v>
      </c>
      <c r="D224">
        <v>6.9917232513427701</v>
      </c>
      <c r="E224">
        <v>2.3911119498312501</v>
      </c>
      <c r="F224" s="13">
        <v>5.2527153489999998</v>
      </c>
      <c r="G224">
        <v>9.4327505111694308</v>
      </c>
      <c r="H224">
        <v>10.261899757385301</v>
      </c>
      <c r="I224">
        <v>4.1290105342864996</v>
      </c>
      <c r="N224">
        <f t="shared" si="21"/>
        <v>0.37453470470046013</v>
      </c>
      <c r="O224">
        <f t="shared" si="22"/>
        <v>0.53219602881857542</v>
      </c>
      <c r="P224">
        <f t="shared" si="23"/>
        <v>0.28347477300980362</v>
      </c>
      <c r="Q224">
        <f t="shared" si="24"/>
        <v>0.55515068806785361</v>
      </c>
      <c r="R224">
        <f t="shared" si="25"/>
        <v>0.41075872592477419</v>
      </c>
      <c r="S224">
        <f t="shared" si="26"/>
        <v>0.68945455146238066</v>
      </c>
      <c r="T224">
        <f t="shared" si="27"/>
        <v>0.15619355574119889</v>
      </c>
    </row>
    <row r="225" spans="2:20" x14ac:dyDescent="0.2">
      <c r="B225">
        <v>1375</v>
      </c>
      <c r="C225">
        <v>11.6047306060791</v>
      </c>
      <c r="D225">
        <v>6.8480303764343304</v>
      </c>
      <c r="E225">
        <v>2.35627311766148</v>
      </c>
      <c r="F225" s="13">
        <v>5.0923950199999997</v>
      </c>
      <c r="G225">
        <v>9.1443904876709006</v>
      </c>
      <c r="H225">
        <v>9.9225663185119597</v>
      </c>
      <c r="I225">
        <v>4.1879931926727298</v>
      </c>
      <c r="N225">
        <f t="shared" si="21"/>
        <v>0.36299463613594146</v>
      </c>
      <c r="O225">
        <f t="shared" si="22"/>
        <v>0.52454671040481038</v>
      </c>
      <c r="P225">
        <f t="shared" si="23"/>
        <v>0.2799273118568199</v>
      </c>
      <c r="Q225">
        <f t="shared" si="24"/>
        <v>0.54370055651883198</v>
      </c>
      <c r="R225">
        <f t="shared" si="25"/>
        <v>0.40156450487839307</v>
      </c>
      <c r="S225">
        <f t="shared" si="26"/>
        <v>0.67525364390794262</v>
      </c>
      <c r="T225">
        <f t="shared" si="27"/>
        <v>0.15842477095944868</v>
      </c>
    </row>
    <row r="226" spans="2:20" x14ac:dyDescent="0.2">
      <c r="B226">
        <v>1377</v>
      </c>
      <c r="C226">
        <v>11.1973678588867</v>
      </c>
      <c r="D226">
        <v>6.6271592140197804</v>
      </c>
      <c r="E226">
        <v>2.3279434464871902</v>
      </c>
      <c r="F226" s="13">
        <v>4.9327718730000001</v>
      </c>
      <c r="G226">
        <v>8.8179023742675806</v>
      </c>
      <c r="H226">
        <v>9.6183645248413097</v>
      </c>
      <c r="I226">
        <v>3.6212194442748999</v>
      </c>
      <c r="N226">
        <f t="shared" si="21"/>
        <v>0.35060340797204154</v>
      </c>
      <c r="O226">
        <f t="shared" si="22"/>
        <v>0.51278889812077155</v>
      </c>
      <c r="P226">
        <f t="shared" si="23"/>
        <v>0.27704264547426538</v>
      </c>
      <c r="Q226">
        <f t="shared" si="24"/>
        <v>0.53230021794156523</v>
      </c>
      <c r="R226">
        <f t="shared" si="25"/>
        <v>0.39115458797234404</v>
      </c>
      <c r="S226">
        <f t="shared" si="26"/>
        <v>0.66252297532380833</v>
      </c>
      <c r="T226">
        <f t="shared" si="27"/>
        <v>0.13698466894761835</v>
      </c>
    </row>
    <row r="227" spans="2:20" x14ac:dyDescent="0.2">
      <c r="B227">
        <v>1379</v>
      </c>
      <c r="C227">
        <v>10.6961824417114</v>
      </c>
      <c r="D227">
        <v>6.4274909973144503</v>
      </c>
      <c r="E227">
        <v>2.2436087176203698</v>
      </c>
      <c r="F227" s="13">
        <v>4.7811642650000001</v>
      </c>
      <c r="G227">
        <v>8.4806904792785591</v>
      </c>
      <c r="H227">
        <v>9.2600592613220201</v>
      </c>
      <c r="I227">
        <v>3.5398388385772699</v>
      </c>
      <c r="N227">
        <f t="shared" si="21"/>
        <v>0.33535826614343606</v>
      </c>
      <c r="O227">
        <f t="shared" si="22"/>
        <v>0.50215979930386134</v>
      </c>
      <c r="P227">
        <f t="shared" si="23"/>
        <v>0.26845526880662696</v>
      </c>
      <c r="Q227">
        <f t="shared" si="24"/>
        <v>0.52147235184211072</v>
      </c>
      <c r="R227">
        <f t="shared" si="25"/>
        <v>0.38040274843376137</v>
      </c>
      <c r="S227">
        <f t="shared" si="26"/>
        <v>0.64752810791433624</v>
      </c>
      <c r="T227">
        <f t="shared" si="27"/>
        <v>0.13390617688112091</v>
      </c>
    </row>
    <row r="228" spans="2:20" x14ac:dyDescent="0.2">
      <c r="B228">
        <v>1381</v>
      </c>
      <c r="C228">
        <v>10.138249206543</v>
      </c>
      <c r="D228">
        <v>6.1502051353454599</v>
      </c>
      <c r="E228">
        <v>2.1714428767561902</v>
      </c>
      <c r="F228" s="13">
        <v>4.8150115009999999</v>
      </c>
      <c r="G228">
        <v>8.0100943565368592</v>
      </c>
      <c r="H228">
        <v>8.9482139587402294</v>
      </c>
      <c r="I228">
        <v>3.59008860588074</v>
      </c>
      <c r="N228">
        <f t="shared" si="21"/>
        <v>0.31838695969766229</v>
      </c>
      <c r="O228">
        <f t="shared" si="22"/>
        <v>0.48739881793169781</v>
      </c>
      <c r="P228">
        <f t="shared" si="23"/>
        <v>0.26110698813549071</v>
      </c>
      <c r="Q228">
        <f t="shared" si="24"/>
        <v>0.52388973276434414</v>
      </c>
      <c r="R228">
        <f t="shared" si="25"/>
        <v>0.36539801676685912</v>
      </c>
      <c r="S228">
        <f t="shared" si="26"/>
        <v>0.63447756291660995</v>
      </c>
      <c r="T228">
        <f t="shared" si="27"/>
        <v>0.13580704145027683</v>
      </c>
    </row>
    <row r="229" spans="2:20" x14ac:dyDescent="0.2">
      <c r="B229">
        <v>1383</v>
      </c>
      <c r="C229">
        <v>9.5216302871704102</v>
      </c>
      <c r="D229">
        <v>5.87049779891968</v>
      </c>
      <c r="E229">
        <v>2.08644516244531</v>
      </c>
      <c r="F229" s="13">
        <v>4.5424362660000002</v>
      </c>
      <c r="G229">
        <v>7.6531392097473097</v>
      </c>
      <c r="H229">
        <v>8.6544762611389192</v>
      </c>
      <c r="I229">
        <v>3.4886236190795898</v>
      </c>
      <c r="N229">
        <f t="shared" si="21"/>
        <v>0.29963054229625852</v>
      </c>
      <c r="O229">
        <f t="shared" si="22"/>
        <v>0.47250893226165169</v>
      </c>
      <c r="P229">
        <f t="shared" si="23"/>
        <v>0.25245210303082044</v>
      </c>
      <c r="Q229">
        <f t="shared" si="24"/>
        <v>0.5044223182622477</v>
      </c>
      <c r="R229">
        <f t="shared" si="25"/>
        <v>0.35401667311385016</v>
      </c>
      <c r="S229">
        <f t="shared" si="26"/>
        <v>0.62218481068229026</v>
      </c>
      <c r="T229">
        <f t="shared" si="27"/>
        <v>0.13196879087181373</v>
      </c>
    </row>
    <row r="230" spans="2:20" x14ac:dyDescent="0.2">
      <c r="B230">
        <v>1385</v>
      </c>
      <c r="C230">
        <v>8.9146659851074208</v>
      </c>
      <c r="D230">
        <v>5.70212249755859</v>
      </c>
      <c r="E230">
        <v>1.96905083209276</v>
      </c>
      <c r="F230" s="13">
        <v>4.3269562239999999</v>
      </c>
      <c r="G230">
        <v>7.3020458221435502</v>
      </c>
      <c r="H230">
        <v>8.3853730201721195</v>
      </c>
      <c r="I230">
        <v>3.26736650466919</v>
      </c>
      <c r="N230">
        <f t="shared" si="21"/>
        <v>0.28116780065863761</v>
      </c>
      <c r="O230">
        <f t="shared" si="22"/>
        <v>0.46354567438303174</v>
      </c>
      <c r="P230">
        <f t="shared" si="23"/>
        <v>0.24049843522482658</v>
      </c>
      <c r="Q230">
        <f t="shared" si="24"/>
        <v>0.48903266155134678</v>
      </c>
      <c r="R230">
        <f t="shared" si="25"/>
        <v>0.34282222884107055</v>
      </c>
      <c r="S230">
        <f t="shared" si="26"/>
        <v>0.61092299616658152</v>
      </c>
      <c r="T230">
        <f t="shared" si="27"/>
        <v>0.12359900466133378</v>
      </c>
    </row>
    <row r="231" spans="2:20" x14ac:dyDescent="0.2">
      <c r="B231">
        <v>1387</v>
      </c>
      <c r="C231">
        <v>8.3781180381774902</v>
      </c>
      <c r="D231">
        <v>5.5483659744262699</v>
      </c>
      <c r="E231">
        <v>1.90151043385267</v>
      </c>
      <c r="F231" s="13">
        <v>4.2660329819999996</v>
      </c>
      <c r="G231">
        <v>6.8200263023376504</v>
      </c>
      <c r="H231">
        <v>8.0851548194885297</v>
      </c>
      <c r="I231">
        <v>2.9460797548294102</v>
      </c>
      <c r="N231">
        <f t="shared" si="21"/>
        <v>0.26484699548658119</v>
      </c>
      <c r="O231">
        <f t="shared" si="22"/>
        <v>0.45536062968696056</v>
      </c>
      <c r="P231">
        <f t="shared" si="23"/>
        <v>0.23362113985952251</v>
      </c>
      <c r="Q231">
        <f t="shared" si="24"/>
        <v>0.48468150321949932</v>
      </c>
      <c r="R231">
        <f t="shared" si="25"/>
        <v>0.32745326763765153</v>
      </c>
      <c r="S231">
        <f t="shared" si="26"/>
        <v>0.5983590386378963</v>
      </c>
      <c r="T231">
        <f t="shared" si="27"/>
        <v>0.11144526481172597</v>
      </c>
    </row>
    <row r="232" spans="2:20" x14ac:dyDescent="0.2">
      <c r="B232">
        <v>1389</v>
      </c>
      <c r="C232">
        <v>8.0047337532043397</v>
      </c>
      <c r="D232">
        <v>5.4396549224853503</v>
      </c>
      <c r="E232">
        <v>1.8682952355593401</v>
      </c>
      <c r="F232" s="13">
        <v>4.0678176400000003</v>
      </c>
      <c r="G232">
        <v>6.6664016723632802</v>
      </c>
      <c r="H232">
        <v>7.8994881629943796</v>
      </c>
      <c r="I232">
        <v>2.5911695003509498</v>
      </c>
      <c r="N232">
        <f t="shared" si="21"/>
        <v>0.25348932986839512</v>
      </c>
      <c r="O232">
        <f t="shared" si="22"/>
        <v>0.44957352679879492</v>
      </c>
      <c r="P232">
        <f t="shared" si="23"/>
        <v>0.23023900508933123</v>
      </c>
      <c r="Q232">
        <f t="shared" si="24"/>
        <v>0.4705248971602996</v>
      </c>
      <c r="R232">
        <f t="shared" si="25"/>
        <v>0.32255501999216935</v>
      </c>
      <c r="S232">
        <f t="shared" si="26"/>
        <v>0.59058899677709653</v>
      </c>
      <c r="T232">
        <f t="shared" si="27"/>
        <v>9.8019604073957059E-2</v>
      </c>
    </row>
    <row r="233" spans="2:20" x14ac:dyDescent="0.2">
      <c r="B233">
        <v>1391</v>
      </c>
      <c r="C233">
        <v>7.7461294174194304</v>
      </c>
      <c r="D233">
        <v>5.3298168182373002</v>
      </c>
      <c r="E233">
        <v>1.8353288903832401</v>
      </c>
      <c r="F233" s="13">
        <v>3.9663078779999998</v>
      </c>
      <c r="G233">
        <v>6.6139974594116202</v>
      </c>
      <c r="H233">
        <v>7.7246183395385701</v>
      </c>
      <c r="I233">
        <v>2.2986990690231299</v>
      </c>
      <c r="N233">
        <f t="shared" si="21"/>
        <v>0.24562305993828998</v>
      </c>
      <c r="O233">
        <f t="shared" si="22"/>
        <v>0.44372642662842798</v>
      </c>
      <c r="P233">
        <f t="shared" si="23"/>
        <v>0.22688220976685367</v>
      </c>
      <c r="Q233">
        <f t="shared" si="24"/>
        <v>0.46327503598761033</v>
      </c>
      <c r="R233">
        <f t="shared" si="25"/>
        <v>0.320884136796248</v>
      </c>
      <c r="S233">
        <f t="shared" si="26"/>
        <v>0.58327079611522847</v>
      </c>
      <c r="T233">
        <f t="shared" si="27"/>
        <v>8.695593730950589E-2</v>
      </c>
    </row>
    <row r="234" spans="2:20" x14ac:dyDescent="0.2">
      <c r="B234">
        <v>1393</v>
      </c>
      <c r="C234">
        <v>7.5724691390991197</v>
      </c>
      <c r="D234">
        <v>5.2385996818542502</v>
      </c>
      <c r="E234">
        <v>1.7932648185640601</v>
      </c>
      <c r="F234" s="13">
        <v>3.9244046689999998</v>
      </c>
      <c r="G234">
        <v>6.4240219116210904</v>
      </c>
      <c r="H234">
        <v>7.6244118690490703</v>
      </c>
      <c r="I234">
        <v>2.2883453607559199</v>
      </c>
      <c r="N234">
        <f t="shared" si="21"/>
        <v>0.24034063255261401</v>
      </c>
      <c r="O234">
        <f t="shared" si="22"/>
        <v>0.43887059142135609</v>
      </c>
      <c r="P234">
        <f t="shared" si="23"/>
        <v>0.22259903919478333</v>
      </c>
      <c r="Q234">
        <f t="shared" si="24"/>
        <v>0.46028229477775323</v>
      </c>
      <c r="R234">
        <f t="shared" si="25"/>
        <v>0.31482685757077877</v>
      </c>
      <c r="S234">
        <f t="shared" si="26"/>
        <v>0.57907721345947061</v>
      </c>
      <c r="T234">
        <f t="shared" si="27"/>
        <v>8.6564273859889129E-2</v>
      </c>
    </row>
    <row r="235" spans="2:20" x14ac:dyDescent="0.2">
      <c r="B235">
        <v>1395</v>
      </c>
      <c r="C235">
        <v>7.3599405288696298</v>
      </c>
      <c r="D235">
        <v>5.1753466606140099</v>
      </c>
      <c r="E235">
        <v>1.79583164788783</v>
      </c>
      <c r="F235" s="13">
        <v>3.9934294220000002</v>
      </c>
      <c r="G235">
        <v>6.3059601783752397</v>
      </c>
      <c r="H235">
        <v>7.5879664421081499</v>
      </c>
      <c r="I235">
        <v>2.1950935363769499</v>
      </c>
      <c r="N235">
        <f t="shared" si="21"/>
        <v>0.23387590174730463</v>
      </c>
      <c r="O235">
        <f t="shared" si="22"/>
        <v>0.43550339245336589</v>
      </c>
      <c r="P235">
        <f t="shared" si="23"/>
        <v>0.22286040637460269</v>
      </c>
      <c r="Q235">
        <f t="shared" si="24"/>
        <v>0.46521206573642387</v>
      </c>
      <c r="R235">
        <f t="shared" si="25"/>
        <v>0.31106251583085387</v>
      </c>
      <c r="S235">
        <f t="shared" si="26"/>
        <v>0.57755199348560526</v>
      </c>
      <c r="T235">
        <f t="shared" si="27"/>
        <v>8.3036713465417508E-2</v>
      </c>
    </row>
    <row r="236" spans="2:20" x14ac:dyDescent="0.2">
      <c r="B236">
        <v>1397</v>
      </c>
      <c r="C236">
        <v>7.2441919326782198</v>
      </c>
      <c r="D236">
        <v>5.1858056068420399</v>
      </c>
      <c r="E236">
        <v>1.7535987798124599</v>
      </c>
      <c r="F236" s="13">
        <v>3.9243018150000002</v>
      </c>
      <c r="G236">
        <v>6.30051593780518</v>
      </c>
      <c r="H236">
        <v>7.5262289047241202</v>
      </c>
      <c r="I236">
        <v>1.9098560333251999</v>
      </c>
      <c r="N236">
        <f t="shared" si="21"/>
        <v>0.23035504159270276</v>
      </c>
      <c r="O236">
        <f t="shared" si="22"/>
        <v>0.43606016195235198</v>
      </c>
      <c r="P236">
        <f t="shared" si="23"/>
        <v>0.21856004813795493</v>
      </c>
      <c r="Q236">
        <f t="shared" si="24"/>
        <v>0.46027494891065279</v>
      </c>
      <c r="R236">
        <f t="shared" si="25"/>
        <v>0.31088892883143732</v>
      </c>
      <c r="S236">
        <f t="shared" si="26"/>
        <v>0.57496831336277343</v>
      </c>
      <c r="T236">
        <f t="shared" si="27"/>
        <v>7.2246656268314086E-2</v>
      </c>
    </row>
    <row r="237" spans="2:20" x14ac:dyDescent="0.2">
      <c r="B237">
        <v>1399</v>
      </c>
      <c r="C237">
        <v>7.2585968017578102</v>
      </c>
      <c r="D237">
        <v>5.2501672744750998</v>
      </c>
      <c r="E237">
        <v>1.7738028921186899</v>
      </c>
      <c r="F237" s="13">
        <v>3.8758895400000002</v>
      </c>
      <c r="G237">
        <v>6.2948206901550297</v>
      </c>
      <c r="H237">
        <v>7.5015661239623999</v>
      </c>
      <c r="I237">
        <v>1.88643097877502</v>
      </c>
      <c r="N237">
        <f t="shared" si="21"/>
        <v>0.23079321130916927</v>
      </c>
      <c r="O237">
        <f t="shared" si="22"/>
        <v>0.43948637838569915</v>
      </c>
      <c r="P237">
        <f t="shared" si="23"/>
        <v>0.22061733017277185</v>
      </c>
      <c r="Q237">
        <f t="shared" si="24"/>
        <v>0.45681732802879066</v>
      </c>
      <c r="R237">
        <f t="shared" si="25"/>
        <v>0.31070733859165972</v>
      </c>
      <c r="S237">
        <f t="shared" si="26"/>
        <v>0.57393619029587073</v>
      </c>
      <c r="T237">
        <f t="shared" si="27"/>
        <v>7.1360525672801711E-2</v>
      </c>
    </row>
    <row r="238" spans="2:20" x14ac:dyDescent="0.2">
      <c r="B238">
        <v>1401</v>
      </c>
      <c r="C238">
        <v>7.2506177902221696</v>
      </c>
      <c r="D238">
        <v>5.2702684402465803</v>
      </c>
      <c r="E238">
        <v>1.8043750130571401</v>
      </c>
      <c r="F238" s="13">
        <v>4.0477993970000004</v>
      </c>
      <c r="G238">
        <v>6.2740206718444798</v>
      </c>
      <c r="H238">
        <v>7.5788962364196797</v>
      </c>
      <c r="I238">
        <v>1.82105271816254</v>
      </c>
      <c r="N238">
        <f t="shared" si="21"/>
        <v>0.23055050440201602</v>
      </c>
      <c r="O238">
        <f t="shared" si="22"/>
        <v>0.44055643991499838</v>
      </c>
      <c r="P238">
        <f t="shared" si="23"/>
        <v>0.22373033381379451</v>
      </c>
      <c r="Q238">
        <f t="shared" si="24"/>
        <v>0.46909518754605428</v>
      </c>
      <c r="R238">
        <f t="shared" si="25"/>
        <v>0.31004413998390634</v>
      </c>
      <c r="S238">
        <f t="shared" si="26"/>
        <v>0.57717241063957236</v>
      </c>
      <c r="T238">
        <f t="shared" si="27"/>
        <v>6.8887375529821368E-2</v>
      </c>
    </row>
    <row r="239" spans="2:20" x14ac:dyDescent="0.2">
      <c r="B239">
        <v>1403</v>
      </c>
      <c r="C239">
        <v>7.2476785659790002</v>
      </c>
      <c r="D239">
        <v>5.2647115707397498</v>
      </c>
      <c r="E239">
        <v>1.80394639074802</v>
      </c>
      <c r="F239" s="13">
        <v>4.0248033049999998</v>
      </c>
      <c r="G239">
        <v>6.3115758895873997</v>
      </c>
      <c r="H239">
        <v>7.61900444030762</v>
      </c>
      <c r="I239">
        <v>1.84569520950317</v>
      </c>
      <c r="N239">
        <f t="shared" si="21"/>
        <v>0.23046109858748587</v>
      </c>
      <c r="O239">
        <f t="shared" si="22"/>
        <v>0.44026062660992971</v>
      </c>
      <c r="P239">
        <f t="shared" si="23"/>
        <v>0.2236866893832494</v>
      </c>
      <c r="Q239">
        <f t="shared" si="24"/>
        <v>0.46745279895967973</v>
      </c>
      <c r="R239">
        <f t="shared" si="25"/>
        <v>0.3112415700894533</v>
      </c>
      <c r="S239">
        <f t="shared" si="26"/>
        <v>0.57885091570373071</v>
      </c>
      <c r="T239">
        <f t="shared" si="27"/>
        <v>6.9819559720889268E-2</v>
      </c>
    </row>
    <row r="240" spans="2:20" x14ac:dyDescent="0.2">
      <c r="B240">
        <v>1405</v>
      </c>
      <c r="C240">
        <v>7.2989404678344698</v>
      </c>
      <c r="D240">
        <v>5.2932007789611797</v>
      </c>
      <c r="E240">
        <v>1.7979705110192299</v>
      </c>
      <c r="F240" s="13">
        <v>3.9284250260000002</v>
      </c>
      <c r="G240">
        <v>6.4300424575805701</v>
      </c>
      <c r="H240">
        <v>7.6152144432067903</v>
      </c>
      <c r="I240">
        <v>2.08847992420197</v>
      </c>
      <c r="N240">
        <f t="shared" si="21"/>
        <v>0.23202039169021665</v>
      </c>
      <c r="O240">
        <f t="shared" si="22"/>
        <v>0.44177721555131333</v>
      </c>
      <c r="P240">
        <f t="shared" si="23"/>
        <v>0.22307819593290981</v>
      </c>
      <c r="Q240">
        <f t="shared" si="24"/>
        <v>0.46056943002012191</v>
      </c>
      <c r="R240">
        <f t="shared" si="25"/>
        <v>0.31501881979113011</v>
      </c>
      <c r="S240">
        <f t="shared" si="26"/>
        <v>0.57869230652380677</v>
      </c>
      <c r="T240">
        <f t="shared" si="27"/>
        <v>7.9003699008867848E-2</v>
      </c>
    </row>
    <row r="241" spans="2:20" x14ac:dyDescent="0.2">
      <c r="B241">
        <v>1407</v>
      </c>
      <c r="C241">
        <v>7.3656148910522496</v>
      </c>
      <c r="D241">
        <v>5.4739357948303198</v>
      </c>
      <c r="E241">
        <v>1.80840835841373</v>
      </c>
      <c r="F241" s="13">
        <v>4.107163763</v>
      </c>
      <c r="G241">
        <v>6.4075005531310998</v>
      </c>
      <c r="H241">
        <v>7.72450094223022</v>
      </c>
      <c r="I241">
        <v>2.1076250553131102</v>
      </c>
      <c r="N241">
        <f t="shared" si="21"/>
        <v>0.23404850544505082</v>
      </c>
      <c r="O241">
        <f t="shared" si="22"/>
        <v>0.45139842805597552</v>
      </c>
      <c r="P241">
        <f t="shared" si="23"/>
        <v>0.2241410288652057</v>
      </c>
      <c r="Q241">
        <f t="shared" si="24"/>
        <v>0.47333501043229759</v>
      </c>
      <c r="R241">
        <f t="shared" si="25"/>
        <v>0.31430008197927845</v>
      </c>
      <c r="S241">
        <f t="shared" si="26"/>
        <v>0.58326588310598138</v>
      </c>
      <c r="T241">
        <f t="shared" si="27"/>
        <v>7.9727927266109916E-2</v>
      </c>
    </row>
    <row r="242" spans="2:20" x14ac:dyDescent="0.2">
      <c r="B242">
        <v>1409</v>
      </c>
      <c r="C242">
        <v>7.4236259460449201</v>
      </c>
      <c r="D242">
        <v>5.57957496643066</v>
      </c>
      <c r="E242">
        <v>1.86285042976961</v>
      </c>
      <c r="F242" s="13">
        <v>4.0383880139999997</v>
      </c>
      <c r="G242">
        <v>6.6418913841247598</v>
      </c>
      <c r="H242">
        <v>7.8628405570983899</v>
      </c>
      <c r="I242">
        <v>2.1089145660400401</v>
      </c>
      <c r="N242">
        <f t="shared" si="21"/>
        <v>0.23581309541651232</v>
      </c>
      <c r="O242">
        <f t="shared" si="22"/>
        <v>0.45702200306658247</v>
      </c>
      <c r="P242">
        <f t="shared" si="23"/>
        <v>0.22968458819813106</v>
      </c>
      <c r="Q242">
        <f t="shared" si="24"/>
        <v>0.46842302342263714</v>
      </c>
      <c r="R242">
        <f t="shared" si="25"/>
        <v>0.32177352120727754</v>
      </c>
      <c r="S242">
        <f t="shared" si="26"/>
        <v>0.58905531573125447</v>
      </c>
      <c r="T242">
        <f t="shared" si="27"/>
        <v>7.9776707298016614E-2</v>
      </c>
    </row>
    <row r="243" spans="2:20" x14ac:dyDescent="0.2">
      <c r="B243">
        <v>1411</v>
      </c>
      <c r="C243">
        <v>7.6102880477905304</v>
      </c>
      <c r="D243">
        <v>5.5928147315979002</v>
      </c>
      <c r="E243">
        <v>1.9249750595539801</v>
      </c>
      <c r="F243" s="13">
        <v>4.0561295990000001</v>
      </c>
      <c r="G243">
        <v>6.9056694030761703</v>
      </c>
      <c r="H243">
        <v>8.0036972045898391</v>
      </c>
      <c r="I243">
        <v>2.20212726593018</v>
      </c>
      <c r="N243">
        <f t="shared" si="21"/>
        <v>0.24149101444132323</v>
      </c>
      <c r="O243">
        <f t="shared" si="22"/>
        <v>0.45772680613738348</v>
      </c>
      <c r="P243">
        <f t="shared" si="23"/>
        <v>0.23601042339632622</v>
      </c>
      <c r="Q243">
        <f t="shared" si="24"/>
        <v>0.46969013336062976</v>
      </c>
      <c r="R243">
        <f t="shared" si="25"/>
        <v>0.33018395682866364</v>
      </c>
      <c r="S243">
        <f t="shared" si="26"/>
        <v>0.59495008471156929</v>
      </c>
      <c r="T243">
        <f t="shared" si="27"/>
        <v>8.3302787678577836E-2</v>
      </c>
    </row>
    <row r="244" spans="2:20" x14ac:dyDescent="0.2">
      <c r="B244">
        <v>1413</v>
      </c>
      <c r="C244">
        <v>7.8647917747497598</v>
      </c>
      <c r="D244">
        <v>5.68970432281494</v>
      </c>
      <c r="E244">
        <v>1.9770303467288599</v>
      </c>
      <c r="F244" s="13">
        <v>4.1548610689999999</v>
      </c>
      <c r="G244">
        <v>6.9987447738647504</v>
      </c>
      <c r="H244">
        <v>8.0916021347045906</v>
      </c>
      <c r="I244">
        <v>2.3358906745910599</v>
      </c>
      <c r="N244">
        <f t="shared" si="21"/>
        <v>0.24923255136645897</v>
      </c>
      <c r="O244">
        <f t="shared" si="22"/>
        <v>0.46288460769623541</v>
      </c>
      <c r="P244">
        <f t="shared" si="23"/>
        <v>0.24131094863093872</v>
      </c>
      <c r="Q244">
        <f t="shared" si="24"/>
        <v>0.47674156798891248</v>
      </c>
      <c r="R244">
        <f t="shared" si="25"/>
        <v>0.33315162038556595</v>
      </c>
      <c r="S244">
        <f t="shared" si="26"/>
        <v>0.59862885503931429</v>
      </c>
      <c r="T244">
        <f t="shared" si="27"/>
        <v>8.8362833482121969E-2</v>
      </c>
    </row>
    <row r="245" spans="2:20" x14ac:dyDescent="0.2">
      <c r="B245">
        <v>1415</v>
      </c>
      <c r="C245">
        <v>8.0940826416015597</v>
      </c>
      <c r="D245">
        <v>5.8107277870178198</v>
      </c>
      <c r="E245">
        <v>2.0040677898097798</v>
      </c>
      <c r="F245" s="13">
        <v>4.2122538570000003</v>
      </c>
      <c r="G245">
        <v>7.1111859321594197</v>
      </c>
      <c r="H245">
        <v>8.2436175346374494</v>
      </c>
      <c r="I245">
        <v>2.3542849779128998</v>
      </c>
      <c r="N245">
        <f t="shared" si="21"/>
        <v>0.25620715929671511</v>
      </c>
      <c r="O245">
        <f t="shared" si="22"/>
        <v>0.46932714713192147</v>
      </c>
      <c r="P245">
        <f t="shared" si="23"/>
        <v>0.24406403399666451</v>
      </c>
      <c r="Q245">
        <f t="shared" si="24"/>
        <v>0.48084058011459935</v>
      </c>
      <c r="R245">
        <f t="shared" si="25"/>
        <v>0.33673675278890547</v>
      </c>
      <c r="S245">
        <f t="shared" si="26"/>
        <v>0.60499061133561383</v>
      </c>
      <c r="T245">
        <f t="shared" si="27"/>
        <v>8.9058659181127306E-2</v>
      </c>
    </row>
    <row r="246" spans="2:20" x14ac:dyDescent="0.2">
      <c r="B246">
        <v>1417</v>
      </c>
      <c r="C246">
        <v>8.3303028106689396</v>
      </c>
      <c r="D246">
        <v>5.8486343383789103</v>
      </c>
      <c r="E246">
        <v>2.0170304041355802</v>
      </c>
      <c r="F246" s="13">
        <v>4.3038280010000003</v>
      </c>
      <c r="G246">
        <v>7.3296211242675797</v>
      </c>
      <c r="H246">
        <v>8.3411449432373104</v>
      </c>
      <c r="I246">
        <v>2.3177700519561801</v>
      </c>
      <c r="N246">
        <f t="shared" si="21"/>
        <v>0.26339254390049299</v>
      </c>
      <c r="O246">
        <f t="shared" si="22"/>
        <v>0.47134505707709784</v>
      </c>
      <c r="P246">
        <f t="shared" si="23"/>
        <v>0.24538395110920733</v>
      </c>
      <c r="Q246">
        <f t="shared" si="24"/>
        <v>0.48738083612473415</v>
      </c>
      <c r="R246">
        <f t="shared" si="25"/>
        <v>0.34370145412366371</v>
      </c>
      <c r="S246">
        <f t="shared" si="26"/>
        <v>0.6090720768055331</v>
      </c>
      <c r="T246">
        <f t="shared" si="27"/>
        <v>8.7677360665309345E-2</v>
      </c>
    </row>
    <row r="247" spans="2:20" x14ac:dyDescent="0.2">
      <c r="B247">
        <v>1419</v>
      </c>
      <c r="C247">
        <v>8.9581834793090795</v>
      </c>
      <c r="D247">
        <v>5.9865552902221699</v>
      </c>
      <c r="E247">
        <v>2.0771723240613902</v>
      </c>
      <c r="F247" s="13">
        <v>4.3655833240000002</v>
      </c>
      <c r="G247">
        <v>7.8877065658569299</v>
      </c>
      <c r="H247">
        <v>8.58021783828735</v>
      </c>
      <c r="I247">
        <v>2.3619994640350299</v>
      </c>
      <c r="N247">
        <f t="shared" si="21"/>
        <v>0.28249152307432346</v>
      </c>
      <c r="O247">
        <f t="shared" si="22"/>
        <v>0.47868711406670772</v>
      </c>
      <c r="P247">
        <f t="shared" si="23"/>
        <v>0.2515078970429574</v>
      </c>
      <c r="Q247">
        <f t="shared" si="24"/>
        <v>0.49179142196006087</v>
      </c>
      <c r="R247">
        <f t="shared" si="25"/>
        <v>0.36149574076050689</v>
      </c>
      <c r="S247">
        <f t="shared" si="26"/>
        <v>0.61907713876656401</v>
      </c>
      <c r="T247">
        <f t="shared" si="27"/>
        <v>8.9350485275569533E-2</v>
      </c>
    </row>
    <row r="248" spans="2:20" x14ac:dyDescent="0.2">
      <c r="B248">
        <v>1421</v>
      </c>
      <c r="C248">
        <v>9.5926475524902308</v>
      </c>
      <c r="D248">
        <v>6.2292304992675804</v>
      </c>
      <c r="E248">
        <v>2.1104169672820698</v>
      </c>
      <c r="F248" s="13">
        <v>4.5406458379999997</v>
      </c>
      <c r="G248">
        <v>8.3316142082214295</v>
      </c>
      <c r="H248">
        <v>8.75415086746216</v>
      </c>
      <c r="I248">
        <v>2.3207678556442302</v>
      </c>
      <c r="N248">
        <f t="shared" si="21"/>
        <v>0.30179075734836908</v>
      </c>
      <c r="O248">
        <f t="shared" si="22"/>
        <v>0.4916056387068346</v>
      </c>
      <c r="P248">
        <f t="shared" si="23"/>
        <v>0.25489303004039743</v>
      </c>
      <c r="Q248">
        <f t="shared" si="24"/>
        <v>0.50429444529531375</v>
      </c>
      <c r="R248">
        <f t="shared" si="25"/>
        <v>0.37564952303087729</v>
      </c>
      <c r="S248">
        <f t="shared" si="26"/>
        <v>0.6263561351312481</v>
      </c>
      <c r="T248">
        <f t="shared" si="27"/>
        <v>8.7790762559918842E-2</v>
      </c>
    </row>
    <row r="249" spans="2:20" x14ac:dyDescent="0.2">
      <c r="B249">
        <v>1423</v>
      </c>
      <c r="C249">
        <v>9.92237434387207</v>
      </c>
      <c r="D249">
        <v>6.2644734382629403</v>
      </c>
      <c r="E249">
        <v>2.1102103613317</v>
      </c>
      <c r="F249" s="13">
        <v>4.6551887509999998</v>
      </c>
      <c r="G249">
        <v>8.4920613288879405</v>
      </c>
      <c r="H249">
        <v>8.8564149856567393</v>
      </c>
      <c r="I249">
        <v>2.4145694732665999</v>
      </c>
      <c r="N249">
        <f t="shared" si="21"/>
        <v>0.31182044202602388</v>
      </c>
      <c r="O249">
        <f t="shared" si="22"/>
        <v>0.49348175443201714</v>
      </c>
      <c r="P249">
        <f t="shared" si="23"/>
        <v>0.2548719924068929</v>
      </c>
      <c r="Q249">
        <f t="shared" si="24"/>
        <v>0.51247513847401938</v>
      </c>
      <c r="R249">
        <f t="shared" si="25"/>
        <v>0.380765302519884</v>
      </c>
      <c r="S249">
        <f t="shared" si="26"/>
        <v>0.63063582914973071</v>
      </c>
      <c r="T249">
        <f t="shared" si="27"/>
        <v>9.1339120712326888E-2</v>
      </c>
    </row>
    <row r="250" spans="2:20" x14ac:dyDescent="0.2">
      <c r="B250">
        <v>1425</v>
      </c>
      <c r="C250">
        <v>10.340837860107399</v>
      </c>
      <c r="D250">
        <v>6.3280029296875</v>
      </c>
      <c r="E250">
        <v>2.1278948854655</v>
      </c>
      <c r="F250" s="13">
        <v>4.6650520799999997</v>
      </c>
      <c r="G250">
        <v>8.8766965866088903</v>
      </c>
      <c r="H250">
        <v>9.0618389129638697</v>
      </c>
      <c r="I250">
        <v>2.7778882265090901</v>
      </c>
      <c r="N250">
        <f t="shared" si="21"/>
        <v>0.32454933523895868</v>
      </c>
      <c r="O250">
        <f t="shared" si="22"/>
        <v>0.49686367095975492</v>
      </c>
      <c r="P250">
        <f t="shared" si="23"/>
        <v>0.25667271758814897</v>
      </c>
      <c r="Q250">
        <f t="shared" si="24"/>
        <v>0.51317958073200198</v>
      </c>
      <c r="R250">
        <f t="shared" si="25"/>
        <v>0.39302921323404094</v>
      </c>
      <c r="S250">
        <f t="shared" si="26"/>
        <v>0.63923270133198273</v>
      </c>
      <c r="T250">
        <f t="shared" si="27"/>
        <v>0.10508286088086824</v>
      </c>
    </row>
    <row r="251" spans="2:20" x14ac:dyDescent="0.2">
      <c r="B251">
        <v>1427</v>
      </c>
      <c r="C251">
        <v>10.5201530456543</v>
      </c>
      <c r="D251">
        <v>6.3084880828857397</v>
      </c>
      <c r="E251">
        <v>2.1224335130304102</v>
      </c>
      <c r="F251" s="13">
        <v>4.7614155289999998</v>
      </c>
      <c r="G251">
        <v>8.6499537467956493</v>
      </c>
      <c r="H251">
        <v>9.0475646018981895</v>
      </c>
      <c r="I251">
        <v>2.82804279327393</v>
      </c>
      <c r="N251">
        <f t="shared" si="21"/>
        <v>0.33000377453827506</v>
      </c>
      <c r="O251">
        <f t="shared" si="22"/>
        <v>0.49582482141987605</v>
      </c>
      <c r="P251">
        <f t="shared" si="23"/>
        <v>0.25611661379967959</v>
      </c>
      <c r="Q251">
        <f t="shared" si="24"/>
        <v>0.520061890507997</v>
      </c>
      <c r="R251">
        <f t="shared" si="25"/>
        <v>0.38579962653670963</v>
      </c>
      <c r="S251">
        <f t="shared" si="26"/>
        <v>0.63863532969504633</v>
      </c>
      <c r="T251">
        <f t="shared" si="27"/>
        <v>0.10698012417303211</v>
      </c>
    </row>
    <row r="252" spans="2:20" x14ac:dyDescent="0.2">
      <c r="B252">
        <v>1429</v>
      </c>
      <c r="C252">
        <v>10.430479049682599</v>
      </c>
      <c r="D252">
        <v>6.2960829734802202</v>
      </c>
      <c r="E252">
        <v>2.1042662728577901</v>
      </c>
      <c r="F252" s="13">
        <v>4.6984231000000003</v>
      </c>
      <c r="G252">
        <v>8.4135793685913107</v>
      </c>
      <c r="H252">
        <v>9.0291644096374508</v>
      </c>
      <c r="I252">
        <v>2.9714970350265499</v>
      </c>
      <c r="N252">
        <f t="shared" si="21"/>
        <v>0.32727605593338949</v>
      </c>
      <c r="O252">
        <f t="shared" si="22"/>
        <v>0.49516445025073574</v>
      </c>
      <c r="P252">
        <f t="shared" si="23"/>
        <v>0.25426673609840533</v>
      </c>
      <c r="Q252">
        <f t="shared" si="24"/>
        <v>0.51556295014814779</v>
      </c>
      <c r="R252">
        <f t="shared" si="25"/>
        <v>0.37826294285724449</v>
      </c>
      <c r="S252">
        <f t="shared" si="26"/>
        <v>0.63786529232370381</v>
      </c>
      <c r="T252">
        <f t="shared" si="27"/>
        <v>0.11240675796808761</v>
      </c>
    </row>
    <row r="253" spans="2:20" x14ac:dyDescent="0.2">
      <c r="B253">
        <v>1431</v>
      </c>
      <c r="C253">
        <v>10.1838031768799</v>
      </c>
      <c r="D253">
        <v>6.1874340057373001</v>
      </c>
      <c r="E253">
        <v>1.9809888061136001</v>
      </c>
      <c r="F253" s="13">
        <v>4.5988575459999996</v>
      </c>
      <c r="G253">
        <v>8.2098427772522005</v>
      </c>
      <c r="H253">
        <v>8.98724317550659</v>
      </c>
      <c r="I253">
        <v>2.8963476181030301</v>
      </c>
      <c r="N253">
        <f t="shared" si="21"/>
        <v>0.31977262798497247</v>
      </c>
      <c r="O253">
        <f t="shared" si="22"/>
        <v>0.48938065234063022</v>
      </c>
      <c r="P253">
        <f t="shared" si="23"/>
        <v>0.24171401842457016</v>
      </c>
      <c r="Q253">
        <f t="shared" si="24"/>
        <v>0.50845194496145552</v>
      </c>
      <c r="R253">
        <f t="shared" si="25"/>
        <v>0.37176689935828305</v>
      </c>
      <c r="S253">
        <f t="shared" si="26"/>
        <v>0.63611091299569866</v>
      </c>
      <c r="T253">
        <f t="shared" si="27"/>
        <v>0.10956398134068655</v>
      </c>
    </row>
    <row r="254" spans="2:20" x14ac:dyDescent="0.2">
      <c r="B254">
        <v>1433</v>
      </c>
      <c r="C254">
        <v>9.8047462463378903</v>
      </c>
      <c r="D254">
        <v>6.0244484901428201</v>
      </c>
      <c r="E254">
        <v>1.9105350201483799</v>
      </c>
      <c r="F254" s="13">
        <v>4.5341794010000003</v>
      </c>
      <c r="G254">
        <v>7.8772500038146998</v>
      </c>
      <c r="H254">
        <v>8.8331839561462395</v>
      </c>
      <c r="I254">
        <v>2.7057278871536301</v>
      </c>
      <c r="N254">
        <f t="shared" si="21"/>
        <v>0.30824241088528465</v>
      </c>
      <c r="O254">
        <f t="shared" si="22"/>
        <v>0.48070431326391361</v>
      </c>
      <c r="P254">
        <f t="shared" si="23"/>
        <v>0.23454006759940119</v>
      </c>
      <c r="Q254">
        <f t="shared" si="24"/>
        <v>0.50383261020075465</v>
      </c>
      <c r="R254">
        <f t="shared" si="25"/>
        <v>0.36116233829495342</v>
      </c>
      <c r="S254">
        <f t="shared" si="26"/>
        <v>0.6296636240420691</v>
      </c>
      <c r="T254">
        <f t="shared" si="27"/>
        <v>0.10235315605356668</v>
      </c>
    </row>
    <row r="255" spans="2:20" x14ac:dyDescent="0.2">
      <c r="B255">
        <v>1435</v>
      </c>
      <c r="C255">
        <v>9.3498029708862305</v>
      </c>
      <c r="D255">
        <v>5.7827695846557603</v>
      </c>
      <c r="E255">
        <v>1.8455414766445799</v>
      </c>
      <c r="F255" s="13">
        <v>4.3291395660000003</v>
      </c>
      <c r="G255">
        <v>7.48675489425659</v>
      </c>
      <c r="H255">
        <v>8.5509486198425293</v>
      </c>
      <c r="I255">
        <v>2.6302614927291899</v>
      </c>
      <c r="N255">
        <f t="shared" si="21"/>
        <v>0.29440387025630821</v>
      </c>
      <c r="O255">
        <f t="shared" si="22"/>
        <v>0.46783882565265444</v>
      </c>
      <c r="P255">
        <f t="shared" si="23"/>
        <v>0.22792210550322778</v>
      </c>
      <c r="Q255">
        <f t="shared" si="24"/>
        <v>0.48918859656765101</v>
      </c>
      <c r="R255">
        <f t="shared" si="25"/>
        <v>0.3487115890154634</v>
      </c>
      <c r="S255">
        <f t="shared" si="26"/>
        <v>0.61785223895502295</v>
      </c>
      <c r="T255">
        <f t="shared" si="27"/>
        <v>9.9498388697988119E-2</v>
      </c>
    </row>
    <row r="256" spans="2:20" x14ac:dyDescent="0.2">
      <c r="B256">
        <v>1437</v>
      </c>
      <c r="C256">
        <v>8.7165508270263707</v>
      </c>
      <c r="D256">
        <v>5.6067270278930703</v>
      </c>
      <c r="E256">
        <v>1.7199857577681501</v>
      </c>
      <c r="F256" s="13">
        <v>4.3651047710000004</v>
      </c>
      <c r="G256">
        <v>6.9943545341491697</v>
      </c>
      <c r="H256">
        <v>8.3364745140075698</v>
      </c>
      <c r="I256">
        <v>2.5324321031570398</v>
      </c>
      <c r="N256">
        <f t="shared" si="21"/>
        <v>0.27514150065101828</v>
      </c>
      <c r="O256">
        <f t="shared" si="22"/>
        <v>0.45846741059878215</v>
      </c>
      <c r="P256">
        <f t="shared" si="23"/>
        <v>0.21513740499780859</v>
      </c>
      <c r="Q256">
        <f t="shared" si="24"/>
        <v>0.49175724354465117</v>
      </c>
      <c r="R256">
        <f t="shared" si="25"/>
        <v>0.33301163969787589</v>
      </c>
      <c r="S256">
        <f t="shared" si="26"/>
        <v>0.60887662205179205</v>
      </c>
      <c r="T256">
        <f t="shared" si="27"/>
        <v>9.5797666675997553E-2</v>
      </c>
    </row>
    <row r="257" spans="2:20" x14ac:dyDescent="0.2">
      <c r="B257">
        <v>1439</v>
      </c>
      <c r="C257">
        <v>8.3943674087524407</v>
      </c>
      <c r="D257">
        <v>5.6119369506835897</v>
      </c>
      <c r="E257">
        <v>1.7395699292421301</v>
      </c>
      <c r="F257" s="13">
        <v>4.2485381599999998</v>
      </c>
      <c r="G257">
        <v>6.8824679374694799</v>
      </c>
      <c r="H257">
        <v>8.2856866836547791</v>
      </c>
      <c r="I257">
        <v>2.2944629192352299</v>
      </c>
      <c r="N257">
        <f t="shared" si="21"/>
        <v>0.26534127155797382</v>
      </c>
      <c r="O257">
        <f t="shared" si="22"/>
        <v>0.45874475461017605</v>
      </c>
      <c r="P257">
        <f t="shared" si="23"/>
        <v>0.21713156160956776</v>
      </c>
      <c r="Q257">
        <f t="shared" si="24"/>
        <v>0.48343201717754691</v>
      </c>
      <c r="R257">
        <f t="shared" si="25"/>
        <v>0.32944418922565188</v>
      </c>
      <c r="S257">
        <f t="shared" si="26"/>
        <v>0.6067511808158057</v>
      </c>
      <c r="T257">
        <f t="shared" si="27"/>
        <v>8.6795690855172539E-2</v>
      </c>
    </row>
    <row r="258" spans="2:20" x14ac:dyDescent="0.2">
      <c r="B258">
        <v>1441</v>
      </c>
      <c r="C258">
        <v>8.0133836746215792</v>
      </c>
      <c r="D258">
        <v>5.4583705902099604</v>
      </c>
      <c r="E258">
        <v>1.7409827396273601</v>
      </c>
      <c r="F258" s="13">
        <v>4.1457592959999996</v>
      </c>
      <c r="G258">
        <v>6.7047122001647903</v>
      </c>
      <c r="H258">
        <v>8.2530309677123999</v>
      </c>
      <c r="I258">
        <v>2.1940290212631202</v>
      </c>
      <c r="N258">
        <f t="shared" si="21"/>
        <v>0.25375244462451735</v>
      </c>
      <c r="O258">
        <f t="shared" si="22"/>
        <v>0.45056983299590447</v>
      </c>
      <c r="P258">
        <f t="shared" si="23"/>
        <v>0.21727542090811464</v>
      </c>
      <c r="Q258">
        <f t="shared" si="24"/>
        <v>0.47609151631530755</v>
      </c>
      <c r="R258">
        <f t="shared" si="25"/>
        <v>0.32377653279667362</v>
      </c>
      <c r="S258">
        <f t="shared" si="26"/>
        <v>0.60538455804864943</v>
      </c>
      <c r="T258">
        <f t="shared" si="27"/>
        <v>8.299644464086775E-2</v>
      </c>
    </row>
    <row r="259" spans="2:20" x14ac:dyDescent="0.2">
      <c r="B259">
        <v>1443</v>
      </c>
      <c r="C259">
        <v>7.7075948715209996</v>
      </c>
      <c r="D259">
        <v>5.4588812828064004</v>
      </c>
      <c r="E259">
        <v>1.6627832941710901</v>
      </c>
      <c r="F259" s="13">
        <v>4.1964561460000001</v>
      </c>
      <c r="G259">
        <v>6.4763134956359902</v>
      </c>
      <c r="H259">
        <v>8.2989711761474592</v>
      </c>
      <c r="I259">
        <v>2.2314994573593099</v>
      </c>
      <c r="N259">
        <f t="shared" si="21"/>
        <v>0.24445090967734773</v>
      </c>
      <c r="O259">
        <f t="shared" si="22"/>
        <v>0.45059701910575312</v>
      </c>
      <c r="P259">
        <f t="shared" si="23"/>
        <v>0.20931276895729251</v>
      </c>
      <c r="Q259">
        <f t="shared" si="24"/>
        <v>0.47971230230821194</v>
      </c>
      <c r="R259">
        <f t="shared" si="25"/>
        <v>0.31649414964707046</v>
      </c>
      <c r="S259">
        <f t="shared" si="26"/>
        <v>0.60730712911969975</v>
      </c>
      <c r="T259">
        <f t="shared" si="27"/>
        <v>8.441388850555108E-2</v>
      </c>
    </row>
    <row r="260" spans="2:20" x14ac:dyDescent="0.2">
      <c r="B260">
        <v>1445</v>
      </c>
      <c r="C260">
        <v>7.5386769294738798</v>
      </c>
      <c r="D260">
        <v>5.5124559402465803</v>
      </c>
      <c r="E260">
        <v>1.6049990214407399</v>
      </c>
      <c r="F260" s="13">
        <v>4.0892577650000002</v>
      </c>
      <c r="G260">
        <v>6.3257522583007804</v>
      </c>
      <c r="H260">
        <v>8.4112842559814496</v>
      </c>
      <c r="I260">
        <v>2.2035497665405299</v>
      </c>
      <c r="N260">
        <f t="shared" si="21"/>
        <v>0.23931273546945014</v>
      </c>
      <c r="O260">
        <f t="shared" si="22"/>
        <v>0.45344900194713933</v>
      </c>
      <c r="P260">
        <f t="shared" si="23"/>
        <v>0.20342889025075539</v>
      </c>
      <c r="Q260">
        <f t="shared" si="24"/>
        <v>0.47205615806282347</v>
      </c>
      <c r="R260">
        <f t="shared" si="25"/>
        <v>0.3116935768066274</v>
      </c>
      <c r="S260">
        <f t="shared" si="26"/>
        <v>0.61200736635294228</v>
      </c>
      <c r="T260">
        <f t="shared" si="27"/>
        <v>8.3356598495123252E-2</v>
      </c>
    </row>
    <row r="261" spans="2:20" x14ac:dyDescent="0.2">
      <c r="B261">
        <v>1447</v>
      </c>
      <c r="C261">
        <v>7.4120210647583002</v>
      </c>
      <c r="D261">
        <v>5.5655193328857404</v>
      </c>
      <c r="E261">
        <v>1.6711847163736799</v>
      </c>
      <c r="F261" s="13">
        <v>4.1216638090000002</v>
      </c>
      <c r="G261">
        <v>6.1370341300964402</v>
      </c>
      <c r="H261">
        <v>8.4238854408264192</v>
      </c>
      <c r="I261">
        <v>2.1007714033126801</v>
      </c>
      <c r="N261">
        <f t="shared" si="21"/>
        <v>0.23546009619695049</v>
      </c>
      <c r="O261">
        <f t="shared" si="22"/>
        <v>0.4562737682180501</v>
      </c>
      <c r="P261">
        <f t="shared" si="23"/>
        <v>0.21016824306584669</v>
      </c>
      <c r="Q261">
        <f t="shared" si="24"/>
        <v>0.4743706085701162</v>
      </c>
      <c r="R261">
        <f t="shared" si="25"/>
        <v>0.30567638980158185</v>
      </c>
      <c r="S261">
        <f t="shared" si="26"/>
        <v>0.61253471862819686</v>
      </c>
      <c r="T261">
        <f t="shared" si="27"/>
        <v>7.9468665085286994E-2</v>
      </c>
    </row>
    <row r="262" spans="2:20" x14ac:dyDescent="0.2">
      <c r="B262">
        <v>1449</v>
      </c>
      <c r="C262">
        <v>7.1591328620910604</v>
      </c>
      <c r="D262">
        <v>5.5016566276550298</v>
      </c>
      <c r="E262">
        <v>1.7282467088662099</v>
      </c>
      <c r="F262" s="13">
        <v>3.9913979529999999</v>
      </c>
      <c r="G262">
        <v>5.57803497314453</v>
      </c>
      <c r="H262">
        <v>8.38965196609497</v>
      </c>
      <c r="I262">
        <v>2.02670161724091</v>
      </c>
      <c r="N262">
        <f t="shared" ref="N262:N325" si="28">C262/$L$8+0.01</f>
        <v>0.22776770055987886</v>
      </c>
      <c r="O262">
        <f t="shared" ref="O262:O325" si="29">D262/$L$9+0.16</f>
        <v>0.45287411345169237</v>
      </c>
      <c r="P262">
        <f t="shared" ref="P262:P325" si="30">E262/$L$10+0.04</f>
        <v>0.21597857564796871</v>
      </c>
      <c r="Q262">
        <f t="shared" ref="Q262:Q325" si="31">F262/$L$11+0.18</f>
        <v>0.46506697754060461</v>
      </c>
      <c r="R262">
        <f t="shared" ref="R262:R325" si="32">G262/$L$12+0.11</f>
        <v>0.28785296978863845</v>
      </c>
      <c r="S262">
        <f t="shared" ref="S262:S325" si="33">H262/$L$13+0.26</f>
        <v>0.61110206757104613</v>
      </c>
      <c r="T262">
        <f t="shared" ref="T262:T325" si="34">I262/$L$14</f>
        <v>7.6666729085494517E-2</v>
      </c>
    </row>
    <row r="263" spans="2:20" x14ac:dyDescent="0.2">
      <c r="B263">
        <v>1451</v>
      </c>
      <c r="C263">
        <v>6.9117922782897896</v>
      </c>
      <c r="D263">
        <v>5.4391949653625504</v>
      </c>
      <c r="E263">
        <v>1.7840570926666299</v>
      </c>
      <c r="F263" s="13">
        <v>3.8639896870000001</v>
      </c>
      <c r="G263">
        <v>5.0312976837158203</v>
      </c>
      <c r="H263">
        <v>8.3561695098876996</v>
      </c>
      <c r="I263">
        <v>2.1317941665649398</v>
      </c>
      <c r="N263">
        <f t="shared" si="28"/>
        <v>0.22024405332115332</v>
      </c>
      <c r="O263">
        <f t="shared" si="29"/>
        <v>0.44954904153123232</v>
      </c>
      <c r="P263">
        <f t="shared" si="30"/>
        <v>0.221661463280376</v>
      </c>
      <c r="Q263">
        <f t="shared" si="31"/>
        <v>0.45596743654519706</v>
      </c>
      <c r="R263">
        <f t="shared" si="32"/>
        <v>0.27042051354065094</v>
      </c>
      <c r="S263">
        <f t="shared" si="33"/>
        <v>0.60970084620343301</v>
      </c>
      <c r="T263">
        <f t="shared" si="34"/>
        <v>8.0642204280949314E-2</v>
      </c>
    </row>
    <row r="264" spans="2:20" x14ac:dyDescent="0.2">
      <c r="B264">
        <v>1453</v>
      </c>
      <c r="C264">
        <v>6.6698179244995099</v>
      </c>
      <c r="D264">
        <v>5.3780883789062504</v>
      </c>
      <c r="E264">
        <v>1.8386565271765001</v>
      </c>
      <c r="F264" s="13">
        <v>3.7393458370000001</v>
      </c>
      <c r="G264">
        <v>4.4964229583740201</v>
      </c>
      <c r="H264">
        <v>8.3234132766723601</v>
      </c>
      <c r="I264">
        <v>2.28986971378326</v>
      </c>
      <c r="N264">
        <f t="shared" si="28"/>
        <v>0.21288363696425103</v>
      </c>
      <c r="O264">
        <f t="shared" si="29"/>
        <v>0.44629610545294496</v>
      </c>
      <c r="P264">
        <f t="shared" si="30"/>
        <v>0.22722104610320973</v>
      </c>
      <c r="Q264">
        <f t="shared" si="31"/>
        <v>0.4470653310656324</v>
      </c>
      <c r="R264">
        <f t="shared" si="32"/>
        <v>0.25336628945906653</v>
      </c>
      <c r="S264">
        <f t="shared" si="33"/>
        <v>0.60833001684671784</v>
      </c>
      <c r="T264">
        <f t="shared" si="34"/>
        <v>8.6621937582848418E-2</v>
      </c>
    </row>
    <row r="265" spans="2:20" x14ac:dyDescent="0.2">
      <c r="B265">
        <v>1455</v>
      </c>
      <c r="C265">
        <v>6.49254922866821</v>
      </c>
      <c r="D265">
        <v>5.2895411491394002</v>
      </c>
      <c r="E265">
        <v>1.8267308768816299</v>
      </c>
      <c r="F265" s="13">
        <v>3.6322965150000002</v>
      </c>
      <c r="G265">
        <v>4.1161418914794901</v>
      </c>
      <c r="H265">
        <v>8.1851058006286603</v>
      </c>
      <c r="I265">
        <v>2.4473584175109901</v>
      </c>
      <c r="N265">
        <f t="shared" si="28"/>
        <v>0.20749144813132087</v>
      </c>
      <c r="O265">
        <f t="shared" si="29"/>
        <v>0.4415823995327659</v>
      </c>
      <c r="P265">
        <f t="shared" si="30"/>
        <v>0.22600671776582565</v>
      </c>
      <c r="Q265">
        <f t="shared" si="31"/>
        <v>0.43941983266390716</v>
      </c>
      <c r="R265">
        <f t="shared" si="32"/>
        <v>0.24124121003105847</v>
      </c>
      <c r="S265">
        <f t="shared" si="33"/>
        <v>0.60254192921260374</v>
      </c>
      <c r="T265">
        <f t="shared" si="34"/>
        <v>9.2579471577989236E-2</v>
      </c>
    </row>
    <row r="266" spans="2:20" x14ac:dyDescent="0.2">
      <c r="B266">
        <v>1457</v>
      </c>
      <c r="C266">
        <v>6.2407165527343702</v>
      </c>
      <c r="D266">
        <v>5.1061868667602504</v>
      </c>
      <c r="E266">
        <v>1.71539745945483</v>
      </c>
      <c r="F266" s="13">
        <v>3.4097351549999999</v>
      </c>
      <c r="G266">
        <v>3.8218646526336699</v>
      </c>
      <c r="H266">
        <v>8.0788491249084498</v>
      </c>
      <c r="I266">
        <v>2.6042638063430799</v>
      </c>
      <c r="N266">
        <f t="shared" si="28"/>
        <v>0.19983115968293252</v>
      </c>
      <c r="O266">
        <f t="shared" si="29"/>
        <v>0.43182175350672458</v>
      </c>
      <c r="P266">
        <f t="shared" si="30"/>
        <v>0.21467020190829381</v>
      </c>
      <c r="Q266">
        <f t="shared" si="31"/>
        <v>0.42352442585165473</v>
      </c>
      <c r="R266">
        <f t="shared" si="32"/>
        <v>0.23185832141133639</v>
      </c>
      <c r="S266">
        <f t="shared" si="33"/>
        <v>0.59809514897793359</v>
      </c>
      <c r="T266">
        <f t="shared" si="34"/>
        <v>9.851493974721115E-2</v>
      </c>
    </row>
    <row r="267" spans="2:20" x14ac:dyDescent="0.2">
      <c r="B267">
        <v>1459</v>
      </c>
      <c r="C267">
        <v>6.10119180679321</v>
      </c>
      <c r="D267">
        <v>5.1580834388732901</v>
      </c>
      <c r="E267">
        <v>1.7069960281252901</v>
      </c>
      <c r="F267" s="13">
        <v>3.411197209</v>
      </c>
      <c r="G267">
        <v>4.2598276615142803</v>
      </c>
      <c r="H267">
        <v>8.1320096015930208</v>
      </c>
      <c r="I267">
        <v>2.6201570749282799</v>
      </c>
      <c r="N267">
        <f t="shared" si="28"/>
        <v>0.19558707262935979</v>
      </c>
      <c r="O267">
        <f t="shared" si="29"/>
        <v>0.4345844054818383</v>
      </c>
      <c r="P267">
        <f t="shared" si="30"/>
        <v>0.21381472687038872</v>
      </c>
      <c r="Q267">
        <f t="shared" si="31"/>
        <v>0.42362884623761698</v>
      </c>
      <c r="R267">
        <f t="shared" si="32"/>
        <v>0.24582256189423057</v>
      </c>
      <c r="S267">
        <f t="shared" si="33"/>
        <v>0.60031988408642745</v>
      </c>
      <c r="T267">
        <f t="shared" si="34"/>
        <v>9.9116155489350516E-2</v>
      </c>
    </row>
    <row r="268" spans="2:20" x14ac:dyDescent="0.2">
      <c r="B268">
        <v>1461</v>
      </c>
      <c r="C268">
        <v>5.98481283187866</v>
      </c>
      <c r="D268">
        <v>5.18444375991821</v>
      </c>
      <c r="E268">
        <v>1.6869815401732899</v>
      </c>
      <c r="F268" s="13">
        <v>3.65163269</v>
      </c>
      <c r="G268">
        <v>4.2638573646545401</v>
      </c>
      <c r="H268">
        <v>7.9702556610107402</v>
      </c>
      <c r="I268">
        <v>2.5450235843658402</v>
      </c>
      <c r="N268">
        <f t="shared" si="28"/>
        <v>0.19204703750934457</v>
      </c>
      <c r="O268">
        <f t="shared" si="29"/>
        <v>0.43598766565942293</v>
      </c>
      <c r="P268">
        <f t="shared" si="30"/>
        <v>0.21177675331947882</v>
      </c>
      <c r="Q268">
        <f t="shared" si="31"/>
        <v>0.44080082875333571</v>
      </c>
      <c r="R268">
        <f t="shared" si="32"/>
        <v>0.24595104704613663</v>
      </c>
      <c r="S268">
        <f t="shared" si="33"/>
        <v>0.59355057551370993</v>
      </c>
      <c r="T268">
        <f t="shared" si="34"/>
        <v>9.6273981329525277E-2</v>
      </c>
    </row>
    <row r="269" spans="2:20" x14ac:dyDescent="0.2">
      <c r="B269">
        <v>1463</v>
      </c>
      <c r="C269">
        <v>5.8386868476867697</v>
      </c>
      <c r="D269">
        <v>5.0499718666076703</v>
      </c>
      <c r="E269">
        <v>1.6723793908953699</v>
      </c>
      <c r="F269" s="13">
        <v>3.4975147720000002</v>
      </c>
      <c r="G269">
        <v>4.05641441345215</v>
      </c>
      <c r="H269">
        <v>7.8443578720092804</v>
      </c>
      <c r="I269">
        <v>2.49125137329102</v>
      </c>
      <c r="N269">
        <f t="shared" si="28"/>
        <v>0.18760215288679233</v>
      </c>
      <c r="O269">
        <f t="shared" si="29"/>
        <v>0.42882921517752126</v>
      </c>
      <c r="P269">
        <f t="shared" si="30"/>
        <v>0.21028989069845108</v>
      </c>
      <c r="Q269">
        <f t="shared" si="31"/>
        <v>0.42979367547359593</v>
      </c>
      <c r="R269">
        <f t="shared" si="32"/>
        <v>0.23933682804057416</v>
      </c>
      <c r="S269">
        <f t="shared" si="33"/>
        <v>0.58828182608290236</v>
      </c>
      <c r="T269">
        <f t="shared" si="34"/>
        <v>9.4239868609758679E-2</v>
      </c>
    </row>
    <row r="270" spans="2:20" x14ac:dyDescent="0.2">
      <c r="B270">
        <v>1465</v>
      </c>
      <c r="C270">
        <v>5.5060976028442399</v>
      </c>
      <c r="D270">
        <v>4.9517336845397901</v>
      </c>
      <c r="E270">
        <v>1.5600472614169101</v>
      </c>
      <c r="F270" s="13">
        <v>3.4217233660000002</v>
      </c>
      <c r="G270">
        <v>3.90528120994568</v>
      </c>
      <c r="H270">
        <v>7.6596092224121097</v>
      </c>
      <c r="I270">
        <v>2.6729650497436501</v>
      </c>
      <c r="N270">
        <f t="shared" si="28"/>
        <v>0.17748539762110649</v>
      </c>
      <c r="O270">
        <f t="shared" si="29"/>
        <v>0.42359962299693843</v>
      </c>
      <c r="P270">
        <f t="shared" si="30"/>
        <v>0.19885168107032972</v>
      </c>
      <c r="Q270">
        <f t="shared" si="31"/>
        <v>0.42438062789317765</v>
      </c>
      <c r="R270">
        <f t="shared" si="32"/>
        <v>0.23451801833308616</v>
      </c>
      <c r="S270">
        <f t="shared" si="33"/>
        <v>0.58055020227816456</v>
      </c>
      <c r="T270">
        <f t="shared" si="34"/>
        <v>0.10111379276574213</v>
      </c>
    </row>
    <row r="271" spans="2:20" x14ac:dyDescent="0.2">
      <c r="B271">
        <v>1467</v>
      </c>
      <c r="C271">
        <v>5.1866400718688999</v>
      </c>
      <c r="D271">
        <v>4.7945441246032701</v>
      </c>
      <c r="E271">
        <v>1.50858056992292</v>
      </c>
      <c r="F271" s="13">
        <v>3.4238502030000002</v>
      </c>
      <c r="G271">
        <v>3.5802769184112599</v>
      </c>
      <c r="H271">
        <v>7.4929968833923297</v>
      </c>
      <c r="I271">
        <v>2.7259763717651402</v>
      </c>
      <c r="N271">
        <f t="shared" si="28"/>
        <v>0.16776808502373744</v>
      </c>
      <c r="O271">
        <f t="shared" si="29"/>
        <v>0.41523182469072306</v>
      </c>
      <c r="P271">
        <f t="shared" si="30"/>
        <v>0.19361108954137635</v>
      </c>
      <c r="Q271">
        <f t="shared" si="31"/>
        <v>0.42453252730347224</v>
      </c>
      <c r="R271">
        <f t="shared" si="32"/>
        <v>0.22415541237565823</v>
      </c>
      <c r="S271">
        <f t="shared" si="33"/>
        <v>0.57357757254941066</v>
      </c>
      <c r="T271">
        <f t="shared" si="34"/>
        <v>0.10311912232649828</v>
      </c>
    </row>
    <row r="272" spans="2:20" x14ac:dyDescent="0.2">
      <c r="B272">
        <v>1469</v>
      </c>
      <c r="C272">
        <v>4.8767576217651403</v>
      </c>
      <c r="D272">
        <v>4.5557711601257296</v>
      </c>
      <c r="E272">
        <v>1.5254012074321499</v>
      </c>
      <c r="F272" s="13">
        <v>3.3867814300000001</v>
      </c>
      <c r="G272">
        <v>3.5009593009948698</v>
      </c>
      <c r="H272">
        <v>7.3434968948364299</v>
      </c>
      <c r="I272">
        <v>2.3644684553146398</v>
      </c>
      <c r="N272">
        <f t="shared" si="28"/>
        <v>0.15834202883747933</v>
      </c>
      <c r="O272">
        <f t="shared" si="29"/>
        <v>0.40252103137511069</v>
      </c>
      <c r="P272">
        <f t="shared" si="30"/>
        <v>0.19532384953980675</v>
      </c>
      <c r="Q272">
        <f t="shared" si="31"/>
        <v>0.42188506313059859</v>
      </c>
      <c r="R272">
        <f t="shared" si="32"/>
        <v>0.22162640818655191</v>
      </c>
      <c r="S272">
        <f t="shared" si="33"/>
        <v>0.56732108475993492</v>
      </c>
      <c r="T272">
        <f t="shared" si="34"/>
        <v>8.9443883082103076E-2</v>
      </c>
    </row>
    <row r="273" spans="2:20" x14ac:dyDescent="0.2">
      <c r="B273">
        <v>1471</v>
      </c>
      <c r="C273">
        <v>4.6048611640930197</v>
      </c>
      <c r="D273">
        <v>4.3267536163330096</v>
      </c>
      <c r="E273">
        <v>1.43913086727262</v>
      </c>
      <c r="F273" s="13">
        <v>3.267809153</v>
      </c>
      <c r="G273">
        <v>3.2513758182525598</v>
      </c>
      <c r="H273">
        <v>7.0226154327392596</v>
      </c>
      <c r="I273">
        <v>2.1224669694900502</v>
      </c>
      <c r="N273">
        <f t="shared" si="28"/>
        <v>0.15007143692108071</v>
      </c>
      <c r="O273">
        <f t="shared" si="29"/>
        <v>0.39032955621724252</v>
      </c>
      <c r="P273">
        <f t="shared" si="30"/>
        <v>0.18653937941522625</v>
      </c>
      <c r="Q273">
        <f t="shared" si="31"/>
        <v>0.41338802329270852</v>
      </c>
      <c r="R273">
        <f t="shared" si="32"/>
        <v>0.2136685585442275</v>
      </c>
      <c r="S273">
        <f t="shared" si="33"/>
        <v>0.55389238172876776</v>
      </c>
      <c r="T273">
        <f t="shared" si="34"/>
        <v>8.0289372031157616E-2</v>
      </c>
    </row>
    <row r="274" spans="2:20" x14ac:dyDescent="0.2">
      <c r="B274">
        <v>1473</v>
      </c>
      <c r="C274">
        <v>4.1738449573516796</v>
      </c>
      <c r="D274">
        <v>4.18971138000488</v>
      </c>
      <c r="E274">
        <v>1.3817970260977701</v>
      </c>
      <c r="F274" s="13">
        <v>3.1150723930000002</v>
      </c>
      <c r="G274">
        <v>2.9592365741729698</v>
      </c>
      <c r="H274">
        <v>6.6050189018249501</v>
      </c>
      <c r="I274">
        <v>2.1492344141006501</v>
      </c>
      <c r="N274">
        <f t="shared" si="28"/>
        <v>0.13696071386925462</v>
      </c>
      <c r="O274">
        <f t="shared" si="29"/>
        <v>0.38303427659759359</v>
      </c>
      <c r="P274">
        <f t="shared" si="30"/>
        <v>0.18070136586391097</v>
      </c>
      <c r="Q274">
        <f t="shared" si="31"/>
        <v>0.40247951277953881</v>
      </c>
      <c r="R274">
        <f t="shared" si="32"/>
        <v>0.20435383886220432</v>
      </c>
      <c r="S274">
        <f t="shared" si="33"/>
        <v>0.53641620917631383</v>
      </c>
      <c r="T274">
        <f t="shared" si="34"/>
        <v>8.1301939646841279E-2</v>
      </c>
    </row>
    <row r="275" spans="2:20" x14ac:dyDescent="0.2">
      <c r="B275">
        <v>1475</v>
      </c>
      <c r="C275">
        <v>3.93065614700317</v>
      </c>
      <c r="D275">
        <v>4.0439065933227498</v>
      </c>
      <c r="E275">
        <v>1.3798209711909299</v>
      </c>
      <c r="F275" s="13">
        <v>3.155722237</v>
      </c>
      <c r="G275">
        <v>2.8411396980285599</v>
      </c>
      <c r="H275">
        <v>6.5385483741760302</v>
      </c>
      <c r="I275">
        <v>1.9617594957351701</v>
      </c>
      <c r="N275">
        <f t="shared" si="28"/>
        <v>0.12956335596968085</v>
      </c>
      <c r="O275">
        <f t="shared" si="29"/>
        <v>0.37527253308530484</v>
      </c>
      <c r="P275">
        <f t="shared" si="30"/>
        <v>0.18050015423936458</v>
      </c>
      <c r="Q275">
        <f t="shared" si="31"/>
        <v>0.40538273824165227</v>
      </c>
      <c r="R275">
        <f t="shared" si="32"/>
        <v>0.20058837660781409</v>
      </c>
      <c r="S275">
        <f t="shared" si="33"/>
        <v>0.53363445615671434</v>
      </c>
      <c r="T275">
        <f t="shared" si="34"/>
        <v>7.4210077354740014E-2</v>
      </c>
    </row>
    <row r="276" spans="2:20" x14ac:dyDescent="0.2">
      <c r="B276">
        <v>1477</v>
      </c>
      <c r="C276">
        <v>3.8335225105285602</v>
      </c>
      <c r="D276">
        <v>3.99897751808167</v>
      </c>
      <c r="E276">
        <v>1.3787139553576699</v>
      </c>
      <c r="F276" s="13">
        <v>3.0766319750000002</v>
      </c>
      <c r="G276">
        <v>2.7327059268951399</v>
      </c>
      <c r="H276">
        <v>6.4214245796203597</v>
      </c>
      <c r="I276">
        <v>1.67065696716309</v>
      </c>
      <c r="N276">
        <f t="shared" si="28"/>
        <v>0.12660872877256571</v>
      </c>
      <c r="O276">
        <f t="shared" si="29"/>
        <v>0.37288078747666542</v>
      </c>
      <c r="P276">
        <f t="shared" si="30"/>
        <v>0.18038743244533054</v>
      </c>
      <c r="Q276">
        <f t="shared" si="31"/>
        <v>0.39973408526173865</v>
      </c>
      <c r="R276">
        <f t="shared" si="32"/>
        <v>0.19713101782209308</v>
      </c>
      <c r="S276">
        <f t="shared" si="33"/>
        <v>0.52873289330327888</v>
      </c>
      <c r="T276">
        <f t="shared" si="34"/>
        <v>6.3198156061401833E-2</v>
      </c>
    </row>
    <row r="277" spans="2:20" x14ac:dyDescent="0.2">
      <c r="B277">
        <v>1479</v>
      </c>
      <c r="C277">
        <v>3.6801542758941701</v>
      </c>
      <c r="D277">
        <v>3.8982291221618701</v>
      </c>
      <c r="E277">
        <v>1.29989408291876</v>
      </c>
      <c r="F277" s="13">
        <v>2.8954813239999999</v>
      </c>
      <c r="G277">
        <v>2.7106503009796099</v>
      </c>
      <c r="H277">
        <v>6.3045452117919902</v>
      </c>
      <c r="I277">
        <v>1.54995658397675</v>
      </c>
      <c r="N277">
        <f t="shared" si="28"/>
        <v>0.12194354816499364</v>
      </c>
      <c r="O277">
        <f t="shared" si="29"/>
        <v>0.36751756706258665</v>
      </c>
      <c r="P277">
        <f t="shared" si="30"/>
        <v>0.17236160556922814</v>
      </c>
      <c r="Q277">
        <f t="shared" si="31"/>
        <v>0.38679624514452621</v>
      </c>
      <c r="R277">
        <f t="shared" si="32"/>
        <v>0.19642778476806783</v>
      </c>
      <c r="S277">
        <f t="shared" si="33"/>
        <v>0.52384155956657819</v>
      </c>
      <c r="T277">
        <f t="shared" si="34"/>
        <v>5.8632262641501072E-2</v>
      </c>
    </row>
    <row r="278" spans="2:20" x14ac:dyDescent="0.2">
      <c r="B278">
        <v>1481</v>
      </c>
      <c r="C278">
        <v>3.5235905647277801</v>
      </c>
      <c r="D278">
        <v>3.9379843711853</v>
      </c>
      <c r="E278">
        <v>1.19841949343681</v>
      </c>
      <c r="F278" s="13">
        <v>2.978099775</v>
      </c>
      <c r="G278">
        <v>2.5914651632308998</v>
      </c>
      <c r="H278">
        <v>6.2570660591125504</v>
      </c>
      <c r="I278">
        <v>1.5898900032043499</v>
      </c>
      <c r="N278">
        <f t="shared" si="28"/>
        <v>0.11718116701791889</v>
      </c>
      <c r="O278">
        <f t="shared" si="29"/>
        <v>0.36963389021773618</v>
      </c>
      <c r="P278">
        <f t="shared" si="30"/>
        <v>0.1620289640372729</v>
      </c>
      <c r="Q278">
        <f t="shared" si="31"/>
        <v>0.3926968825635424</v>
      </c>
      <c r="R278">
        <f t="shared" si="32"/>
        <v>0.19262762381437512</v>
      </c>
      <c r="S278">
        <f t="shared" si="33"/>
        <v>0.52185458457171063</v>
      </c>
      <c r="T278">
        <f t="shared" si="34"/>
        <v>6.0142877034530376E-2</v>
      </c>
    </row>
    <row r="279" spans="2:20" x14ac:dyDescent="0.2">
      <c r="B279">
        <v>1483</v>
      </c>
      <c r="C279">
        <v>3.3502960205078098</v>
      </c>
      <c r="D279">
        <v>3.9390615940094</v>
      </c>
      <c r="E279">
        <v>1.12568309158087</v>
      </c>
      <c r="F279" s="13">
        <v>2.841389656</v>
      </c>
      <c r="G279">
        <v>2.38667976856232</v>
      </c>
      <c r="H279">
        <v>6.1078572273254403</v>
      </c>
      <c r="I279">
        <v>1.50313485860825</v>
      </c>
      <c r="N279">
        <f t="shared" si="28"/>
        <v>0.11190986459326567</v>
      </c>
      <c r="O279">
        <f t="shared" si="29"/>
        <v>0.36969123488697858</v>
      </c>
      <c r="P279">
        <f t="shared" si="30"/>
        <v>0.15462258604118007</v>
      </c>
      <c r="Q279">
        <f t="shared" si="31"/>
        <v>0.38293300011397247</v>
      </c>
      <c r="R279">
        <f t="shared" si="32"/>
        <v>0.1860981397242793</v>
      </c>
      <c r="S279">
        <f t="shared" si="33"/>
        <v>0.51561028152409571</v>
      </c>
      <c r="T279">
        <f t="shared" si="34"/>
        <v>5.6861075159532676E-2</v>
      </c>
    </row>
    <row r="280" spans="2:20" x14ac:dyDescent="0.2">
      <c r="B280">
        <v>1485</v>
      </c>
      <c r="C280">
        <v>3.1073555946350102</v>
      </c>
      <c r="D280">
        <v>3.8537515640258801</v>
      </c>
      <c r="E280">
        <v>1.11321444958448</v>
      </c>
      <c r="F280" s="13">
        <v>2.7038240189999998</v>
      </c>
      <c r="G280">
        <v>2.59059677124023</v>
      </c>
      <c r="H280">
        <v>5.9819521903991699</v>
      </c>
      <c r="I280">
        <v>1.52629289627075</v>
      </c>
      <c r="N280">
        <f t="shared" si="28"/>
        <v>0.10452006209420928</v>
      </c>
      <c r="O280">
        <f t="shared" si="29"/>
        <v>0.36514985742725692</v>
      </c>
      <c r="P280">
        <f t="shared" si="30"/>
        <v>0.15335296761949729</v>
      </c>
      <c r="Q280">
        <f t="shared" si="31"/>
        <v>0.37310801628253987</v>
      </c>
      <c r="R280">
        <f t="shared" si="32"/>
        <v>0.19259993555224969</v>
      </c>
      <c r="S280">
        <f t="shared" si="33"/>
        <v>0.51034122877183985</v>
      </c>
      <c r="T280">
        <f t="shared" si="34"/>
        <v>5.7737104953222589E-2</v>
      </c>
    </row>
    <row r="281" spans="2:20" x14ac:dyDescent="0.2">
      <c r="B281">
        <v>1487</v>
      </c>
      <c r="C281">
        <v>2.9151200294494601</v>
      </c>
      <c r="D281">
        <v>3.8084580898284899</v>
      </c>
      <c r="E281">
        <v>1.1154919706285</v>
      </c>
      <c r="F281" s="13">
        <v>2.5236113790000001</v>
      </c>
      <c r="G281">
        <v>2.6297904253005999</v>
      </c>
      <c r="H281">
        <v>5.8572504043579103</v>
      </c>
      <c r="I281">
        <v>1.5280446887016299</v>
      </c>
      <c r="N281">
        <f t="shared" si="28"/>
        <v>9.867260852647948E-2</v>
      </c>
      <c r="O281">
        <f t="shared" si="29"/>
        <v>0.3627387134758101</v>
      </c>
      <c r="P281">
        <f t="shared" si="30"/>
        <v>0.15358487600808485</v>
      </c>
      <c r="Q281">
        <f t="shared" si="31"/>
        <v>0.3602371692248566</v>
      </c>
      <c r="R281">
        <f t="shared" si="32"/>
        <v>0.19384960641395382</v>
      </c>
      <c r="S281">
        <f t="shared" si="33"/>
        <v>0.50512253137106222</v>
      </c>
      <c r="T281">
        <f t="shared" si="34"/>
        <v>5.7803372328039768E-2</v>
      </c>
    </row>
    <row r="282" spans="2:20" x14ac:dyDescent="0.2">
      <c r="B282">
        <v>1489</v>
      </c>
      <c r="C282">
        <v>2.8812206745147702</v>
      </c>
      <c r="D282">
        <v>3.6311165809631301</v>
      </c>
      <c r="E282">
        <v>1.0426745578646699</v>
      </c>
      <c r="F282" s="13">
        <v>2.3379309180000001</v>
      </c>
      <c r="G282">
        <v>2.44657936096191</v>
      </c>
      <c r="H282">
        <v>5.6327989578247104</v>
      </c>
      <c r="I282">
        <v>1.3995587468147299</v>
      </c>
      <c r="N282">
        <f t="shared" si="28"/>
        <v>9.7641452279375776E-2</v>
      </c>
      <c r="O282">
        <f t="shared" si="29"/>
        <v>0.35329815025962386</v>
      </c>
      <c r="P282">
        <f t="shared" si="30"/>
        <v>0.14617024908311552</v>
      </c>
      <c r="Q282">
        <f t="shared" si="31"/>
        <v>0.3469758085615251</v>
      </c>
      <c r="R282">
        <f t="shared" si="32"/>
        <v>0.18800800949897351</v>
      </c>
      <c r="S282">
        <f t="shared" si="33"/>
        <v>0.49572936854790883</v>
      </c>
      <c r="T282">
        <f t="shared" si="34"/>
        <v>5.2942964257044166E-2</v>
      </c>
    </row>
    <row r="283" spans="2:20" x14ac:dyDescent="0.2">
      <c r="B283">
        <v>1491</v>
      </c>
      <c r="C283">
        <v>2.9102367877960198</v>
      </c>
      <c r="D283">
        <v>3.59388647079468</v>
      </c>
      <c r="E283">
        <v>1.05185306221247</v>
      </c>
      <c r="F283" s="13">
        <v>2.421632695</v>
      </c>
      <c r="G283">
        <v>2.4689358711242702</v>
      </c>
      <c r="H283">
        <v>5.5947973251342802</v>
      </c>
      <c r="I283">
        <v>1.28093470335007</v>
      </c>
      <c r="N283">
        <f t="shared" si="28"/>
        <v>9.8524069265282246E-2</v>
      </c>
      <c r="O283">
        <f t="shared" si="29"/>
        <v>0.35131624985266563</v>
      </c>
      <c r="P283">
        <f t="shared" si="30"/>
        <v>0.14710484951569161</v>
      </c>
      <c r="Q283">
        <f t="shared" si="31"/>
        <v>0.35295381748600074</v>
      </c>
      <c r="R283">
        <f t="shared" si="32"/>
        <v>0.18872083610289925</v>
      </c>
      <c r="S283">
        <f t="shared" si="33"/>
        <v>0.49413902226625067</v>
      </c>
      <c r="T283">
        <f t="shared" si="34"/>
        <v>4.8455615292615939E-2</v>
      </c>
    </row>
    <row r="284" spans="2:20" x14ac:dyDescent="0.2">
      <c r="B284">
        <v>1493</v>
      </c>
      <c r="C284">
        <v>2.75343894958496</v>
      </c>
      <c r="D284">
        <v>3.5618017673492401</v>
      </c>
      <c r="E284">
        <v>1.14435195624828</v>
      </c>
      <c r="F284" s="13">
        <v>2.5532179359999998</v>
      </c>
      <c r="G284">
        <v>2.44979777336121</v>
      </c>
      <c r="H284">
        <v>5.5264254570007303</v>
      </c>
      <c r="I284">
        <v>1.23721088171005</v>
      </c>
      <c r="N284">
        <f t="shared" si="28"/>
        <v>9.375456640261165E-2</v>
      </c>
      <c r="O284">
        <f t="shared" si="29"/>
        <v>0.3496082590213751</v>
      </c>
      <c r="P284">
        <f t="shared" si="30"/>
        <v>0.15652354161440998</v>
      </c>
      <c r="Q284">
        <f t="shared" si="31"/>
        <v>0.36235167943374968</v>
      </c>
      <c r="R284">
        <f t="shared" si="32"/>
        <v>0.18811062703471432</v>
      </c>
      <c r="S284">
        <f t="shared" si="33"/>
        <v>0.49127769925042142</v>
      </c>
      <c r="T284">
        <f t="shared" si="34"/>
        <v>4.6801616322199452E-2</v>
      </c>
    </row>
    <row r="285" spans="2:20" x14ac:dyDescent="0.2">
      <c r="B285">
        <v>1495</v>
      </c>
      <c r="C285">
        <v>2.7442717552185099</v>
      </c>
      <c r="D285">
        <v>3.3815549373626701</v>
      </c>
      <c r="E285">
        <v>1.1339908815920401</v>
      </c>
      <c r="F285" s="13">
        <v>2.5950970889999998</v>
      </c>
      <c r="G285">
        <v>2.5414897441863999</v>
      </c>
      <c r="H285">
        <v>5.5353561401367202</v>
      </c>
      <c r="I285">
        <v>1.4374039411544799</v>
      </c>
      <c r="N285">
        <f t="shared" si="28"/>
        <v>9.3475717151421167E-2</v>
      </c>
      <c r="O285">
        <f t="shared" si="29"/>
        <v>0.34001303450855502</v>
      </c>
      <c r="P285">
        <f t="shared" si="30"/>
        <v>0.15546852605972478</v>
      </c>
      <c r="Q285">
        <f t="shared" si="31"/>
        <v>0.36534270255603635</v>
      </c>
      <c r="R285">
        <f t="shared" si="32"/>
        <v>0.19103418154728849</v>
      </c>
      <c r="S285">
        <f t="shared" si="33"/>
        <v>0.49165144315857634</v>
      </c>
      <c r="T285">
        <f t="shared" si="34"/>
        <v>5.4374584598662817E-2</v>
      </c>
    </row>
    <row r="286" spans="2:20" x14ac:dyDescent="0.2">
      <c r="B286">
        <v>1497</v>
      </c>
      <c r="C286">
        <v>2.7328631877899201</v>
      </c>
      <c r="D286">
        <v>3.4652185440063499</v>
      </c>
      <c r="E286">
        <v>1.0761416830122501</v>
      </c>
      <c r="F286" s="13">
        <v>2.6657996420000001</v>
      </c>
      <c r="G286">
        <v>2.8454536914825401</v>
      </c>
      <c r="H286">
        <v>5.4593638420105002</v>
      </c>
      <c r="I286">
        <v>1.5405642032623299</v>
      </c>
      <c r="N286">
        <f t="shared" si="28"/>
        <v>9.3128689439620785E-2</v>
      </c>
      <c r="O286">
        <f t="shared" si="29"/>
        <v>0.34446676659004671</v>
      </c>
      <c r="P286">
        <f t="shared" si="30"/>
        <v>0.14957803628403385</v>
      </c>
      <c r="Q286">
        <f t="shared" si="31"/>
        <v>0.37039230255218952</v>
      </c>
      <c r="R286">
        <f t="shared" si="32"/>
        <v>0.20072592622002217</v>
      </c>
      <c r="S286">
        <f t="shared" si="33"/>
        <v>0.48847120956850409</v>
      </c>
      <c r="T286">
        <f t="shared" si="34"/>
        <v>5.8276964603756101E-2</v>
      </c>
    </row>
    <row r="287" spans="2:20" x14ac:dyDescent="0.2">
      <c r="B287">
        <v>1499</v>
      </c>
      <c r="C287">
        <v>2.7675870418548598</v>
      </c>
      <c r="D287">
        <v>3.5917062759399401</v>
      </c>
      <c r="E287">
        <v>1.10951656103134</v>
      </c>
      <c r="F287" s="13">
        <v>2.480378532</v>
      </c>
      <c r="G287">
        <v>3.13196873664856</v>
      </c>
      <c r="H287">
        <v>5.4620816230773901</v>
      </c>
      <c r="I287">
        <v>1.52080692052841</v>
      </c>
      <c r="N287">
        <f t="shared" si="28"/>
        <v>9.4184925439142392E-2</v>
      </c>
      <c r="O287">
        <f t="shared" si="29"/>
        <v>0.35120018978595335</v>
      </c>
      <c r="P287">
        <f t="shared" si="30"/>
        <v>0.15297643042885892</v>
      </c>
      <c r="Q287">
        <f t="shared" si="31"/>
        <v>0.35714946482407084</v>
      </c>
      <c r="R287">
        <f t="shared" si="32"/>
        <v>0.20986132101715732</v>
      </c>
      <c r="S287">
        <f t="shared" si="33"/>
        <v>0.48858494712944783</v>
      </c>
      <c r="T287">
        <f t="shared" si="34"/>
        <v>5.7529579675485769E-2</v>
      </c>
    </row>
    <row r="288" spans="2:20" x14ac:dyDescent="0.2">
      <c r="B288">
        <v>1501</v>
      </c>
      <c r="C288">
        <v>2.83667063713074</v>
      </c>
      <c r="D288">
        <v>3.6894266128540001</v>
      </c>
      <c r="E288">
        <v>1.2708777725696601</v>
      </c>
      <c r="F288" s="13">
        <v>2.5027020690000001</v>
      </c>
      <c r="G288">
        <v>3.3723133563995402</v>
      </c>
      <c r="H288">
        <v>5.7794953346252402</v>
      </c>
      <c r="I288">
        <v>1.4423428058624299</v>
      </c>
      <c r="N288">
        <f t="shared" si="28"/>
        <v>9.6286321792505167E-2</v>
      </c>
      <c r="O288">
        <f t="shared" si="29"/>
        <v>0.35640221509884618</v>
      </c>
      <c r="P288">
        <f t="shared" si="30"/>
        <v>0.16940702221049928</v>
      </c>
      <c r="Q288">
        <f t="shared" si="31"/>
        <v>0.35874381930727212</v>
      </c>
      <c r="R288">
        <f t="shared" si="32"/>
        <v>0.21752459394413498</v>
      </c>
      <c r="S288">
        <f t="shared" si="33"/>
        <v>0.50186852681192218</v>
      </c>
      <c r="T288">
        <f t="shared" si="34"/>
        <v>5.4561413581939493E-2</v>
      </c>
    </row>
    <row r="289" spans="2:20" x14ac:dyDescent="0.2">
      <c r="B289">
        <v>1503</v>
      </c>
      <c r="C289">
        <v>2.9995306015014598</v>
      </c>
      <c r="D289">
        <v>3.6314344882965099</v>
      </c>
      <c r="E289">
        <v>1.50663948580623</v>
      </c>
      <c r="F289" s="13">
        <v>2.6727590320000001</v>
      </c>
      <c r="G289">
        <v>3.1070545196533201</v>
      </c>
      <c r="H289">
        <v>6.0274179458618198</v>
      </c>
      <c r="I289">
        <v>1.53221752643585</v>
      </c>
      <c r="N289">
        <f t="shared" si="28"/>
        <v>0.10124022342241799</v>
      </c>
      <c r="O289">
        <f t="shared" si="29"/>
        <v>0.35331507367646436</v>
      </c>
      <c r="P289">
        <f t="shared" si="30"/>
        <v>0.19341343881459319</v>
      </c>
      <c r="Q289">
        <f t="shared" si="31"/>
        <v>0.37088934451497735</v>
      </c>
      <c r="R289">
        <f t="shared" si="32"/>
        <v>0.20906694315758934</v>
      </c>
      <c r="S289">
        <f t="shared" si="33"/>
        <v>0.51224394426124598</v>
      </c>
      <c r="T289">
        <f t="shared" si="34"/>
        <v>5.7961223793379153E-2</v>
      </c>
    </row>
    <row r="290" spans="2:20" x14ac:dyDescent="0.2">
      <c r="B290">
        <v>1505</v>
      </c>
      <c r="C290">
        <v>2.67195844650269</v>
      </c>
      <c r="D290">
        <v>3.5343240737914998</v>
      </c>
      <c r="E290">
        <v>1.6541456028819099</v>
      </c>
      <c r="F290" s="13">
        <v>1.9914224149999999</v>
      </c>
      <c r="G290">
        <v>2.6827518701553301</v>
      </c>
      <c r="H290">
        <v>5.7573677062988304</v>
      </c>
      <c r="I290">
        <v>1.8445893287658699</v>
      </c>
      <c r="N290">
        <f t="shared" si="28"/>
        <v>9.1276078834564844E-2</v>
      </c>
      <c r="O290">
        <f t="shared" si="29"/>
        <v>0.34814551685386719</v>
      </c>
      <c r="P290">
        <f t="shared" si="30"/>
        <v>0.20843323676888523</v>
      </c>
      <c r="Q290">
        <f t="shared" si="31"/>
        <v>0.32222805531680387</v>
      </c>
      <c r="R290">
        <f t="shared" si="32"/>
        <v>0.19553825668184571</v>
      </c>
      <c r="S290">
        <f t="shared" si="33"/>
        <v>0.50094249840368266</v>
      </c>
      <c r="T290">
        <f t="shared" si="34"/>
        <v>6.9777726104057761E-2</v>
      </c>
    </row>
    <row r="291" spans="2:20" x14ac:dyDescent="0.2">
      <c r="B291">
        <v>1507</v>
      </c>
      <c r="C291">
        <v>2.4344715118408198</v>
      </c>
      <c r="D291">
        <v>3.1049879550933799</v>
      </c>
      <c r="E291">
        <v>1.7731883674860001</v>
      </c>
      <c r="F291" s="13">
        <v>1.641191608</v>
      </c>
      <c r="G291">
        <v>3.0999087333679198</v>
      </c>
      <c r="H291">
        <v>5.3414581298828097</v>
      </c>
      <c r="I291">
        <v>1.9846179723739601</v>
      </c>
      <c r="N291">
        <f t="shared" si="28"/>
        <v>8.4052161543103368E-2</v>
      </c>
      <c r="O291">
        <f t="shared" si="29"/>
        <v>0.32529032183779849</v>
      </c>
      <c r="P291">
        <f t="shared" si="30"/>
        <v>0.22055475625377838</v>
      </c>
      <c r="Q291">
        <f t="shared" si="31"/>
        <v>0.29721445387471862</v>
      </c>
      <c r="R291">
        <f t="shared" si="32"/>
        <v>0.20883910318913235</v>
      </c>
      <c r="S291">
        <f t="shared" si="33"/>
        <v>0.48353692391830483</v>
      </c>
      <c r="T291">
        <f t="shared" si="34"/>
        <v>7.5074775256426696E-2</v>
      </c>
    </row>
    <row r="292" spans="2:20" x14ac:dyDescent="0.2">
      <c r="B292">
        <v>1509</v>
      </c>
      <c r="C292">
        <v>2.80256209373474</v>
      </c>
      <c r="D292">
        <v>3.3495940208435102</v>
      </c>
      <c r="E292">
        <v>1.5712371133267899</v>
      </c>
      <c r="F292" s="13">
        <v>2.004643416</v>
      </c>
      <c r="G292">
        <v>3.2499804496765101</v>
      </c>
      <c r="H292">
        <v>5.5483121871948198</v>
      </c>
      <c r="I292">
        <v>1.86461851596832</v>
      </c>
      <c r="N292">
        <f t="shared" si="28"/>
        <v>9.5248802415804523E-2</v>
      </c>
      <c r="O292">
        <f t="shared" si="29"/>
        <v>0.33831163332630015</v>
      </c>
      <c r="P292">
        <f t="shared" si="30"/>
        <v>0.19999108679910105</v>
      </c>
      <c r="Q292">
        <f t="shared" si="31"/>
        <v>0.3231723036326849</v>
      </c>
      <c r="R292">
        <f t="shared" si="32"/>
        <v>0.21362406788642507</v>
      </c>
      <c r="S292">
        <f t="shared" si="33"/>
        <v>0.49219364621157902</v>
      </c>
      <c r="T292">
        <f t="shared" si="34"/>
        <v>7.0535396723151345E-2</v>
      </c>
    </row>
    <row r="293" spans="2:20" x14ac:dyDescent="0.2">
      <c r="B293">
        <v>1511</v>
      </c>
      <c r="C293">
        <v>2.7922242164611801</v>
      </c>
      <c r="D293">
        <v>3.6026641368866001</v>
      </c>
      <c r="E293">
        <v>1.4179419875145001</v>
      </c>
      <c r="F293" s="13">
        <v>2.1893609289999998</v>
      </c>
      <c r="G293">
        <v>3.0002929687500002</v>
      </c>
      <c r="H293">
        <v>5.5544034004211396</v>
      </c>
      <c r="I293">
        <v>1.89100714921951</v>
      </c>
      <c r="N293">
        <f t="shared" si="28"/>
        <v>9.493434313618225E-2</v>
      </c>
      <c r="O293">
        <f t="shared" si="29"/>
        <v>0.35178351841354305</v>
      </c>
      <c r="P293">
        <f t="shared" si="30"/>
        <v>0.1843818235175175</v>
      </c>
      <c r="Q293">
        <f t="shared" si="31"/>
        <v>0.33636489022760196</v>
      </c>
      <c r="R293">
        <f t="shared" si="32"/>
        <v>0.20566290231187692</v>
      </c>
      <c r="S293">
        <f t="shared" si="33"/>
        <v>0.49244855995131698</v>
      </c>
      <c r="T293">
        <f t="shared" si="34"/>
        <v>7.1533634539312801E-2</v>
      </c>
    </row>
    <row r="294" spans="2:20" x14ac:dyDescent="0.2">
      <c r="B294">
        <v>1513</v>
      </c>
      <c r="C294">
        <v>2.7684566020965602</v>
      </c>
      <c r="D294">
        <v>3.4381263732910199</v>
      </c>
      <c r="E294">
        <v>1.2578264355659501</v>
      </c>
      <c r="F294" s="13">
        <v>2.243307519</v>
      </c>
      <c r="G294">
        <v>2.9160670518875098</v>
      </c>
      <c r="H294">
        <v>5.2552597999572797</v>
      </c>
      <c r="I294">
        <v>1.99584350585938</v>
      </c>
      <c r="N294">
        <f t="shared" si="28"/>
        <v>9.4211375867983588E-2</v>
      </c>
      <c r="O294">
        <f t="shared" si="29"/>
        <v>0.34302454727016962</v>
      </c>
      <c r="P294">
        <f t="shared" si="30"/>
        <v>0.16807807091874691</v>
      </c>
      <c r="Q294">
        <f t="shared" si="31"/>
        <v>0.34021777373884488</v>
      </c>
      <c r="R294">
        <f t="shared" si="32"/>
        <v>0.20297739934904407</v>
      </c>
      <c r="S294">
        <f t="shared" si="33"/>
        <v>0.47992957381840406</v>
      </c>
      <c r="T294">
        <f t="shared" si="34"/>
        <v>7.5499418394442477E-2</v>
      </c>
    </row>
    <row r="295" spans="2:20" x14ac:dyDescent="0.2">
      <c r="B295">
        <v>1515</v>
      </c>
      <c r="C295">
        <v>2.5913615703582802</v>
      </c>
      <c r="D295">
        <v>3.0876405715942399</v>
      </c>
      <c r="E295">
        <v>1.1207553178072001</v>
      </c>
      <c r="F295" s="13">
        <v>2.2037445070000001</v>
      </c>
      <c r="G295">
        <v>2.8289488077163698</v>
      </c>
      <c r="H295">
        <v>4.85964531898499</v>
      </c>
      <c r="I295">
        <v>2.1363692045211802</v>
      </c>
      <c r="N295">
        <f t="shared" si="28"/>
        <v>8.8824469578475271E-2</v>
      </c>
      <c r="O295">
        <f t="shared" si="29"/>
        <v>0.32436685461567516</v>
      </c>
      <c r="P295">
        <f t="shared" si="30"/>
        <v>0.1541208158914919</v>
      </c>
      <c r="Q295">
        <f t="shared" si="31"/>
        <v>0.33739217018188411</v>
      </c>
      <c r="R295">
        <f t="shared" si="32"/>
        <v>0.20019967591718929</v>
      </c>
      <c r="S295">
        <f t="shared" si="33"/>
        <v>0.46337333730325936</v>
      </c>
      <c r="T295">
        <f t="shared" si="34"/>
        <v>8.0815270307325923E-2</v>
      </c>
    </row>
    <row r="296" spans="2:20" x14ac:dyDescent="0.2">
      <c r="B296">
        <v>1517</v>
      </c>
      <c r="C296">
        <v>2.3384503841400099</v>
      </c>
      <c r="D296">
        <v>2.86821475028992</v>
      </c>
      <c r="E296">
        <v>1.0355443876236701</v>
      </c>
      <c r="F296" s="13">
        <v>1.96748203</v>
      </c>
      <c r="G296">
        <v>2.43946018218994</v>
      </c>
      <c r="H296">
        <v>4.3050696372985797</v>
      </c>
      <c r="I296">
        <v>2.1101661205291702</v>
      </c>
      <c r="N296">
        <f t="shared" si="28"/>
        <v>8.1131374823905048E-2</v>
      </c>
      <c r="O296">
        <f t="shared" si="29"/>
        <v>0.31268598333776271</v>
      </c>
      <c r="P296">
        <f t="shared" si="30"/>
        <v>0.14544422009853736</v>
      </c>
      <c r="Q296">
        <f t="shared" si="31"/>
        <v>0.32051822500835792</v>
      </c>
      <c r="R296">
        <f t="shared" si="32"/>
        <v>0.18778101789832077</v>
      </c>
      <c r="S296">
        <f t="shared" si="33"/>
        <v>0.44016466675868715</v>
      </c>
      <c r="T296">
        <f t="shared" si="34"/>
        <v>7.9824051508993507E-2</v>
      </c>
    </row>
    <row r="297" spans="2:20" x14ac:dyDescent="0.2">
      <c r="B297">
        <v>1519</v>
      </c>
      <c r="C297">
        <v>2.0124152898788501</v>
      </c>
      <c r="D297">
        <v>2.4930442333221401</v>
      </c>
      <c r="E297">
        <v>0.96702929660677905</v>
      </c>
      <c r="F297" s="13">
        <v>1.531626189</v>
      </c>
      <c r="G297">
        <v>1.9529834032058699</v>
      </c>
      <c r="H297">
        <v>4.0302423000335699</v>
      </c>
      <c r="I297">
        <v>1.80065404176712</v>
      </c>
      <c r="N297">
        <f t="shared" si="28"/>
        <v>7.1213984806598088E-2</v>
      </c>
      <c r="O297">
        <f t="shared" si="29"/>
        <v>0.29271422937590474</v>
      </c>
      <c r="P297">
        <f t="shared" si="30"/>
        <v>0.13846767672328433</v>
      </c>
      <c r="Q297">
        <f t="shared" si="31"/>
        <v>0.28938925498323143</v>
      </c>
      <c r="R297">
        <f t="shared" si="32"/>
        <v>0.17226993912379079</v>
      </c>
      <c r="S297">
        <f t="shared" si="33"/>
        <v>0.42866330213370102</v>
      </c>
      <c r="T297">
        <f t="shared" si="34"/>
        <v>6.8115727753154873E-2</v>
      </c>
    </row>
    <row r="298" spans="2:20" x14ac:dyDescent="0.2">
      <c r="B298">
        <v>1521</v>
      </c>
      <c r="C298">
        <v>1.66433296203613</v>
      </c>
      <c r="D298">
        <v>2.0628220319747901</v>
      </c>
      <c r="E298">
        <v>0.89461915940046299</v>
      </c>
      <c r="F298" s="13">
        <v>1.366088593</v>
      </c>
      <c r="G298">
        <v>1.47289625406265</v>
      </c>
      <c r="H298">
        <v>3.6716956138610799</v>
      </c>
      <c r="I298">
        <v>1.36665488481522</v>
      </c>
      <c r="N298">
        <f t="shared" si="28"/>
        <v>6.0625958351436193E-2</v>
      </c>
      <c r="O298">
        <f t="shared" si="29"/>
        <v>0.26981186480929853</v>
      </c>
      <c r="P298">
        <f t="shared" si="30"/>
        <v>0.13109452059767474</v>
      </c>
      <c r="Q298">
        <f t="shared" si="31"/>
        <v>0.27756650447909048</v>
      </c>
      <c r="R298">
        <f t="shared" si="32"/>
        <v>0.15696259063215015</v>
      </c>
      <c r="S298">
        <f t="shared" si="33"/>
        <v>0.41365833132625246</v>
      </c>
      <c r="T298">
        <f t="shared" si="34"/>
        <v>5.1698266245100426E-2</v>
      </c>
    </row>
    <row r="299" spans="2:20" x14ac:dyDescent="0.2">
      <c r="B299">
        <v>1523</v>
      </c>
      <c r="C299">
        <v>1.6518047332763699</v>
      </c>
      <c r="D299">
        <v>2.0293666362762499</v>
      </c>
      <c r="E299">
        <v>0.64691263176500802</v>
      </c>
      <c r="F299" s="13">
        <v>1.397102141</v>
      </c>
      <c r="G299">
        <v>1.43195493221283</v>
      </c>
      <c r="H299">
        <v>3.2079811096191402</v>
      </c>
      <c r="I299">
        <v>1.1408828139305101</v>
      </c>
      <c r="N299">
        <f t="shared" si="28"/>
        <v>6.0244872594032856E-2</v>
      </c>
      <c r="O299">
        <f t="shared" si="29"/>
        <v>0.26803090681454961</v>
      </c>
      <c r="P299">
        <f t="shared" si="30"/>
        <v>0.10587182427291866</v>
      </c>
      <c r="Q299">
        <f t="shared" si="31"/>
        <v>0.27978150245605882</v>
      </c>
      <c r="R299">
        <f t="shared" si="32"/>
        <v>0.15565719622119362</v>
      </c>
      <c r="S299">
        <f t="shared" si="33"/>
        <v>0.39425214834512345</v>
      </c>
      <c r="T299">
        <f t="shared" si="34"/>
        <v>4.3157686790117139E-2</v>
      </c>
    </row>
    <row r="300" spans="2:20" x14ac:dyDescent="0.2">
      <c r="B300">
        <v>1525</v>
      </c>
      <c r="C300">
        <v>1.64576473236084</v>
      </c>
      <c r="D300">
        <v>2.1070465087890602</v>
      </c>
      <c r="E300">
        <v>0.48322174549102798</v>
      </c>
      <c r="F300" s="13">
        <v>1.4087583299999999</v>
      </c>
      <c r="G300">
        <v>1.28364561796188</v>
      </c>
      <c r="H300">
        <v>2.8993110656738299</v>
      </c>
      <c r="I300">
        <v>0.77778149843215905</v>
      </c>
      <c r="N300">
        <f t="shared" si="28"/>
        <v>6.0061146836166368E-2</v>
      </c>
      <c r="O300">
        <f t="shared" si="29"/>
        <v>0.27216610196302016</v>
      </c>
      <c r="P300">
        <f t="shared" si="30"/>
        <v>8.9204013557429754E-2</v>
      </c>
      <c r="Q300">
        <f t="shared" si="31"/>
        <v>0.28061399137522924</v>
      </c>
      <c r="R300">
        <f t="shared" si="32"/>
        <v>0.15092842486822769</v>
      </c>
      <c r="S300">
        <f t="shared" si="33"/>
        <v>0.38133448607922521</v>
      </c>
      <c r="T300">
        <f t="shared" si="34"/>
        <v>2.9422171927403273E-2</v>
      </c>
    </row>
    <row r="301" spans="2:20" x14ac:dyDescent="0.2">
      <c r="B301">
        <v>1527</v>
      </c>
      <c r="C301">
        <v>1.60299263000488</v>
      </c>
      <c r="D301">
        <v>2.0587130784988399</v>
      </c>
      <c r="E301">
        <v>0.440288946032524</v>
      </c>
      <c r="F301" s="13">
        <v>1.623637891</v>
      </c>
      <c r="G301">
        <v>1.12556029558182</v>
      </c>
      <c r="H301">
        <v>2.85471827983856</v>
      </c>
      <c r="I301">
        <v>0.74378532767295802</v>
      </c>
      <c r="N301">
        <f t="shared" si="28"/>
        <v>5.8760097874288521E-2</v>
      </c>
      <c r="O301">
        <f t="shared" si="29"/>
        <v>0.26959312958317883</v>
      </c>
      <c r="P301">
        <f t="shared" si="30"/>
        <v>8.4832384866614013E-2</v>
      </c>
      <c r="Q301">
        <f t="shared" si="31"/>
        <v>0.29596076153215678</v>
      </c>
      <c r="R301">
        <f t="shared" si="32"/>
        <v>0.14588795018482176</v>
      </c>
      <c r="S301">
        <f t="shared" si="33"/>
        <v>0.37946830386227637</v>
      </c>
      <c r="T301">
        <f t="shared" si="34"/>
        <v>2.8136153703818827E-2</v>
      </c>
    </row>
    <row r="302" spans="2:20" x14ac:dyDescent="0.2">
      <c r="B302">
        <v>1529</v>
      </c>
      <c r="C302">
        <v>1.47645919322968</v>
      </c>
      <c r="D302">
        <v>1.9609214544296301</v>
      </c>
      <c r="E302">
        <v>0.44733856320381199</v>
      </c>
      <c r="F302" s="13">
        <v>1.5226471189999999</v>
      </c>
      <c r="G302">
        <v>1.3404434323310901</v>
      </c>
      <c r="H302">
        <v>2.94306173324585</v>
      </c>
      <c r="I302">
        <v>0.78052760362625095</v>
      </c>
      <c r="N302">
        <f t="shared" si="28"/>
        <v>5.4911182635351913E-2</v>
      </c>
      <c r="O302">
        <f t="shared" si="29"/>
        <v>0.26438730938380395</v>
      </c>
      <c r="P302">
        <f t="shared" si="30"/>
        <v>8.5550211541649657E-2</v>
      </c>
      <c r="Q302">
        <f t="shared" si="31"/>
        <v>0.2887479667989496</v>
      </c>
      <c r="R302">
        <f t="shared" si="32"/>
        <v>0.1527393959380941</v>
      </c>
      <c r="S302">
        <f t="shared" si="33"/>
        <v>0.38316542613540727</v>
      </c>
      <c r="T302">
        <f t="shared" si="34"/>
        <v>2.9526052489378809E-2</v>
      </c>
    </row>
    <row r="303" spans="2:20" x14ac:dyDescent="0.2">
      <c r="B303">
        <v>1531</v>
      </c>
      <c r="C303">
        <v>1.5296786069870001</v>
      </c>
      <c r="D303">
        <v>1.7709686040878301</v>
      </c>
      <c r="E303">
        <v>0.49826384335756302</v>
      </c>
      <c r="F303" s="13">
        <v>1.3402820710000001</v>
      </c>
      <c r="G303">
        <v>1.44236280918121</v>
      </c>
      <c r="H303">
        <v>2.8824586868286102</v>
      </c>
      <c r="I303">
        <v>0.59669973254203801</v>
      </c>
      <c r="N303">
        <f t="shared" si="28"/>
        <v>5.6530019662451213E-2</v>
      </c>
      <c r="O303">
        <f t="shared" si="29"/>
        <v>0.25427539648072828</v>
      </c>
      <c r="P303">
        <f t="shared" si="30"/>
        <v>9.073567390645873E-2</v>
      </c>
      <c r="Q303">
        <f t="shared" si="31"/>
        <v>0.27572339404159435</v>
      </c>
      <c r="R303">
        <f t="shared" si="32"/>
        <v>0.15598904638651764</v>
      </c>
      <c r="S303">
        <f t="shared" si="33"/>
        <v>0.38062922380136682</v>
      </c>
      <c r="T303">
        <f t="shared" si="34"/>
        <v>2.2572151890057731E-2</v>
      </c>
    </row>
    <row r="304" spans="2:20" x14ac:dyDescent="0.2">
      <c r="B304">
        <v>1533</v>
      </c>
      <c r="C304">
        <v>1.4957140684127801</v>
      </c>
      <c r="D304">
        <v>1.6332244634628299</v>
      </c>
      <c r="E304">
        <v>0.51706728134304303</v>
      </c>
      <c r="F304" s="13">
        <v>1.2534103750000001</v>
      </c>
      <c r="G304">
        <v>1.34509620666504</v>
      </c>
      <c r="H304">
        <v>2.7753918647766098</v>
      </c>
      <c r="I304">
        <v>0.55913913249969505</v>
      </c>
      <c r="N304">
        <f t="shared" si="28"/>
        <v>5.5496880648500183E-2</v>
      </c>
      <c r="O304">
        <f t="shared" si="29"/>
        <v>0.24694275182494813</v>
      </c>
      <c r="P304">
        <f t="shared" si="30"/>
        <v>9.2650332396472856E-2</v>
      </c>
      <c r="Q304">
        <f t="shared" si="31"/>
        <v>0.26951898844131261</v>
      </c>
      <c r="R304">
        <f t="shared" si="32"/>
        <v>0.15288774741617436</v>
      </c>
      <c r="S304">
        <f t="shared" si="33"/>
        <v>0.37614853941271326</v>
      </c>
      <c r="T304">
        <f t="shared" si="34"/>
        <v>2.1151297274243495E-2</v>
      </c>
    </row>
    <row r="305" spans="2:20" x14ac:dyDescent="0.2">
      <c r="B305">
        <v>1535</v>
      </c>
      <c r="C305">
        <v>1.44015214443207</v>
      </c>
      <c r="D305">
        <v>1.91392056941986</v>
      </c>
      <c r="E305">
        <v>0.55102043412625801</v>
      </c>
      <c r="F305" s="13">
        <v>1.494415998</v>
      </c>
      <c r="G305">
        <v>1.3237906932830801</v>
      </c>
      <c r="H305">
        <v>2.7756288051605198</v>
      </c>
      <c r="I305">
        <v>0.57640215083956703</v>
      </c>
      <c r="N305">
        <f t="shared" si="28"/>
        <v>5.3806788753707778E-2</v>
      </c>
      <c r="O305">
        <f t="shared" si="29"/>
        <v>0.26188527345893592</v>
      </c>
      <c r="P305">
        <f t="shared" si="30"/>
        <v>9.6107609320476295E-2</v>
      </c>
      <c r="Q305">
        <f t="shared" si="31"/>
        <v>0.28673169068947163</v>
      </c>
      <c r="R305">
        <f t="shared" si="32"/>
        <v>0.15220843134051393</v>
      </c>
      <c r="S305">
        <f t="shared" si="33"/>
        <v>0.37615845523032021</v>
      </c>
      <c r="T305">
        <f t="shared" si="34"/>
        <v>2.1804328356373217E-2</v>
      </c>
    </row>
    <row r="306" spans="2:20" x14ac:dyDescent="0.2">
      <c r="B306">
        <v>1537</v>
      </c>
      <c r="C306">
        <v>1.3774387598037701</v>
      </c>
      <c r="D306">
        <v>1.8438520431518599</v>
      </c>
      <c r="E306">
        <v>0.42711166739463802</v>
      </c>
      <c r="F306" s="13">
        <v>1.3949579480000001</v>
      </c>
      <c r="G306">
        <v>1.0541702866554301</v>
      </c>
      <c r="H306">
        <v>2.5805294275283801</v>
      </c>
      <c r="I306">
        <v>0.59690704941749595</v>
      </c>
      <c r="N306">
        <f t="shared" si="28"/>
        <v>5.1899162533059158E-2</v>
      </c>
      <c r="O306">
        <f t="shared" si="29"/>
        <v>0.25815525922859417</v>
      </c>
      <c r="P306">
        <f t="shared" si="30"/>
        <v>8.349060957856333E-2</v>
      </c>
      <c r="Q306">
        <f t="shared" si="31"/>
        <v>0.27962836347443604</v>
      </c>
      <c r="R306">
        <f t="shared" si="32"/>
        <v>0.14361171399018954</v>
      </c>
      <c r="S306">
        <f t="shared" si="33"/>
        <v>0.36799365946223639</v>
      </c>
      <c r="T306">
        <f t="shared" si="34"/>
        <v>2.2579994340367324E-2</v>
      </c>
    </row>
    <row r="307" spans="2:20" x14ac:dyDescent="0.2">
      <c r="B307">
        <v>1539</v>
      </c>
      <c r="C307">
        <v>1.2867530703544601</v>
      </c>
      <c r="D307">
        <v>1.6383029222488401</v>
      </c>
      <c r="E307">
        <v>0.24486231952905699</v>
      </c>
      <c r="F307" s="13">
        <v>1.1518350959999999</v>
      </c>
      <c r="G307">
        <v>0.62987622022628798</v>
      </c>
      <c r="H307">
        <v>2.3110609531402599</v>
      </c>
      <c r="I307">
        <v>0.57368980348110199</v>
      </c>
      <c r="N307">
        <f t="shared" si="28"/>
        <v>4.9140670066794838E-2</v>
      </c>
      <c r="O307">
        <f t="shared" si="29"/>
        <v>0.24721309750722448</v>
      </c>
      <c r="P307">
        <f t="shared" si="30"/>
        <v>6.4933085073745123E-2</v>
      </c>
      <c r="Q307">
        <f t="shared" si="31"/>
        <v>0.26226444802255783</v>
      </c>
      <c r="R307">
        <f t="shared" si="32"/>
        <v>0.13008330118147954</v>
      </c>
      <c r="S307">
        <f t="shared" si="33"/>
        <v>0.35671656013973352</v>
      </c>
      <c r="T307">
        <f t="shared" si="34"/>
        <v>2.1701724796802227E-2</v>
      </c>
    </row>
    <row r="308" spans="2:20" x14ac:dyDescent="0.2">
      <c r="B308">
        <v>1541</v>
      </c>
      <c r="C308">
        <v>1.2129938721656801</v>
      </c>
      <c r="D308">
        <v>1.5246597528457599</v>
      </c>
      <c r="E308">
        <v>0.37818634361028702</v>
      </c>
      <c r="F308" s="13">
        <v>1.1843383190000001</v>
      </c>
      <c r="G308">
        <v>0.970728647708893</v>
      </c>
      <c r="H308">
        <v>2.6228735923767101</v>
      </c>
      <c r="I308">
        <v>0.52008244395255998</v>
      </c>
      <c r="N308">
        <f t="shared" si="28"/>
        <v>4.6897050442166237E-2</v>
      </c>
      <c r="O308">
        <f t="shared" si="29"/>
        <v>0.24116343924220954</v>
      </c>
      <c r="P308">
        <f t="shared" si="30"/>
        <v>7.8508792602713803E-2</v>
      </c>
      <c r="Q308">
        <f t="shared" si="31"/>
        <v>0.26458583908655187</v>
      </c>
      <c r="R308">
        <f t="shared" si="32"/>
        <v>0.14095121735255248</v>
      </c>
      <c r="S308">
        <f t="shared" si="33"/>
        <v>0.36976573819540676</v>
      </c>
      <c r="T308">
        <f t="shared" si="34"/>
        <v>1.9673848135037617E-2</v>
      </c>
    </row>
    <row r="309" spans="2:20" x14ac:dyDescent="0.2">
      <c r="B309">
        <v>1543</v>
      </c>
      <c r="C309">
        <v>1.3545072317123401</v>
      </c>
      <c r="D309">
        <v>1.73872776031494</v>
      </c>
      <c r="E309">
        <v>0.43955062776803999</v>
      </c>
      <c r="F309" s="13">
        <v>1.5402908209999999</v>
      </c>
      <c r="G309">
        <v>1.13381554484367</v>
      </c>
      <c r="H309">
        <v>2.8057567119598401</v>
      </c>
      <c r="I309">
        <v>0.446925121545792</v>
      </c>
      <c r="N309">
        <f t="shared" si="28"/>
        <v>5.1201627476929974E-2</v>
      </c>
      <c r="O309">
        <f t="shared" si="29"/>
        <v>0.25255909370576862</v>
      </c>
      <c r="P309">
        <f t="shared" si="30"/>
        <v>8.4757205671483926E-2</v>
      </c>
      <c r="Q309">
        <f t="shared" si="31"/>
        <v>0.29000808590032529</v>
      </c>
      <c r="R309">
        <f t="shared" si="32"/>
        <v>0.14615116484816362</v>
      </c>
      <c r="S309">
        <f t="shared" si="33"/>
        <v>0.37741929065133384</v>
      </c>
      <c r="T309">
        <f t="shared" si="34"/>
        <v>1.6906429108049612E-2</v>
      </c>
    </row>
    <row r="310" spans="2:20" x14ac:dyDescent="0.2">
      <c r="B310">
        <v>1545</v>
      </c>
      <c r="C310">
        <v>1.5154106378555301</v>
      </c>
      <c r="D310">
        <v>2.0389831304550201</v>
      </c>
      <c r="E310">
        <v>0.58802270889282204</v>
      </c>
      <c r="F310" s="13">
        <v>1.748066986</v>
      </c>
      <c r="G310">
        <v>1.30735877752304</v>
      </c>
      <c r="H310">
        <v>2.9064901828765901</v>
      </c>
      <c r="I310">
        <v>0.27880459129810298</v>
      </c>
      <c r="N310">
        <f t="shared" si="28"/>
        <v>5.6096014191499247E-2</v>
      </c>
      <c r="O310">
        <f t="shared" si="29"/>
        <v>0.26854282938582813</v>
      </c>
      <c r="P310">
        <f t="shared" si="30"/>
        <v>9.9875362833761777E-2</v>
      </c>
      <c r="Q310">
        <f t="shared" si="31"/>
        <v>0.30484752913775282</v>
      </c>
      <c r="R310">
        <f t="shared" si="32"/>
        <v>0.15168450758755969</v>
      </c>
      <c r="S310">
        <f t="shared" si="33"/>
        <v>0.3816349279692357</v>
      </c>
      <c r="T310">
        <f t="shared" si="34"/>
        <v>1.0546710915414873E-2</v>
      </c>
    </row>
    <row r="311" spans="2:20" x14ac:dyDescent="0.2">
      <c r="B311">
        <v>1547</v>
      </c>
      <c r="C311">
        <v>1.55785570144653</v>
      </c>
      <c r="D311">
        <v>2.13243887424469</v>
      </c>
      <c r="E311">
        <v>0.61740467548370404</v>
      </c>
      <c r="F311" s="13">
        <v>1.719702125</v>
      </c>
      <c r="G311">
        <v>1.5091418027877801</v>
      </c>
      <c r="H311">
        <v>2.9335474967956499</v>
      </c>
      <c r="I311">
        <v>0.30435625687241602</v>
      </c>
      <c r="N311">
        <f t="shared" si="28"/>
        <v>5.738711523353663E-2</v>
      </c>
      <c r="O311">
        <f t="shared" si="29"/>
        <v>0.27351783418198067</v>
      </c>
      <c r="P311">
        <f t="shared" si="30"/>
        <v>0.10286717910852947</v>
      </c>
      <c r="Q311">
        <f t="shared" si="31"/>
        <v>0.30282170127271824</v>
      </c>
      <c r="R311">
        <f t="shared" si="32"/>
        <v>0.15811826256920672</v>
      </c>
      <c r="S311">
        <f t="shared" si="33"/>
        <v>0.38276726085959789</v>
      </c>
      <c r="T311">
        <f t="shared" si="34"/>
        <v>1.1513287645607592E-2</v>
      </c>
    </row>
    <row r="312" spans="2:20" x14ac:dyDescent="0.2">
      <c r="B312">
        <v>1549</v>
      </c>
      <c r="C312">
        <v>1.6014533758163501</v>
      </c>
      <c r="D312">
        <v>2.1688485145568799</v>
      </c>
      <c r="E312">
        <v>0.58007681518793097</v>
      </c>
      <c r="F312" s="13">
        <v>1.733337736</v>
      </c>
      <c r="G312">
        <v>1.3957050800323501</v>
      </c>
      <c r="H312">
        <v>2.9817178726196301</v>
      </c>
      <c r="I312">
        <v>0.54607830643653898</v>
      </c>
      <c r="N312">
        <f t="shared" si="28"/>
        <v>5.8713276582985453E-2</v>
      </c>
      <c r="O312">
        <f t="shared" si="29"/>
        <v>0.27545605785699628</v>
      </c>
      <c r="P312">
        <f t="shared" si="30"/>
        <v>9.9066272876139783E-2</v>
      </c>
      <c r="Q312">
        <f t="shared" si="31"/>
        <v>0.30379556117355017</v>
      </c>
      <c r="R312">
        <f t="shared" si="32"/>
        <v>0.15450138707052724</v>
      </c>
      <c r="S312">
        <f t="shared" si="33"/>
        <v>0.38478316314205524</v>
      </c>
      <c r="T312">
        <f t="shared" si="34"/>
        <v>2.0657228090650532E-2</v>
      </c>
    </row>
    <row r="313" spans="2:20" x14ac:dyDescent="0.2">
      <c r="B313">
        <v>1551</v>
      </c>
      <c r="C313">
        <v>1.6061956167221101</v>
      </c>
      <c r="D313">
        <v>2.14908804893494</v>
      </c>
      <c r="E313">
        <v>0.65217847824096697</v>
      </c>
      <c r="F313" s="13">
        <v>1.808044958</v>
      </c>
      <c r="G313">
        <v>1.50554103851318</v>
      </c>
      <c r="H313">
        <v>3.13018407821655</v>
      </c>
      <c r="I313">
        <v>0.64778851866722098</v>
      </c>
      <c r="N313">
        <f t="shared" si="28"/>
        <v>5.8857526859861405E-2</v>
      </c>
      <c r="O313">
        <f t="shared" si="29"/>
        <v>0.27440413309285755</v>
      </c>
      <c r="P313">
        <f t="shared" si="30"/>
        <v>0.10640801864705871</v>
      </c>
      <c r="Q313">
        <f t="shared" si="31"/>
        <v>0.30913117596986184</v>
      </c>
      <c r="R313">
        <f t="shared" si="32"/>
        <v>0.15800345392730511</v>
      </c>
      <c r="S313">
        <f t="shared" si="33"/>
        <v>0.39099638771444112</v>
      </c>
      <c r="T313">
        <f t="shared" si="34"/>
        <v>2.4504755136557529E-2</v>
      </c>
    </row>
    <row r="314" spans="2:20" x14ac:dyDescent="0.2">
      <c r="B314">
        <v>1553</v>
      </c>
      <c r="C314">
        <v>1.6094667911529501</v>
      </c>
      <c r="D314">
        <v>2.1263478040695198</v>
      </c>
      <c r="E314">
        <v>0.66476073563098903</v>
      </c>
      <c r="F314" s="13">
        <v>1.8353961940000001</v>
      </c>
      <c r="G314">
        <v>1.5724405050277701</v>
      </c>
      <c r="H314">
        <v>3.2164364814758302</v>
      </c>
      <c r="I314">
        <v>0.64921160936355604</v>
      </c>
      <c r="N314">
        <f t="shared" si="28"/>
        <v>5.8957029990709328E-2</v>
      </c>
      <c r="O314">
        <f t="shared" si="29"/>
        <v>0.27319358334295923</v>
      </c>
      <c r="P314">
        <f t="shared" si="30"/>
        <v>0.10768920594663403</v>
      </c>
      <c r="Q314">
        <f t="shared" si="31"/>
        <v>0.3110846103981828</v>
      </c>
      <c r="R314">
        <f t="shared" si="32"/>
        <v>0.16013651133088533</v>
      </c>
      <c r="S314">
        <f t="shared" si="33"/>
        <v>0.39460600075198893</v>
      </c>
      <c r="T314">
        <f t="shared" si="34"/>
        <v>2.4558588275067843E-2</v>
      </c>
    </row>
    <row r="315" spans="2:20" x14ac:dyDescent="0.2">
      <c r="B315">
        <v>1555</v>
      </c>
      <c r="C315">
        <v>1.64948558807373</v>
      </c>
      <c r="D315">
        <v>2.13924934864044</v>
      </c>
      <c r="E315">
        <v>0.66002588868141199</v>
      </c>
      <c r="F315" s="13">
        <v>1.9254638909999999</v>
      </c>
      <c r="G315">
        <v>1.7288063287735</v>
      </c>
      <c r="H315">
        <v>3.22329096794128</v>
      </c>
      <c r="I315">
        <v>0.68946348428726201</v>
      </c>
      <c r="N315">
        <f t="shared" si="28"/>
        <v>6.0174328447448057E-2</v>
      </c>
      <c r="O315">
        <f t="shared" si="29"/>
        <v>0.27388038164465117</v>
      </c>
      <c r="P315">
        <f t="shared" si="30"/>
        <v>0.10720708055456871</v>
      </c>
      <c r="Q315">
        <f t="shared" si="31"/>
        <v>0.31751727545943909</v>
      </c>
      <c r="R315">
        <f t="shared" si="32"/>
        <v>0.16512216062503943</v>
      </c>
      <c r="S315">
        <f t="shared" si="33"/>
        <v>0.3948928570339757</v>
      </c>
      <c r="T315">
        <f t="shared" si="34"/>
        <v>2.6081249313923742E-2</v>
      </c>
    </row>
    <row r="316" spans="2:20" x14ac:dyDescent="0.2">
      <c r="B316">
        <v>1557</v>
      </c>
      <c r="C316">
        <v>1.6366192579269401</v>
      </c>
      <c r="D316">
        <v>1.94281346797943</v>
      </c>
      <c r="E316">
        <v>0.47523287534713698</v>
      </c>
      <c r="F316" s="13">
        <v>1.8854732750000001</v>
      </c>
      <c r="G316">
        <v>1.45293650627136</v>
      </c>
      <c r="H316">
        <v>3.00448408126831</v>
      </c>
      <c r="I316">
        <v>0.61060041785240204</v>
      </c>
      <c r="N316">
        <f t="shared" si="28"/>
        <v>5.9782958265516231E-2</v>
      </c>
      <c r="O316">
        <f t="shared" si="29"/>
        <v>0.26342335237286668</v>
      </c>
      <c r="P316">
        <f t="shared" si="30"/>
        <v>8.839054752752433E-2</v>
      </c>
      <c r="Q316">
        <f t="shared" si="31"/>
        <v>0.3146611322816989</v>
      </c>
      <c r="R316">
        <f t="shared" si="32"/>
        <v>0.15632618364689385</v>
      </c>
      <c r="S316">
        <f t="shared" si="33"/>
        <v>0.38573591576631289</v>
      </c>
      <c r="T316">
        <f t="shared" si="34"/>
        <v>2.3097991542883996E-2</v>
      </c>
    </row>
    <row r="317" spans="2:20" x14ac:dyDescent="0.2">
      <c r="B317">
        <v>1559</v>
      </c>
      <c r="C317">
        <v>1.5871268033981301</v>
      </c>
      <c r="D317">
        <v>1.83545434474945</v>
      </c>
      <c r="E317">
        <v>0.56211940497159996</v>
      </c>
      <c r="F317" s="13">
        <v>2.1186666249999999</v>
      </c>
      <c r="G317">
        <v>1.28761105537415</v>
      </c>
      <c r="H317">
        <v>2.9928113460540802</v>
      </c>
      <c r="I317">
        <v>0.59935587644577004</v>
      </c>
      <c r="N317">
        <f t="shared" si="28"/>
        <v>5.8277488507457391E-2</v>
      </c>
      <c r="O317">
        <f t="shared" si="29"/>
        <v>0.25770821779342401</v>
      </c>
      <c r="P317">
        <f t="shared" si="30"/>
        <v>9.7237761092501346E-2</v>
      </c>
      <c r="Q317">
        <f t="shared" si="31"/>
        <v>0.33131587937778939</v>
      </c>
      <c r="R317">
        <f t="shared" si="32"/>
        <v>0.15105486093821985</v>
      </c>
      <c r="S317">
        <f t="shared" si="33"/>
        <v>0.38524741856946992</v>
      </c>
      <c r="T317">
        <f t="shared" si="34"/>
        <v>2.2672629367031738E-2</v>
      </c>
    </row>
    <row r="318" spans="2:20" x14ac:dyDescent="0.2">
      <c r="B318">
        <v>1561</v>
      </c>
      <c r="C318">
        <v>1.7540168285369899</v>
      </c>
      <c r="D318">
        <v>2.03025612831116</v>
      </c>
      <c r="E318">
        <v>0.739122017286718</v>
      </c>
      <c r="F318" s="13">
        <v>2.152309179</v>
      </c>
      <c r="G318">
        <v>1.6652017831802399</v>
      </c>
      <c r="H318">
        <v>3.5467878818512002</v>
      </c>
      <c r="I318">
        <v>0.48633958101272601</v>
      </c>
      <c r="N318">
        <f t="shared" si="28"/>
        <v>6.335397719972824E-2</v>
      </c>
      <c r="O318">
        <f t="shared" si="29"/>
        <v>0.26807825785965794</v>
      </c>
      <c r="P318">
        <f t="shared" si="30"/>
        <v>0.11526103719155939</v>
      </c>
      <c r="Q318">
        <f t="shared" si="31"/>
        <v>0.33371864184308514</v>
      </c>
      <c r="R318">
        <f t="shared" si="32"/>
        <v>0.16309416019473</v>
      </c>
      <c r="S318">
        <f t="shared" si="33"/>
        <v>0.40843101520616654</v>
      </c>
      <c r="T318">
        <f t="shared" si="34"/>
        <v>1.8397412122173017E-2</v>
      </c>
    </row>
    <row r="319" spans="2:20" x14ac:dyDescent="0.2">
      <c r="B319">
        <v>1563</v>
      </c>
      <c r="C319">
        <v>1.86836423873901</v>
      </c>
      <c r="D319">
        <v>2.2144942283630402</v>
      </c>
      <c r="E319">
        <v>0.78530038855969897</v>
      </c>
      <c r="F319" s="13">
        <v>2.2312267540000001</v>
      </c>
      <c r="G319">
        <v>1.86039760112762</v>
      </c>
      <c r="H319">
        <v>3.6630993366241502</v>
      </c>
      <c r="I319">
        <v>0.49203727841377298</v>
      </c>
      <c r="N319">
        <f t="shared" si="28"/>
        <v>6.6832215844596463E-2</v>
      </c>
      <c r="O319">
        <f t="shared" si="29"/>
        <v>0.2778859528629205</v>
      </c>
      <c r="P319">
        <f t="shared" si="30"/>
        <v>0.11996314595917479</v>
      </c>
      <c r="Q319">
        <f t="shared" si="31"/>
        <v>0.33935496145966837</v>
      </c>
      <c r="R319">
        <f t="shared" si="32"/>
        <v>0.16931788523041102</v>
      </c>
      <c r="S319">
        <f t="shared" si="33"/>
        <v>0.41329858211096948</v>
      </c>
      <c r="T319">
        <f t="shared" si="34"/>
        <v>1.861294647579527E-2</v>
      </c>
    </row>
    <row r="320" spans="2:20" x14ac:dyDescent="0.2">
      <c r="B320">
        <v>1565</v>
      </c>
      <c r="C320">
        <v>1.9625137329101601</v>
      </c>
      <c r="D320">
        <v>2.4236973285675001</v>
      </c>
      <c r="E320">
        <v>0.85417186692357105</v>
      </c>
      <c r="F320" s="13">
        <v>2.4198299410000002</v>
      </c>
      <c r="G320">
        <v>2.0472807168960601</v>
      </c>
      <c r="H320">
        <v>3.77853226661682</v>
      </c>
      <c r="I320">
        <v>0.835136306285858</v>
      </c>
      <c r="N320">
        <f t="shared" si="28"/>
        <v>6.9696070902112259E-2</v>
      </c>
      <c r="O320">
        <f t="shared" si="29"/>
        <v>0.28902262980414251</v>
      </c>
      <c r="P320">
        <f t="shared" si="30"/>
        <v>0.12697597844603378</v>
      </c>
      <c r="Q320">
        <f t="shared" si="31"/>
        <v>0.35282506419202186</v>
      </c>
      <c r="R320">
        <f t="shared" si="32"/>
        <v>0.17527656374404427</v>
      </c>
      <c r="S320">
        <f t="shared" si="33"/>
        <v>0.418129383263389</v>
      </c>
      <c r="T320">
        <f t="shared" si="34"/>
        <v>3.1591808285347446E-2</v>
      </c>
    </row>
    <row r="321" spans="2:20" x14ac:dyDescent="0.2">
      <c r="B321">
        <v>1567</v>
      </c>
      <c r="C321">
        <v>2.00062706470489</v>
      </c>
      <c r="D321">
        <v>2.5367458343505902</v>
      </c>
      <c r="E321">
        <v>0.87135349065065404</v>
      </c>
      <c r="F321" s="13">
        <v>2.5202801699999999</v>
      </c>
      <c r="G321">
        <v>2.0774990320205702</v>
      </c>
      <c r="H321">
        <v>3.8853711128234898</v>
      </c>
      <c r="I321">
        <v>0.93925012350082404</v>
      </c>
      <c r="N321">
        <f t="shared" si="28"/>
        <v>7.0855408602012102E-2</v>
      </c>
      <c r="O321">
        <f t="shared" si="29"/>
        <v>0.29504063186225582</v>
      </c>
      <c r="P321">
        <f t="shared" si="30"/>
        <v>0.12872549583570958</v>
      </c>
      <c r="Q321">
        <f t="shared" si="31"/>
        <v>0.35999925316327414</v>
      </c>
      <c r="R321">
        <f t="shared" si="32"/>
        <v>0.17624006022851918</v>
      </c>
      <c r="S321">
        <f t="shared" si="33"/>
        <v>0.42260052699517442</v>
      </c>
      <c r="T321">
        <f t="shared" si="34"/>
        <v>3.5530259683705254E-2</v>
      </c>
    </row>
    <row r="322" spans="2:20" x14ac:dyDescent="0.2">
      <c r="B322">
        <v>1569</v>
      </c>
      <c r="C322">
        <v>2.0856634616851801</v>
      </c>
      <c r="D322">
        <v>2.53533520698547</v>
      </c>
      <c r="E322">
        <v>0.88223068714141895</v>
      </c>
      <c r="F322" s="13">
        <v>2.6995503900000002</v>
      </c>
      <c r="G322">
        <v>2.0748453378677398</v>
      </c>
      <c r="H322">
        <v>4.0237308025360097</v>
      </c>
      <c r="I322">
        <v>1.0136743903160099</v>
      </c>
      <c r="N322">
        <f t="shared" si="28"/>
        <v>7.3442059945270727E-2</v>
      </c>
      <c r="O322">
        <f t="shared" si="29"/>
        <v>0.29496553880085075</v>
      </c>
      <c r="P322">
        <f t="shared" si="30"/>
        <v>0.12983306545274861</v>
      </c>
      <c r="Q322">
        <f t="shared" si="31"/>
        <v>0.37280279226917279</v>
      </c>
      <c r="R322">
        <f t="shared" si="32"/>
        <v>0.17615544846321762</v>
      </c>
      <c r="S322">
        <f t="shared" si="33"/>
        <v>0.42839079974103722</v>
      </c>
      <c r="T322">
        <f t="shared" si="34"/>
        <v>3.8345605096551084E-2</v>
      </c>
    </row>
    <row r="323" spans="2:20" x14ac:dyDescent="0.2">
      <c r="B323">
        <v>1571</v>
      </c>
      <c r="C323">
        <v>2.2293131351470898</v>
      </c>
      <c r="D323">
        <v>2.6551408290862999</v>
      </c>
      <c r="E323">
        <v>0.97444452159106698</v>
      </c>
      <c r="F323" s="13">
        <v>2.7017826559999998</v>
      </c>
      <c r="G323">
        <v>2.42429165840149</v>
      </c>
      <c r="H323">
        <v>4.3159875392913802</v>
      </c>
      <c r="I323">
        <v>1.0289146423339799</v>
      </c>
      <c r="N323">
        <f t="shared" si="28"/>
        <v>7.7811619733946097E-2</v>
      </c>
      <c r="O323">
        <f t="shared" si="29"/>
        <v>0.30134324786814026</v>
      </c>
      <c r="P323">
        <f t="shared" si="30"/>
        <v>0.13922273138310212</v>
      </c>
      <c r="Q323">
        <f t="shared" si="31"/>
        <v>0.37296222145392954</v>
      </c>
      <c r="R323">
        <f t="shared" si="32"/>
        <v>0.18729737679243422</v>
      </c>
      <c r="S323">
        <f t="shared" si="33"/>
        <v>0.44062157462312557</v>
      </c>
      <c r="T323">
        <f t="shared" si="34"/>
        <v>3.8922118315229529E-2</v>
      </c>
    </row>
    <row r="324" spans="2:20" x14ac:dyDescent="0.2">
      <c r="B324">
        <v>1573</v>
      </c>
      <c r="C324">
        <v>2.3156856060028099</v>
      </c>
      <c r="D324">
        <v>2.6750185966491702</v>
      </c>
      <c r="E324">
        <v>1.03756093233824</v>
      </c>
      <c r="F324" s="13">
        <v>2.7311900379999998</v>
      </c>
      <c r="G324">
        <v>2.6805754184722899</v>
      </c>
      <c r="H324">
        <v>4.5423681259155302</v>
      </c>
      <c r="I324">
        <v>1.0874967098236099</v>
      </c>
      <c r="N324">
        <f t="shared" si="28"/>
        <v>8.0438911995767803E-2</v>
      </c>
      <c r="O324">
        <f t="shared" si="29"/>
        <v>0.30240141706087231</v>
      </c>
      <c r="P324">
        <f t="shared" si="30"/>
        <v>0.14564955459434742</v>
      </c>
      <c r="Q324">
        <f t="shared" si="31"/>
        <v>0.37506250651766793</v>
      </c>
      <c r="R324">
        <f t="shared" si="32"/>
        <v>0.195468861563799</v>
      </c>
      <c r="S324">
        <f t="shared" si="33"/>
        <v>0.45009547083990531</v>
      </c>
      <c r="T324">
        <f t="shared" si="34"/>
        <v>4.1138179850528409E-2</v>
      </c>
    </row>
    <row r="325" spans="2:20" x14ac:dyDescent="0.2">
      <c r="B325">
        <v>1575</v>
      </c>
      <c r="C325">
        <v>2.3235876083373999</v>
      </c>
      <c r="D325">
        <v>2.7441619873046901</v>
      </c>
      <c r="E325">
        <v>1.05944373998791</v>
      </c>
      <c r="F325" s="13">
        <v>2.837650418</v>
      </c>
      <c r="G325">
        <v>2.70101375579834</v>
      </c>
      <c r="H325">
        <v>4.6590051174163802</v>
      </c>
      <c r="I325">
        <v>1.2322826743125901</v>
      </c>
      <c r="N325">
        <f t="shared" si="28"/>
        <v>8.0679276424165891E-2</v>
      </c>
      <c r="O325">
        <f t="shared" si="29"/>
        <v>0.30608218280286492</v>
      </c>
      <c r="P325">
        <f t="shared" si="30"/>
        <v>0.147877769641199</v>
      </c>
      <c r="Q325">
        <f t="shared" si="31"/>
        <v>0.38266594248466146</v>
      </c>
      <c r="R325">
        <f t="shared" si="32"/>
        <v>0.19612052814683062</v>
      </c>
      <c r="S325">
        <f t="shared" si="33"/>
        <v>0.45497666126791253</v>
      </c>
      <c r="T325">
        <f t="shared" si="34"/>
        <v>4.66151904871362E-2</v>
      </c>
    </row>
    <row r="326" spans="2:20" x14ac:dyDescent="0.2">
      <c r="B326">
        <v>1577</v>
      </c>
      <c r="C326">
        <v>2.5282355785369899</v>
      </c>
      <c r="D326">
        <v>3.0381841182708702</v>
      </c>
      <c r="E326">
        <v>1.1339285962283601</v>
      </c>
      <c r="F326" s="13">
        <v>2.8418238159999998</v>
      </c>
      <c r="G326">
        <v>3.0941864490509001</v>
      </c>
      <c r="H326">
        <v>5.0630464553832999</v>
      </c>
      <c r="I326">
        <v>1.3307457447052</v>
      </c>
      <c r="N326">
        <f t="shared" ref="N326:N389" si="35">C326/$L$8+0.01</f>
        <v>8.6904292603233485E-2</v>
      </c>
      <c r="O326">
        <f t="shared" ref="O326:O389" si="36">D326/$L$9+0.16</f>
        <v>0.32173409944721587</v>
      </c>
      <c r="P326">
        <f t="shared" ref="P326:P389" si="37">E326/$L$10+0.04</f>
        <v>0.15546218385781119</v>
      </c>
      <c r="Q326">
        <f t="shared" ref="Q326:Q389" si="38">F326/$L$11+0.18</f>
        <v>0.38296400796646579</v>
      </c>
      <c r="R326">
        <f t="shared" ref="R326:R389" si="39">G326/$L$12+0.11</f>
        <v>0.2086566508981989</v>
      </c>
      <c r="S326">
        <f t="shared" ref="S326:S389" si="40">H326/$L$13+0.26</f>
        <v>0.47188555685948819</v>
      </c>
      <c r="T326">
        <f t="shared" ref="T326:T389" si="41">I326/$L$14</f>
        <v>5.0339883593659179E-2</v>
      </c>
    </row>
    <row r="327" spans="2:20" x14ac:dyDescent="0.2">
      <c r="B327">
        <v>1579</v>
      </c>
      <c r="C327">
        <v>2.7588977813720699</v>
      </c>
      <c r="D327">
        <v>3.09985375404358</v>
      </c>
      <c r="E327">
        <v>1.26149540320039</v>
      </c>
      <c r="F327" s="13">
        <v>3.0729720120000001</v>
      </c>
      <c r="G327">
        <v>3.3297226905822801</v>
      </c>
      <c r="H327">
        <v>5.3138298034667999</v>
      </c>
      <c r="I327">
        <v>1.33675068616867</v>
      </c>
      <c r="N327">
        <f t="shared" si="35"/>
        <v>9.3920614060745894E-2</v>
      </c>
      <c r="O327">
        <f t="shared" si="36"/>
        <v>0.32501700878274808</v>
      </c>
      <c r="P327">
        <f t="shared" si="37"/>
        <v>0.16845166323927319</v>
      </c>
      <c r="Q327">
        <f t="shared" si="38"/>
        <v>0.39947268947945735</v>
      </c>
      <c r="R327">
        <f t="shared" si="39"/>
        <v>0.21616661099183287</v>
      </c>
      <c r="S327">
        <f t="shared" si="40"/>
        <v>0.48238069448621501</v>
      </c>
      <c r="T327">
        <f t="shared" si="41"/>
        <v>5.0567040475776273E-2</v>
      </c>
    </row>
    <row r="328" spans="2:20" x14ac:dyDescent="0.2">
      <c r="B328">
        <v>1581</v>
      </c>
      <c r="C328">
        <v>2.9224687576293902</v>
      </c>
      <c r="D328">
        <v>3.2498554706573501</v>
      </c>
      <c r="E328">
        <v>1.3374726332724101</v>
      </c>
      <c r="F328" s="13">
        <v>3.2614454749999999</v>
      </c>
      <c r="G328">
        <v>3.4396157741546598</v>
      </c>
      <c r="H328">
        <v>5.56110277175903</v>
      </c>
      <c r="I328">
        <v>1.5531629085540799</v>
      </c>
      <c r="N328">
        <f t="shared" si="35"/>
        <v>9.8896143369121794E-2</v>
      </c>
      <c r="O328">
        <f t="shared" si="36"/>
        <v>0.33300217084260109</v>
      </c>
      <c r="P328">
        <f t="shared" si="37"/>
        <v>0.17618803829565824</v>
      </c>
      <c r="Q328">
        <f t="shared" si="38"/>
        <v>0.41293352728031818</v>
      </c>
      <c r="R328">
        <f t="shared" si="39"/>
        <v>0.21967049925475651</v>
      </c>
      <c r="S328">
        <f t="shared" si="40"/>
        <v>0.49272892475520458</v>
      </c>
      <c r="T328">
        <f t="shared" si="41"/>
        <v>5.8753552532247282E-2</v>
      </c>
    </row>
    <row r="329" spans="2:20" x14ac:dyDescent="0.2">
      <c r="B329">
        <v>1583</v>
      </c>
      <c r="C329">
        <v>3.0555647373199499</v>
      </c>
      <c r="D329">
        <v>3.4016932487487801</v>
      </c>
      <c r="E329">
        <v>1.40973946005106</v>
      </c>
      <c r="F329" s="13">
        <v>3.3407679080000001</v>
      </c>
      <c r="G329">
        <v>3.6343838691711401</v>
      </c>
      <c r="H329">
        <v>5.8391347885131797</v>
      </c>
      <c r="I329">
        <v>1.7853886365890499</v>
      </c>
      <c r="N329">
        <f t="shared" si="35"/>
        <v>0.10294467913585596</v>
      </c>
      <c r="O329">
        <f t="shared" si="36"/>
        <v>0.34108507344024219</v>
      </c>
      <c r="P329">
        <f t="shared" si="37"/>
        <v>0.18354660184903449</v>
      </c>
      <c r="Q329">
        <f t="shared" si="38"/>
        <v>0.41859876199074875</v>
      </c>
      <c r="R329">
        <f t="shared" si="39"/>
        <v>0.22588058654992976</v>
      </c>
      <c r="S329">
        <f t="shared" si="40"/>
        <v>0.50436440335763422</v>
      </c>
      <c r="T329">
        <f t="shared" si="41"/>
        <v>6.7538263032541151E-2</v>
      </c>
    </row>
    <row r="330" spans="2:20" x14ac:dyDescent="0.2">
      <c r="B330">
        <v>1585</v>
      </c>
      <c r="C330">
        <v>3.1451834678649901</v>
      </c>
      <c r="D330">
        <v>3.4654193878173798</v>
      </c>
      <c r="E330">
        <v>1.43864506520331</v>
      </c>
      <c r="F330" s="13">
        <v>3.463991117</v>
      </c>
      <c r="G330">
        <v>3.7951074123382602</v>
      </c>
      <c r="H330">
        <v>6.0535115242004398</v>
      </c>
      <c r="I330">
        <v>1.90204017162323</v>
      </c>
      <c r="N330">
        <f t="shared" si="35"/>
        <v>0.10567071666775175</v>
      </c>
      <c r="O330">
        <f t="shared" si="36"/>
        <v>0.34447745827022214</v>
      </c>
      <c r="P330">
        <f t="shared" si="37"/>
        <v>0.18648991266041315</v>
      </c>
      <c r="Q330">
        <f t="shared" si="38"/>
        <v>0.4273994048146702</v>
      </c>
      <c r="R330">
        <f t="shared" si="39"/>
        <v>0.23100517963779099</v>
      </c>
      <c r="S330">
        <f t="shared" si="40"/>
        <v>0.5133359453766726</v>
      </c>
      <c r="T330">
        <f t="shared" si="41"/>
        <v>7.1950995305409063E-2</v>
      </c>
    </row>
    <row r="331" spans="2:20" x14ac:dyDescent="0.2">
      <c r="B331">
        <v>1587</v>
      </c>
      <c r="C331">
        <v>3.2441499233245801</v>
      </c>
      <c r="D331">
        <v>3.5044451713561999</v>
      </c>
      <c r="E331">
        <v>1.4322901140898501</v>
      </c>
      <c r="F331" s="13">
        <v>3.560529184</v>
      </c>
      <c r="G331">
        <v>3.9743524551391598</v>
      </c>
      <c r="H331">
        <v>6.2368635177612299</v>
      </c>
      <c r="I331">
        <v>2.0634336233138999</v>
      </c>
      <c r="N331">
        <f t="shared" si="35"/>
        <v>0.10868109485923871</v>
      </c>
      <c r="O331">
        <f t="shared" si="36"/>
        <v>0.34655494920235996</v>
      </c>
      <c r="P331">
        <f t="shared" si="37"/>
        <v>0.18584282029823945</v>
      </c>
      <c r="Q331">
        <f t="shared" si="38"/>
        <v>0.4342941858666618</v>
      </c>
      <c r="R331">
        <f t="shared" si="39"/>
        <v>0.23672032185821706</v>
      </c>
      <c r="S331">
        <f t="shared" si="40"/>
        <v>0.52100911993655008</v>
      </c>
      <c r="T331">
        <f t="shared" si="41"/>
        <v>7.8056239378676423E-2</v>
      </c>
    </row>
    <row r="332" spans="2:20" x14ac:dyDescent="0.2">
      <c r="B332">
        <v>1589</v>
      </c>
      <c r="C332">
        <v>3.3335879802703898</v>
      </c>
      <c r="D332">
        <v>3.5247137546539302</v>
      </c>
      <c r="E332">
        <v>1.4668780900538001</v>
      </c>
      <c r="F332" s="13">
        <v>3.5988527299999999</v>
      </c>
      <c r="G332">
        <v>4.1333767890930204</v>
      </c>
      <c r="H332">
        <v>6.3537977218627901</v>
      </c>
      <c r="I332">
        <v>2.20223042964935</v>
      </c>
      <c r="N332">
        <f t="shared" si="35"/>
        <v>0.11140163663138061</v>
      </c>
      <c r="O332">
        <f t="shared" si="36"/>
        <v>0.3476339230035248</v>
      </c>
      <c r="P332">
        <f t="shared" si="37"/>
        <v>0.18936473803918238</v>
      </c>
      <c r="Q332">
        <f t="shared" si="38"/>
        <v>0.43703126634711026</v>
      </c>
      <c r="R332">
        <f t="shared" si="39"/>
        <v>0.24179073647528609</v>
      </c>
      <c r="S332">
        <f t="shared" si="40"/>
        <v>0.52590274853947083</v>
      </c>
      <c r="T332">
        <f t="shared" si="41"/>
        <v>8.3306690189357796E-2</v>
      </c>
    </row>
    <row r="333" spans="2:20" x14ac:dyDescent="0.2">
      <c r="B333">
        <v>1591</v>
      </c>
      <c r="C333">
        <v>3.4085172653198201</v>
      </c>
      <c r="D333">
        <v>3.59042935371399</v>
      </c>
      <c r="E333">
        <v>1.4848229497671099</v>
      </c>
      <c r="F333" s="13">
        <v>3.559852791</v>
      </c>
      <c r="G333">
        <v>4.1475845336914103</v>
      </c>
      <c r="H333">
        <v>6.4187783241272003</v>
      </c>
      <c r="I333">
        <v>2.2984764575958301</v>
      </c>
      <c r="N333">
        <f t="shared" si="35"/>
        <v>0.11368084815380013</v>
      </c>
      <c r="O333">
        <f t="shared" si="36"/>
        <v>0.35113221435779007</v>
      </c>
      <c r="P333">
        <f t="shared" si="37"/>
        <v>0.19119197186890716</v>
      </c>
      <c r="Q333">
        <f t="shared" si="38"/>
        <v>0.43424587765224415</v>
      </c>
      <c r="R333">
        <f t="shared" si="39"/>
        <v>0.24224374359750528</v>
      </c>
      <c r="S333">
        <f t="shared" si="40"/>
        <v>0.52862214904610061</v>
      </c>
      <c r="T333">
        <f t="shared" si="41"/>
        <v>8.6947516291906182E-2</v>
      </c>
    </row>
    <row r="334" spans="2:20" x14ac:dyDescent="0.2">
      <c r="B334">
        <v>1593</v>
      </c>
      <c r="C334">
        <v>3.4810724735259999</v>
      </c>
      <c r="D334">
        <v>3.64911556243896</v>
      </c>
      <c r="E334">
        <v>1.5053367733955401</v>
      </c>
      <c r="F334" s="13">
        <v>3.5319032190000001</v>
      </c>
      <c r="G334">
        <v>4.1542270660400398</v>
      </c>
      <c r="H334">
        <v>6.4678305625915504</v>
      </c>
      <c r="I334">
        <v>2.3726040840148901</v>
      </c>
      <c r="N334">
        <f t="shared" si="35"/>
        <v>0.115887844609805</v>
      </c>
      <c r="O334">
        <f t="shared" si="36"/>
        <v>0.35425630452106383</v>
      </c>
      <c r="P334">
        <f t="shared" si="37"/>
        <v>0.1932807902330359</v>
      </c>
      <c r="Q334">
        <f t="shared" si="38"/>
        <v>0.43224970986656769</v>
      </c>
      <c r="R334">
        <f t="shared" si="39"/>
        <v>0.24245553755555838</v>
      </c>
      <c r="S334">
        <f t="shared" si="40"/>
        <v>0.53067495676844967</v>
      </c>
      <c r="T334">
        <f t="shared" si="41"/>
        <v>8.975164029520058E-2</v>
      </c>
    </row>
    <row r="335" spans="2:20" x14ac:dyDescent="0.2">
      <c r="B335">
        <v>1595</v>
      </c>
      <c r="C335">
        <v>3.53240175247192</v>
      </c>
      <c r="D335">
        <v>3.6508922576904301</v>
      </c>
      <c r="E335">
        <v>1.4717650495469601</v>
      </c>
      <c r="F335" s="13">
        <v>3.5907145979999999</v>
      </c>
      <c r="G335">
        <v>4.18765692710876</v>
      </c>
      <c r="H335">
        <v>6.4137930870056197</v>
      </c>
      <c r="I335">
        <v>2.3952756643295299</v>
      </c>
      <c r="N335">
        <f t="shared" si="35"/>
        <v>0.11744918720014</v>
      </c>
      <c r="O335">
        <f t="shared" si="36"/>
        <v>0.35435088476877186</v>
      </c>
      <c r="P335">
        <f t="shared" si="37"/>
        <v>0.18986235227819331</v>
      </c>
      <c r="Q335">
        <f t="shared" si="38"/>
        <v>0.4364500382362117</v>
      </c>
      <c r="R335">
        <f t="shared" si="39"/>
        <v>0.24352143264214687</v>
      </c>
      <c r="S335">
        <f t="shared" si="40"/>
        <v>0.52841351976472017</v>
      </c>
      <c r="T335">
        <f t="shared" si="41"/>
        <v>9.0609268221845646E-2</v>
      </c>
    </row>
    <row r="336" spans="2:20" x14ac:dyDescent="0.2">
      <c r="B336">
        <v>1597</v>
      </c>
      <c r="C336">
        <v>3.56609764099121</v>
      </c>
      <c r="D336">
        <v>3.61591711044312</v>
      </c>
      <c r="E336">
        <v>1.4998692356050001</v>
      </c>
      <c r="F336" s="13">
        <v>3.5732793809999999</v>
      </c>
      <c r="G336">
        <v>4.2340682029724102</v>
      </c>
      <c r="H336">
        <v>6.3579046249389704</v>
      </c>
      <c r="I336">
        <v>2.3741035461425799</v>
      </c>
      <c r="N336">
        <f t="shared" si="35"/>
        <v>0.11847415437179611</v>
      </c>
      <c r="O336">
        <f t="shared" si="36"/>
        <v>0.35248902461715703</v>
      </c>
      <c r="P336">
        <f t="shared" si="37"/>
        <v>0.19272405865776682</v>
      </c>
      <c r="Q336">
        <f t="shared" si="38"/>
        <v>0.43520480920330634</v>
      </c>
      <c r="R336">
        <f t="shared" si="39"/>
        <v>0.24500123391334194</v>
      </c>
      <c r="S336">
        <f t="shared" si="40"/>
        <v>0.5260746200506119</v>
      </c>
      <c r="T336">
        <f t="shared" si="41"/>
        <v>8.9808362437098346E-2</v>
      </c>
    </row>
    <row r="337" spans="2:20" x14ac:dyDescent="0.2">
      <c r="B337">
        <v>1599</v>
      </c>
      <c r="C337">
        <v>3.5583710193633999</v>
      </c>
      <c r="D337">
        <v>3.6331876277923598</v>
      </c>
      <c r="E337">
        <v>1.4909901250153801</v>
      </c>
      <c r="F337" s="13">
        <v>3.5442576890000002</v>
      </c>
      <c r="G337">
        <v>4.2550540447235097</v>
      </c>
      <c r="H337">
        <v>6.3143356323242203</v>
      </c>
      <c r="I337">
        <v>2.43782200813293</v>
      </c>
      <c r="N337">
        <f t="shared" si="35"/>
        <v>0.11823912470306427</v>
      </c>
      <c r="O337">
        <f t="shared" si="36"/>
        <v>0.35340839996168238</v>
      </c>
      <c r="P337">
        <f t="shared" si="37"/>
        <v>0.19181994396941474</v>
      </c>
      <c r="Q337">
        <f t="shared" si="38"/>
        <v>0.43313207024844069</v>
      </c>
      <c r="R337">
        <f t="shared" si="39"/>
        <v>0.24567035741237292</v>
      </c>
      <c r="S337">
        <f t="shared" si="40"/>
        <v>0.52425128298599399</v>
      </c>
      <c r="T337">
        <f t="shared" si="41"/>
        <v>9.2218725177030905E-2</v>
      </c>
    </row>
    <row r="338" spans="2:20" x14ac:dyDescent="0.2">
      <c r="B338">
        <v>1601</v>
      </c>
      <c r="C338">
        <v>3.55021367073059</v>
      </c>
      <c r="D338">
        <v>3.6189201354980498</v>
      </c>
      <c r="E338">
        <v>1.50434563755989</v>
      </c>
      <c r="F338" s="13">
        <v>3.5582334040000001</v>
      </c>
      <c r="G338">
        <v>4.1108809471130403</v>
      </c>
      <c r="H338">
        <v>6.2328116416931199</v>
      </c>
      <c r="I338">
        <v>2.43900053501129</v>
      </c>
      <c r="N338">
        <f t="shared" si="35"/>
        <v>0.11799099310826755</v>
      </c>
      <c r="O338">
        <f t="shared" si="36"/>
        <v>0.35264888706589925</v>
      </c>
      <c r="P338">
        <f t="shared" si="37"/>
        <v>0.1931798679100038</v>
      </c>
      <c r="Q338">
        <f t="shared" si="38"/>
        <v>0.43413022049076977</v>
      </c>
      <c r="R338">
        <f t="shared" si="39"/>
        <v>0.24107346734318169</v>
      </c>
      <c r="S338">
        <f t="shared" si="40"/>
        <v>0.52083955127377313</v>
      </c>
      <c r="T338">
        <f t="shared" si="41"/>
        <v>9.2263306875754861E-2</v>
      </c>
    </row>
    <row r="339" spans="2:20" x14ac:dyDescent="0.2">
      <c r="B339">
        <v>1603</v>
      </c>
      <c r="C339">
        <v>3.5384542942047101</v>
      </c>
      <c r="D339">
        <v>3.5460834026336698</v>
      </c>
      <c r="E339">
        <v>1.4939952999353401</v>
      </c>
      <c r="F339" s="13">
        <v>3.5133323189999999</v>
      </c>
      <c r="G339">
        <v>4.1341100692749002</v>
      </c>
      <c r="H339">
        <v>6.1488986015319798</v>
      </c>
      <c r="I339">
        <v>2.3856906175613402</v>
      </c>
      <c r="N339">
        <f t="shared" si="35"/>
        <v>0.11763329442668299</v>
      </c>
      <c r="O339">
        <f t="shared" si="36"/>
        <v>0.3487715106667354</v>
      </c>
      <c r="P339">
        <f t="shared" si="37"/>
        <v>0.19212594565266658</v>
      </c>
      <c r="Q339">
        <f t="shared" si="38"/>
        <v>0.43092336997374148</v>
      </c>
      <c r="R339">
        <f t="shared" si="39"/>
        <v>0.24181411676219045</v>
      </c>
      <c r="S339">
        <f t="shared" si="40"/>
        <v>0.51732783922471404</v>
      </c>
      <c r="T339">
        <f t="shared" si="41"/>
        <v>9.024668194984721E-2</v>
      </c>
    </row>
    <row r="340" spans="2:20" x14ac:dyDescent="0.2">
      <c r="B340">
        <v>1605</v>
      </c>
      <c r="C340">
        <v>3.5263169288635301</v>
      </c>
      <c r="D340">
        <v>3.47347092628479</v>
      </c>
      <c r="E340">
        <v>1.46528040990233</v>
      </c>
      <c r="F340" s="13">
        <v>3.435656738</v>
      </c>
      <c r="G340">
        <v>4.1095833778381303</v>
      </c>
      <c r="H340">
        <v>6.0210883140564002</v>
      </c>
      <c r="I340">
        <v>2.3576654911041302</v>
      </c>
      <c r="N340">
        <f t="shared" si="35"/>
        <v>0.11726409801810678</v>
      </c>
      <c r="O340">
        <f t="shared" si="36"/>
        <v>0.34490607229507997</v>
      </c>
      <c r="P340">
        <f t="shared" si="37"/>
        <v>0.18920205439225027</v>
      </c>
      <c r="Q340">
        <f t="shared" si="38"/>
        <v>0.42537575398427652</v>
      </c>
      <c r="R340">
        <f t="shared" si="39"/>
        <v>0.24103209496918976</v>
      </c>
      <c r="S340">
        <f t="shared" si="40"/>
        <v>0.51197905284228995</v>
      </c>
      <c r="T340">
        <f t="shared" si="41"/>
        <v>8.9186538335511573E-2</v>
      </c>
    </row>
    <row r="341" spans="2:20" x14ac:dyDescent="0.2">
      <c r="B341">
        <v>1607</v>
      </c>
      <c r="C341">
        <v>3.48174734115601</v>
      </c>
      <c r="D341">
        <v>3.3921599388122599</v>
      </c>
      <c r="E341">
        <v>1.4059979703277301</v>
      </c>
      <c r="F341" s="13">
        <v>3.3934313299999999</v>
      </c>
      <c r="G341">
        <v>3.9680159568786602</v>
      </c>
      <c r="H341">
        <v>5.8357308387756301</v>
      </c>
      <c r="I341">
        <v>2.2887092590332001</v>
      </c>
      <c r="N341">
        <f t="shared" si="35"/>
        <v>0.11590837284622701</v>
      </c>
      <c r="O341">
        <f t="shared" si="36"/>
        <v>0.34057757908265474</v>
      </c>
      <c r="P341">
        <f t="shared" si="37"/>
        <v>0.18316562497291183</v>
      </c>
      <c r="Q341">
        <f t="shared" si="38"/>
        <v>0.42236000121401429</v>
      </c>
      <c r="R341">
        <f t="shared" si="39"/>
        <v>0.23651828565028432</v>
      </c>
      <c r="S341">
        <f t="shared" si="40"/>
        <v>0.50422195003590031</v>
      </c>
      <c r="T341">
        <f t="shared" si="41"/>
        <v>8.6578039522481776E-2</v>
      </c>
    </row>
    <row r="342" spans="2:20" x14ac:dyDescent="0.2">
      <c r="B342">
        <v>1609</v>
      </c>
      <c r="C342">
        <v>3.4229538440704301</v>
      </c>
      <c r="D342">
        <v>3.2290735244750999</v>
      </c>
      <c r="E342">
        <v>1.35229942649603</v>
      </c>
      <c r="F342" s="13">
        <v>3.3535487169999998</v>
      </c>
      <c r="G342">
        <v>3.9878028869628901</v>
      </c>
      <c r="H342">
        <v>5.7120527267456103</v>
      </c>
      <c r="I342">
        <v>2.20552377700806</v>
      </c>
      <c r="N342">
        <f t="shared" si="35"/>
        <v>0.11411998242034224</v>
      </c>
      <c r="O342">
        <f t="shared" si="36"/>
        <v>0.33189586878199401</v>
      </c>
      <c r="P342">
        <f t="shared" si="37"/>
        <v>0.17769777526754654</v>
      </c>
      <c r="Q342">
        <f t="shared" si="38"/>
        <v>0.41951157164667774</v>
      </c>
      <c r="R342">
        <f t="shared" si="39"/>
        <v>0.2371491824258376</v>
      </c>
      <c r="S342">
        <f t="shared" si="40"/>
        <v>0.49904609279861434</v>
      </c>
      <c r="T342">
        <f t="shared" si="41"/>
        <v>8.3431272006230475E-2</v>
      </c>
    </row>
    <row r="343" spans="2:20" x14ac:dyDescent="0.2">
      <c r="B343">
        <v>1611</v>
      </c>
      <c r="C343">
        <v>3.4058722972869901</v>
      </c>
      <c r="D343">
        <v>3.1026294708252</v>
      </c>
      <c r="E343">
        <v>1.3208641901612299</v>
      </c>
      <c r="F343" s="13">
        <v>3.2436755179999999</v>
      </c>
      <c r="G343">
        <v>4.0121668338775596</v>
      </c>
      <c r="H343">
        <v>5.5940203666687003</v>
      </c>
      <c r="I343">
        <v>2.14752612113953</v>
      </c>
      <c r="N343">
        <f t="shared" si="35"/>
        <v>0.11360039307388203</v>
      </c>
      <c r="O343">
        <f t="shared" si="36"/>
        <v>0.32516477074730316</v>
      </c>
      <c r="P343">
        <f t="shared" si="37"/>
        <v>0.17449688497394691</v>
      </c>
      <c r="Q343">
        <f t="shared" si="38"/>
        <v>0.41166439100459074</v>
      </c>
      <c r="R343">
        <f t="shared" si="39"/>
        <v>0.23792601518780648</v>
      </c>
      <c r="S343">
        <f t="shared" si="40"/>
        <v>0.4941065070052143</v>
      </c>
      <c r="T343">
        <f t="shared" si="41"/>
        <v>8.1237317784138494E-2</v>
      </c>
    </row>
    <row r="344" spans="2:20" x14ac:dyDescent="0.2">
      <c r="B344">
        <v>1613</v>
      </c>
      <c r="C344">
        <v>3.3855794429779098</v>
      </c>
      <c r="D344">
        <v>3.0436921596527098</v>
      </c>
      <c r="E344">
        <v>1.26285441070795</v>
      </c>
      <c r="F344" s="13">
        <v>3.1307991980000001</v>
      </c>
      <c r="G344">
        <v>3.8070048809051502</v>
      </c>
      <c r="H344">
        <v>5.4404752731323196</v>
      </c>
      <c r="I344">
        <v>2.1064219713211099</v>
      </c>
      <c r="N344">
        <f t="shared" si="35"/>
        <v>0.1129831216381073</v>
      </c>
      <c r="O344">
        <f t="shared" si="36"/>
        <v>0.32202731344542374</v>
      </c>
      <c r="P344">
        <f t="shared" si="37"/>
        <v>0.1685900440643304</v>
      </c>
      <c r="Q344">
        <f t="shared" si="38"/>
        <v>0.40360272645567719</v>
      </c>
      <c r="R344">
        <f t="shared" si="39"/>
        <v>0.23138452471679746</v>
      </c>
      <c r="S344">
        <f t="shared" si="40"/>
        <v>0.48768073391905065</v>
      </c>
      <c r="T344">
        <f t="shared" si="41"/>
        <v>7.9682416612890355E-2</v>
      </c>
    </row>
    <row r="345" spans="2:20" x14ac:dyDescent="0.2">
      <c r="B345">
        <v>1615</v>
      </c>
      <c r="C345">
        <v>3.34987921714783</v>
      </c>
      <c r="D345">
        <v>2.9227428913116502</v>
      </c>
      <c r="E345">
        <v>1.2137240916490599</v>
      </c>
      <c r="F345" s="13">
        <v>3.0637867929999998</v>
      </c>
      <c r="G345">
        <v>3.61530246734619</v>
      </c>
      <c r="H345">
        <v>5.3100738525390598</v>
      </c>
      <c r="I345">
        <v>2.0111704826354999</v>
      </c>
      <c r="N345">
        <f t="shared" si="35"/>
        <v>0.11189718619896333</v>
      </c>
      <c r="O345">
        <f t="shared" si="36"/>
        <v>0.31558872373774199</v>
      </c>
      <c r="P345">
        <f t="shared" si="37"/>
        <v>0.16358735346190725</v>
      </c>
      <c r="Q345">
        <f t="shared" si="38"/>
        <v>0.39881667806460691</v>
      </c>
      <c r="R345">
        <f t="shared" si="39"/>
        <v>0.22527218520453901</v>
      </c>
      <c r="S345">
        <f t="shared" si="40"/>
        <v>0.4822235101188832</v>
      </c>
      <c r="T345">
        <f t="shared" si="41"/>
        <v>7.6079212265527524E-2</v>
      </c>
    </row>
    <row r="346" spans="2:20" x14ac:dyDescent="0.2">
      <c r="B346">
        <v>1617</v>
      </c>
      <c r="C346">
        <v>3.2718843460082998</v>
      </c>
      <c r="D346">
        <v>2.73167519569397</v>
      </c>
      <c r="E346">
        <v>1.1788865029811899</v>
      </c>
      <c r="F346" s="13">
        <v>2.9564925670000002</v>
      </c>
      <c r="G346">
        <v>3.5629064559936499</v>
      </c>
      <c r="H346">
        <v>5.1626376152038604</v>
      </c>
      <c r="I346">
        <v>1.9067231416702299</v>
      </c>
      <c r="N346">
        <f t="shared" si="35"/>
        <v>0.10952472516622332</v>
      </c>
      <c r="O346">
        <f t="shared" si="36"/>
        <v>0.3054174633791803</v>
      </c>
      <c r="P346">
        <f t="shared" si="37"/>
        <v>0.16004001892839986</v>
      </c>
      <c r="Q346">
        <f t="shared" si="38"/>
        <v>0.39115368853724358</v>
      </c>
      <c r="R346">
        <f t="shared" si="39"/>
        <v>0.22360156351267191</v>
      </c>
      <c r="S346">
        <f t="shared" si="40"/>
        <v>0.47605338912071998</v>
      </c>
      <c r="T346">
        <f t="shared" si="41"/>
        <v>7.2128144222079679E-2</v>
      </c>
    </row>
    <row r="347" spans="2:20" x14ac:dyDescent="0.2">
      <c r="B347">
        <v>1619</v>
      </c>
      <c r="C347">
        <v>3.2743183135986298</v>
      </c>
      <c r="D347">
        <v>2.7121472835540801</v>
      </c>
      <c r="E347">
        <v>1.1824692022055401</v>
      </c>
      <c r="F347" s="13">
        <v>2.9305196759999999</v>
      </c>
      <c r="G347">
        <v>3.52745823860168</v>
      </c>
      <c r="H347">
        <v>5.03062882423401</v>
      </c>
      <c r="I347">
        <v>1.78132870197296</v>
      </c>
      <c r="N347">
        <f t="shared" si="35"/>
        <v>0.10959876199939764</v>
      </c>
      <c r="O347">
        <f t="shared" si="36"/>
        <v>0.3043779183216454</v>
      </c>
      <c r="P347">
        <f t="shared" si="37"/>
        <v>0.16040482697533076</v>
      </c>
      <c r="Q347">
        <f t="shared" si="38"/>
        <v>0.38929869597009137</v>
      </c>
      <c r="R347">
        <f t="shared" si="39"/>
        <v>0.22247131410275811</v>
      </c>
      <c r="S347">
        <f t="shared" si="40"/>
        <v>0.47052889780279922</v>
      </c>
      <c r="T347">
        <f t="shared" si="41"/>
        <v>6.738468250313874E-2</v>
      </c>
    </row>
    <row r="348" spans="2:20" x14ac:dyDescent="0.2">
      <c r="B348">
        <v>1621</v>
      </c>
      <c r="C348">
        <v>3.2599927902221699</v>
      </c>
      <c r="D348">
        <v>2.6504251480102501</v>
      </c>
      <c r="E348">
        <v>1.10621771961451</v>
      </c>
      <c r="F348" s="13">
        <v>2.8706592560000002</v>
      </c>
      <c r="G348">
        <v>3.4868778705596899</v>
      </c>
      <c r="H348">
        <v>4.9319053173065202</v>
      </c>
      <c r="I348">
        <v>1.69255347251892</v>
      </c>
      <c r="N348">
        <f t="shared" si="35"/>
        <v>0.10916300583379725</v>
      </c>
      <c r="O348">
        <f t="shared" si="36"/>
        <v>0.30109221422356008</v>
      </c>
      <c r="P348">
        <f t="shared" si="37"/>
        <v>0.15264052617928386</v>
      </c>
      <c r="Q348">
        <f t="shared" si="38"/>
        <v>0.38502344474116157</v>
      </c>
      <c r="R348">
        <f t="shared" si="39"/>
        <v>0.22117742853084404</v>
      </c>
      <c r="S348">
        <f t="shared" si="40"/>
        <v>0.46639737631177841</v>
      </c>
      <c r="T348">
        <f t="shared" si="41"/>
        <v>6.4026464199982133E-2</v>
      </c>
    </row>
    <row r="349" spans="2:20" x14ac:dyDescent="0.2">
      <c r="B349">
        <v>1623</v>
      </c>
      <c r="C349">
        <v>3.16167578697205</v>
      </c>
      <c r="D349">
        <v>2.5578215599060101</v>
      </c>
      <c r="E349">
        <v>0.99809093773364999</v>
      </c>
      <c r="F349" s="13">
        <v>2.871472979</v>
      </c>
      <c r="G349">
        <v>3.4394632816314701</v>
      </c>
      <c r="H349">
        <v>4.8396623134613002</v>
      </c>
      <c r="I349">
        <v>1.6692675113677999</v>
      </c>
      <c r="N349">
        <f t="shared" si="35"/>
        <v>0.1061723827882203</v>
      </c>
      <c r="O349">
        <f t="shared" si="36"/>
        <v>0.29616257291658621</v>
      </c>
      <c r="P349">
        <f t="shared" si="37"/>
        <v>0.14163052571628551</v>
      </c>
      <c r="Q349">
        <f t="shared" si="38"/>
        <v>0.38508156111013725</v>
      </c>
      <c r="R349">
        <f t="shared" si="39"/>
        <v>0.21966563710379289</v>
      </c>
      <c r="S349">
        <f t="shared" si="40"/>
        <v>0.46253706011512274</v>
      </c>
      <c r="T349">
        <f t="shared" si="41"/>
        <v>6.3145595274886654E-2</v>
      </c>
    </row>
    <row r="350" spans="2:20" x14ac:dyDescent="0.2">
      <c r="B350">
        <v>1625</v>
      </c>
      <c r="C350">
        <v>3.11413598060608</v>
      </c>
      <c r="D350">
        <v>2.4863396167755099</v>
      </c>
      <c r="E350">
        <v>1.00599208623171</v>
      </c>
      <c r="F350" s="13">
        <v>2.8629117489999998</v>
      </c>
      <c r="G350">
        <v>3.4526481151580799</v>
      </c>
      <c r="H350">
        <v>4.78474640846252</v>
      </c>
      <c r="I350">
        <v>1.5900610208511401</v>
      </c>
      <c r="N350">
        <f t="shared" si="35"/>
        <v>0.10472630900850345</v>
      </c>
      <c r="O350">
        <f t="shared" si="36"/>
        <v>0.29235731712928115</v>
      </c>
      <c r="P350">
        <f t="shared" si="37"/>
        <v>0.14243505949698854</v>
      </c>
      <c r="Q350">
        <f t="shared" si="38"/>
        <v>0.38447011519848723</v>
      </c>
      <c r="R350">
        <f t="shared" si="39"/>
        <v>0.22008602919709569</v>
      </c>
      <c r="S350">
        <f t="shared" si="40"/>
        <v>0.4602388613500813</v>
      </c>
      <c r="T350">
        <f t="shared" si="41"/>
        <v>6.0149346345791478E-2</v>
      </c>
    </row>
    <row r="351" spans="2:20" x14ac:dyDescent="0.2">
      <c r="B351">
        <v>1627</v>
      </c>
      <c r="C351">
        <v>3.10330257415771</v>
      </c>
      <c r="D351">
        <v>2.4664969921112099</v>
      </c>
      <c r="E351">
        <v>0.98822379969060403</v>
      </c>
      <c r="F351" s="13">
        <v>2.8927766319999999</v>
      </c>
      <c r="G351">
        <v>3.2932297706604001</v>
      </c>
      <c r="H351">
        <v>4.7694241046905503</v>
      </c>
      <c r="I351">
        <v>1.5187346696853601</v>
      </c>
      <c r="N351">
        <f t="shared" si="35"/>
        <v>0.10439677663957868</v>
      </c>
      <c r="O351">
        <f t="shared" si="36"/>
        <v>0.29130101872674186</v>
      </c>
      <c r="P351">
        <f t="shared" si="37"/>
        <v>0.14062580521565962</v>
      </c>
      <c r="Q351">
        <f t="shared" si="38"/>
        <v>0.38660307513675018</v>
      </c>
      <c r="R351">
        <f t="shared" si="39"/>
        <v>0.21500305174281181</v>
      </c>
      <c r="S351">
        <f t="shared" si="40"/>
        <v>0.45959763182637386</v>
      </c>
      <c r="T351">
        <f t="shared" si="41"/>
        <v>5.7451189895446231E-2</v>
      </c>
    </row>
    <row r="352" spans="2:20" x14ac:dyDescent="0.2">
      <c r="B352">
        <v>1629</v>
      </c>
      <c r="C352">
        <v>3.0625082015991199</v>
      </c>
      <c r="D352">
        <v>2.3989172458648702</v>
      </c>
      <c r="E352">
        <v>0.97194263115525203</v>
      </c>
      <c r="F352" s="13">
        <v>2.9179074530000002</v>
      </c>
      <c r="G352">
        <v>3.2390899658203098</v>
      </c>
      <c r="H352">
        <v>4.7309852123260496</v>
      </c>
      <c r="I352">
        <v>1.4998207569122299</v>
      </c>
      <c r="N352">
        <f t="shared" si="35"/>
        <v>0.10315588659339613</v>
      </c>
      <c r="O352">
        <f t="shared" si="36"/>
        <v>0.28770349172556597</v>
      </c>
      <c r="P352">
        <f t="shared" si="37"/>
        <v>0.13896797660008228</v>
      </c>
      <c r="Q352">
        <f t="shared" si="38"/>
        <v>0.38839792678270035</v>
      </c>
      <c r="R352">
        <f t="shared" si="39"/>
        <v>0.21327683003195019</v>
      </c>
      <c r="S352">
        <f t="shared" si="40"/>
        <v>0.45798898648102959</v>
      </c>
      <c r="T352">
        <f t="shared" si="41"/>
        <v>5.6735708240826382E-2</v>
      </c>
    </row>
    <row r="353" spans="2:20" x14ac:dyDescent="0.2">
      <c r="B353">
        <v>1631</v>
      </c>
      <c r="C353">
        <v>3.0393171787262001</v>
      </c>
      <c r="D353">
        <v>2.34752416610718</v>
      </c>
      <c r="E353">
        <v>0.95388811528682704</v>
      </c>
      <c r="F353" s="13">
        <v>2.8341057300000001</v>
      </c>
      <c r="G353">
        <v>3.2085762977600099</v>
      </c>
      <c r="H353">
        <v>4.7196918964385999</v>
      </c>
      <c r="I353">
        <v>1.4401557326316801</v>
      </c>
      <c r="N353">
        <f t="shared" si="35"/>
        <v>0.10245045818161048</v>
      </c>
      <c r="O353">
        <f t="shared" si="36"/>
        <v>0.28496764256407425</v>
      </c>
      <c r="P353">
        <f t="shared" si="37"/>
        <v>0.13712957704159365</v>
      </c>
      <c r="Q353">
        <f t="shared" si="38"/>
        <v>0.38241277968145737</v>
      </c>
      <c r="R353">
        <f t="shared" si="39"/>
        <v>0.21230391636077439</v>
      </c>
      <c r="S353">
        <f t="shared" si="40"/>
        <v>0.45751636776289439</v>
      </c>
      <c r="T353">
        <f t="shared" si="41"/>
        <v>5.4478680263208387E-2</v>
      </c>
    </row>
    <row r="354" spans="2:20" x14ac:dyDescent="0.2">
      <c r="B354">
        <v>1633</v>
      </c>
      <c r="C354">
        <v>3.0416133403778098</v>
      </c>
      <c r="D354">
        <v>2.2347034931182899</v>
      </c>
      <c r="E354">
        <v>0.90954379141330699</v>
      </c>
      <c r="F354" s="13">
        <v>2.7691525700000001</v>
      </c>
      <c r="G354">
        <v>3.1197687149047901</v>
      </c>
      <c r="H354">
        <v>4.7076768398284896</v>
      </c>
      <c r="I354">
        <v>1.43623468875885</v>
      </c>
      <c r="N354">
        <f t="shared" si="35"/>
        <v>0.10252030321069669</v>
      </c>
      <c r="O354">
        <f t="shared" si="36"/>
        <v>0.2789617689123905</v>
      </c>
      <c r="P354">
        <f t="shared" si="37"/>
        <v>0.13261421999603981</v>
      </c>
      <c r="Q354">
        <f t="shared" si="38"/>
        <v>0.37777380325742171</v>
      </c>
      <c r="R354">
        <f t="shared" si="39"/>
        <v>0.20947232917521624</v>
      </c>
      <c r="S354">
        <f t="shared" si="40"/>
        <v>0.45701354461422966</v>
      </c>
      <c r="T354">
        <f t="shared" si="41"/>
        <v>5.4330353738093237E-2</v>
      </c>
    </row>
    <row r="355" spans="2:20" x14ac:dyDescent="0.2">
      <c r="B355">
        <v>1635</v>
      </c>
      <c r="C355">
        <v>2.9483352184295701</v>
      </c>
      <c r="D355">
        <v>2.13033964633942</v>
      </c>
      <c r="E355">
        <v>0.88080820217728595</v>
      </c>
      <c r="F355" s="13">
        <v>2.7458726410000001</v>
      </c>
      <c r="G355">
        <v>3.05076332092285</v>
      </c>
      <c r="H355">
        <v>4.64938459396362</v>
      </c>
      <c r="I355">
        <v>1.4046947240829499</v>
      </c>
      <c r="N355">
        <f t="shared" si="35"/>
        <v>9.9682953699169533E-2</v>
      </c>
      <c r="O355">
        <f t="shared" si="36"/>
        <v>0.27340608429402902</v>
      </c>
      <c r="P355">
        <f t="shared" si="37"/>
        <v>0.12968822104101935</v>
      </c>
      <c r="Q355">
        <f t="shared" si="38"/>
        <v>0.37611114293752002</v>
      </c>
      <c r="R355">
        <f t="shared" si="39"/>
        <v>0.2072721252843818</v>
      </c>
      <c r="S355">
        <f t="shared" si="40"/>
        <v>0.45457404794270784</v>
      </c>
      <c r="T355">
        <f t="shared" si="41"/>
        <v>5.3137249678470895E-2</v>
      </c>
    </row>
    <row r="356" spans="2:20" x14ac:dyDescent="0.2">
      <c r="B356">
        <v>1637</v>
      </c>
      <c r="C356">
        <v>2.9896823883056598</v>
      </c>
      <c r="D356">
        <v>2.1755033493042002</v>
      </c>
      <c r="E356">
        <v>0.93149896003305899</v>
      </c>
      <c r="F356" s="13">
        <v>2.894095278</v>
      </c>
      <c r="G356">
        <v>3.0562306404113802</v>
      </c>
      <c r="H356">
        <v>4.7134480476379403</v>
      </c>
      <c r="I356">
        <v>1.3919441819191001</v>
      </c>
      <c r="N356">
        <f t="shared" si="35"/>
        <v>0.10094065882659536</v>
      </c>
      <c r="O356">
        <f t="shared" si="36"/>
        <v>0.27581032002904676</v>
      </c>
      <c r="P356">
        <f t="shared" si="37"/>
        <v>0.13484980319257869</v>
      </c>
      <c r="Q356">
        <f t="shared" si="38"/>
        <v>0.38669725327536036</v>
      </c>
      <c r="R356">
        <f t="shared" si="39"/>
        <v>0.20744644814404473</v>
      </c>
      <c r="S356">
        <f t="shared" si="40"/>
        <v>0.45725506631292101</v>
      </c>
      <c r="T356">
        <f t="shared" si="41"/>
        <v>5.2654918015312781E-2</v>
      </c>
    </row>
    <row r="357" spans="2:20" x14ac:dyDescent="0.2">
      <c r="B357">
        <v>1639</v>
      </c>
      <c r="C357">
        <v>2.9511296749114999</v>
      </c>
      <c r="D357">
        <v>2.2143887758254999</v>
      </c>
      <c r="E357">
        <v>0.91979318214580397</v>
      </c>
      <c r="F357" s="13">
        <v>2.8846127510000001</v>
      </c>
      <c r="G357">
        <v>3.13476552963257</v>
      </c>
      <c r="H357">
        <v>4.7726749420166001</v>
      </c>
      <c r="I357">
        <v>1.37933373451233</v>
      </c>
      <c r="N357">
        <f t="shared" si="35"/>
        <v>9.9767955943730016E-2</v>
      </c>
      <c r="O357">
        <f t="shared" si="36"/>
        <v>0.27788033922315097</v>
      </c>
      <c r="P357">
        <f t="shared" si="37"/>
        <v>0.13365786334459134</v>
      </c>
      <c r="Q357">
        <f t="shared" si="38"/>
        <v>0.38602000802365466</v>
      </c>
      <c r="R357">
        <f t="shared" si="39"/>
        <v>0.20995049542005817</v>
      </c>
      <c r="S357">
        <f t="shared" si="40"/>
        <v>0.45973367748251381</v>
      </c>
      <c r="T357">
        <f t="shared" si="41"/>
        <v>5.2177885902268982E-2</v>
      </c>
    </row>
    <row r="358" spans="2:20" x14ac:dyDescent="0.2">
      <c r="B358">
        <v>1641</v>
      </c>
      <c r="C358">
        <v>2.9302989006042499</v>
      </c>
      <c r="D358">
        <v>2.20148048400879</v>
      </c>
      <c r="E358">
        <v>0.89752922081388498</v>
      </c>
      <c r="F358" s="13">
        <v>2.9524718760000002</v>
      </c>
      <c r="G358">
        <v>3.19372568130493</v>
      </c>
      <c r="H358">
        <v>4.8584140777587903</v>
      </c>
      <c r="I358">
        <v>1.3635593295097399</v>
      </c>
      <c r="N358">
        <f t="shared" si="35"/>
        <v>9.9134321967499175E-2</v>
      </c>
      <c r="O358">
        <f t="shared" si="36"/>
        <v>0.2771931817398956</v>
      </c>
      <c r="P358">
        <f t="shared" si="37"/>
        <v>0.13139083735612994</v>
      </c>
      <c r="Q358">
        <f t="shared" si="38"/>
        <v>0.39086652944048317</v>
      </c>
      <c r="R358">
        <f t="shared" si="39"/>
        <v>0.21183041157773805</v>
      </c>
      <c r="S358">
        <f t="shared" si="40"/>
        <v>0.4633218105722407</v>
      </c>
      <c r="T358">
        <f t="shared" si="41"/>
        <v>5.1581166570458879E-2</v>
      </c>
    </row>
    <row r="359" spans="2:20" x14ac:dyDescent="0.2">
      <c r="B359">
        <v>1643</v>
      </c>
      <c r="C359">
        <v>2.89489784240723</v>
      </c>
      <c r="D359">
        <v>2.2186712503433199</v>
      </c>
      <c r="E359">
        <v>0.88807672807015503</v>
      </c>
      <c r="F359" s="13">
        <v>2.9337820529999998</v>
      </c>
      <c r="G359">
        <v>3.1259544849395802</v>
      </c>
      <c r="H359">
        <v>4.8790517330169703</v>
      </c>
      <c r="I359">
        <v>1.3473910808563201</v>
      </c>
      <c r="N359">
        <f t="shared" si="35"/>
        <v>9.8057486659444887E-2</v>
      </c>
      <c r="O359">
        <f t="shared" si="36"/>
        <v>0.27810831163449368</v>
      </c>
      <c r="P359">
        <f t="shared" si="37"/>
        <v>0.13042833807820242</v>
      </c>
      <c r="Q359">
        <f t="shared" si="38"/>
        <v>0.38953169602719889</v>
      </c>
      <c r="R359">
        <f t="shared" si="39"/>
        <v>0.20966955948596433</v>
      </c>
      <c r="S359">
        <f t="shared" si="40"/>
        <v>0.46418548447197439</v>
      </c>
      <c r="T359">
        <f t="shared" si="41"/>
        <v>5.0969548792709159E-2</v>
      </c>
    </row>
    <row r="360" spans="2:20" x14ac:dyDescent="0.2">
      <c r="B360">
        <v>1645</v>
      </c>
      <c r="C360">
        <v>2.8097177982330299</v>
      </c>
      <c r="D360">
        <v>2.2436620712280302</v>
      </c>
      <c r="E360">
        <v>0.877155672386289</v>
      </c>
      <c r="F360" s="13">
        <v>2.8877976890000001</v>
      </c>
      <c r="G360">
        <v>3.0257354736328099</v>
      </c>
      <c r="H360">
        <v>4.8665806293487597</v>
      </c>
      <c r="I360">
        <v>1.34710448980331</v>
      </c>
      <c r="N360">
        <f t="shared" si="35"/>
        <v>9.5466465831821001E-2</v>
      </c>
      <c r="O360">
        <f t="shared" si="36"/>
        <v>0.27943866810825985</v>
      </c>
      <c r="P360">
        <f t="shared" si="37"/>
        <v>0.12931630250251791</v>
      </c>
      <c r="Q360">
        <f t="shared" si="38"/>
        <v>0.38624747736146692</v>
      </c>
      <c r="R360">
        <f t="shared" si="39"/>
        <v>0.20647412437736332</v>
      </c>
      <c r="S360">
        <f t="shared" si="40"/>
        <v>0.46366357601850133</v>
      </c>
      <c r="T360">
        <f t="shared" si="41"/>
        <v>5.095870753298324E-2</v>
      </c>
    </row>
    <row r="361" spans="2:20" x14ac:dyDescent="0.2">
      <c r="B361">
        <v>1647</v>
      </c>
      <c r="C361">
        <v>2.7582800865173298</v>
      </c>
      <c r="D361">
        <v>2.2167197942733798</v>
      </c>
      <c r="E361">
        <v>0.870105066802353</v>
      </c>
      <c r="F361" s="13">
        <v>2.8724686859999999</v>
      </c>
      <c r="G361">
        <v>2.9972241401672401</v>
      </c>
      <c r="H361">
        <v>4.99840226173401</v>
      </c>
      <c r="I361">
        <v>1.3232625603675801</v>
      </c>
      <c r="N361">
        <f t="shared" si="35"/>
        <v>9.3901824915362558E-2</v>
      </c>
      <c r="O361">
        <f t="shared" si="36"/>
        <v>0.27800442820353749</v>
      </c>
      <c r="P361">
        <f t="shared" si="37"/>
        <v>0.1285983751824476</v>
      </c>
      <c r="Q361">
        <f t="shared" si="38"/>
        <v>0.38515267483729454</v>
      </c>
      <c r="R361">
        <f t="shared" si="39"/>
        <v>0.20556505418438331</v>
      </c>
      <c r="S361">
        <f t="shared" si="40"/>
        <v>0.46918023485823557</v>
      </c>
      <c r="T361">
        <f t="shared" si="41"/>
        <v>5.0056807258480572E-2</v>
      </c>
    </row>
    <row r="362" spans="2:20" x14ac:dyDescent="0.2">
      <c r="B362">
        <v>1649</v>
      </c>
      <c r="C362">
        <v>2.7106220245361299</v>
      </c>
      <c r="D362">
        <v>2.2670372962951699</v>
      </c>
      <c r="E362">
        <v>0.84684560187160995</v>
      </c>
      <c r="F362" s="13">
        <v>2.9433245659999998</v>
      </c>
      <c r="G362">
        <v>2.9491921424865701</v>
      </c>
      <c r="H362">
        <v>5.1195724964141798</v>
      </c>
      <c r="I362">
        <v>1.24768527746201</v>
      </c>
      <c r="N362">
        <f t="shared" si="35"/>
        <v>9.2452154016566757E-2</v>
      </c>
      <c r="O362">
        <f t="shared" si="36"/>
        <v>0.28068302027009051</v>
      </c>
      <c r="P362">
        <f t="shared" si="37"/>
        <v>0.1262299821238366</v>
      </c>
      <c r="Q362">
        <f t="shared" si="38"/>
        <v>0.3902132254990992</v>
      </c>
      <c r="R362">
        <f t="shared" si="39"/>
        <v>0.20403357697538108</v>
      </c>
      <c r="S362">
        <f t="shared" si="40"/>
        <v>0.47425113888336151</v>
      </c>
      <c r="T362">
        <f t="shared" si="41"/>
        <v>4.7197845177309856E-2</v>
      </c>
    </row>
    <row r="363" spans="2:20" x14ac:dyDescent="0.2">
      <c r="B363">
        <v>1651</v>
      </c>
      <c r="C363">
        <v>2.6302540302276598</v>
      </c>
      <c r="D363">
        <v>2.29505138397217</v>
      </c>
      <c r="E363">
        <v>0.82887440323829698</v>
      </c>
      <c r="F363" s="13">
        <v>2.9151657339999999</v>
      </c>
      <c r="G363">
        <v>2.8508134365081799</v>
      </c>
      <c r="H363">
        <v>5.0727677345275897</v>
      </c>
      <c r="I363">
        <v>1.2440816283225999</v>
      </c>
      <c r="N363">
        <f t="shared" si="35"/>
        <v>9.0007506926436762E-2</v>
      </c>
      <c r="O363">
        <f t="shared" si="36"/>
        <v>0.28217431673728866</v>
      </c>
      <c r="P363">
        <f t="shared" si="37"/>
        <v>0.12440006633579967</v>
      </c>
      <c r="Q363">
        <f t="shared" si="38"/>
        <v>0.38820211229419299</v>
      </c>
      <c r="R363">
        <f t="shared" si="39"/>
        <v>0.20089681911953056</v>
      </c>
      <c r="S363">
        <f t="shared" si="40"/>
        <v>0.47229238675193058</v>
      </c>
      <c r="T363">
        <f t="shared" si="41"/>
        <v>4.706152516357915E-2</v>
      </c>
    </row>
    <row r="364" spans="2:20" x14ac:dyDescent="0.2">
      <c r="B364">
        <v>1653</v>
      </c>
      <c r="C364">
        <v>2.5354546546935999</v>
      </c>
      <c r="D364">
        <v>2.1666287660598802</v>
      </c>
      <c r="E364">
        <v>0.75061898976564401</v>
      </c>
      <c r="F364" s="13">
        <v>2.813869977</v>
      </c>
      <c r="G364">
        <v>2.78644528388977</v>
      </c>
      <c r="H364">
        <v>5.2344922065734902</v>
      </c>
      <c r="I364">
        <v>1.27315850257874</v>
      </c>
      <c r="N364">
        <f t="shared" si="35"/>
        <v>8.7123883668949839E-2</v>
      </c>
      <c r="O364">
        <f t="shared" si="36"/>
        <v>0.27533789219942384</v>
      </c>
      <c r="P364">
        <f t="shared" si="37"/>
        <v>0.1164317154464207</v>
      </c>
      <c r="Q364">
        <f t="shared" si="38"/>
        <v>0.38096753543022144</v>
      </c>
      <c r="R364">
        <f t="shared" si="39"/>
        <v>0.19884447144546447</v>
      </c>
      <c r="S364">
        <f t="shared" si="40"/>
        <v>0.47906046208349656</v>
      </c>
      <c r="T364">
        <f t="shared" si="41"/>
        <v>4.8161454636316874E-2</v>
      </c>
    </row>
    <row r="365" spans="2:20" x14ac:dyDescent="0.2">
      <c r="B365">
        <v>1655</v>
      </c>
      <c r="C365">
        <v>2.5889674186706499</v>
      </c>
      <c r="D365">
        <v>2.2637807369232199</v>
      </c>
      <c r="E365">
        <v>0.81654707789421099</v>
      </c>
      <c r="F365" s="13">
        <v>3.074982882</v>
      </c>
      <c r="G365">
        <v>2.87329859733582</v>
      </c>
      <c r="H365">
        <v>5.5577377319335897</v>
      </c>
      <c r="I365">
        <v>1.1956702709197999</v>
      </c>
      <c r="N365">
        <f t="shared" si="35"/>
        <v>8.8751643872087338E-2</v>
      </c>
      <c r="O365">
        <f t="shared" si="36"/>
        <v>0.28050966122507692</v>
      </c>
      <c r="P365">
        <f t="shared" si="37"/>
        <v>0.12314483747034183</v>
      </c>
      <c r="Q365">
        <f t="shared" si="38"/>
        <v>0.39961630648780305</v>
      </c>
      <c r="R365">
        <f t="shared" si="39"/>
        <v>0.20161374768821549</v>
      </c>
      <c r="S365">
        <f t="shared" si="40"/>
        <v>0.4925880997907191</v>
      </c>
      <c r="T365">
        <f t="shared" si="41"/>
        <v>4.523020456310798E-2</v>
      </c>
    </row>
    <row r="366" spans="2:20" x14ac:dyDescent="0.2">
      <c r="B366">
        <v>1657</v>
      </c>
      <c r="C366">
        <v>2.63270831108093</v>
      </c>
      <c r="D366">
        <v>2.3979792594909699</v>
      </c>
      <c r="E366">
        <v>0.85510098561644599</v>
      </c>
      <c r="F366" s="13">
        <v>3.2885944839999999</v>
      </c>
      <c r="G366">
        <v>2.8731233119964599</v>
      </c>
      <c r="H366">
        <v>5.6874508857727104</v>
      </c>
      <c r="I366">
        <v>1.12230058908463</v>
      </c>
      <c r="N366">
        <f t="shared" si="35"/>
        <v>9.0082161651840006E-2</v>
      </c>
      <c r="O366">
        <f t="shared" si="36"/>
        <v>0.28765355914229557</v>
      </c>
      <c r="P366">
        <f t="shared" si="37"/>
        <v>0.12707058587872336</v>
      </c>
      <c r="Q366">
        <f t="shared" si="38"/>
        <v>0.41487251858862295</v>
      </c>
      <c r="R366">
        <f t="shared" si="39"/>
        <v>0.20160815879924013</v>
      </c>
      <c r="S366">
        <f t="shared" si="40"/>
        <v>0.49801652002651997</v>
      </c>
      <c r="T366">
        <f t="shared" si="41"/>
        <v>4.2454752334474731E-2</v>
      </c>
    </row>
    <row r="367" spans="2:20" x14ac:dyDescent="0.2">
      <c r="B367">
        <v>1659</v>
      </c>
      <c r="C367">
        <v>2.66159610748291</v>
      </c>
      <c r="D367">
        <v>2.4609989643096899</v>
      </c>
      <c r="E367">
        <v>0.84607076011598104</v>
      </c>
      <c r="F367" s="13">
        <v>3.331220627</v>
      </c>
      <c r="G367">
        <v>2.85568752288818</v>
      </c>
      <c r="H367">
        <v>5.8078265190124503</v>
      </c>
      <c r="I367">
        <v>1.3265260219574</v>
      </c>
      <c r="N367">
        <f t="shared" si="35"/>
        <v>9.0960875473455508E-2</v>
      </c>
      <c r="O367">
        <f t="shared" si="36"/>
        <v>0.2910083377895113</v>
      </c>
      <c r="P367">
        <f t="shared" si="37"/>
        <v>0.12615108392729518</v>
      </c>
      <c r="Q367">
        <f t="shared" si="38"/>
        <v>0.4179168919866928</v>
      </c>
      <c r="R367">
        <f t="shared" si="39"/>
        <v>0.20105222702605374</v>
      </c>
      <c r="S367">
        <f t="shared" si="40"/>
        <v>0.50305417044234746</v>
      </c>
      <c r="T367">
        <f t="shared" si="41"/>
        <v>5.0180258546750747E-2</v>
      </c>
    </row>
    <row r="368" spans="2:20" x14ac:dyDescent="0.2">
      <c r="B368">
        <v>1661</v>
      </c>
      <c r="C368">
        <v>2.6317061424255401</v>
      </c>
      <c r="D368">
        <v>2.4918580532073999</v>
      </c>
      <c r="E368">
        <v>0.82806259952485595</v>
      </c>
      <c r="F368" s="13">
        <v>3.3436846729999998</v>
      </c>
      <c r="G368">
        <v>2.8917401313781701</v>
      </c>
      <c r="H368">
        <v>5.8792187690734901</v>
      </c>
      <c r="I368">
        <v>1.3457413196563699</v>
      </c>
      <c r="N368">
        <f t="shared" si="35"/>
        <v>9.0051677518096229E-2</v>
      </c>
      <c r="O368">
        <f t="shared" si="36"/>
        <v>0.29265108449555133</v>
      </c>
      <c r="P368">
        <f t="shared" si="37"/>
        <v>0.12431740449101547</v>
      </c>
      <c r="Q368">
        <f t="shared" si="38"/>
        <v>0.41880707832315583</v>
      </c>
      <c r="R368">
        <f t="shared" si="39"/>
        <v>0.20220174715625061</v>
      </c>
      <c r="S368">
        <f t="shared" si="40"/>
        <v>0.50604189468958438</v>
      </c>
      <c r="T368">
        <f t="shared" si="41"/>
        <v>5.0907141088537826E-2</v>
      </c>
    </row>
    <row r="369" spans="2:20" x14ac:dyDescent="0.2">
      <c r="B369">
        <v>1663</v>
      </c>
      <c r="C369">
        <v>2.6478844642639201</v>
      </c>
      <c r="D369">
        <v>2.4942986965179399</v>
      </c>
      <c r="E369">
        <v>0.85713484017178398</v>
      </c>
      <c r="F369" s="13">
        <v>3.4026013850000001</v>
      </c>
      <c r="G369">
        <v>2.8915681362152101</v>
      </c>
      <c r="H369">
        <v>6.0340227127075199</v>
      </c>
      <c r="I369">
        <v>1.3722204923629799</v>
      </c>
      <c r="N369">
        <f t="shared" si="35"/>
        <v>9.0543792417139002E-2</v>
      </c>
      <c r="O369">
        <f t="shared" si="36"/>
        <v>0.29278100922444716</v>
      </c>
      <c r="P369">
        <f t="shared" si="37"/>
        <v>0.12727768294761252</v>
      </c>
      <c r="Q369">
        <f t="shared" si="38"/>
        <v>0.42301492961091003</v>
      </c>
      <c r="R369">
        <f t="shared" si="39"/>
        <v>0.20219626317297174</v>
      </c>
      <c r="S369">
        <f t="shared" si="40"/>
        <v>0.51252034992201967</v>
      </c>
      <c r="T369">
        <f t="shared" si="41"/>
        <v>5.190880386071707E-2</v>
      </c>
    </row>
    <row r="370" spans="2:20" x14ac:dyDescent="0.2">
      <c r="B370">
        <v>1665</v>
      </c>
      <c r="C370">
        <v>2.6344801902770998</v>
      </c>
      <c r="D370">
        <v>2.55300703048706</v>
      </c>
      <c r="E370">
        <v>0.84913984623271999</v>
      </c>
      <c r="F370" s="13">
        <v>3.5112697119999998</v>
      </c>
      <c r="G370">
        <v>2.8836561203002899</v>
      </c>
      <c r="H370">
        <v>6.1273190498352097</v>
      </c>
      <c r="I370">
        <v>1.3677156567573501</v>
      </c>
      <c r="N370">
        <f t="shared" si="35"/>
        <v>9.0136058969525368E-2</v>
      </c>
      <c r="O370">
        <f t="shared" si="36"/>
        <v>0.29590627719864293</v>
      </c>
      <c r="P370">
        <f t="shared" si="37"/>
        <v>0.1264635933627791</v>
      </c>
      <c r="Q370">
        <f t="shared" si="38"/>
        <v>0.43077605789154177</v>
      </c>
      <c r="R370">
        <f t="shared" si="39"/>
        <v>0.20194399234027555</v>
      </c>
      <c r="S370">
        <f t="shared" si="40"/>
        <v>0.5164247475054613</v>
      </c>
      <c r="T370">
        <f t="shared" si="41"/>
        <v>5.1738393471731592E-2</v>
      </c>
    </row>
    <row r="371" spans="2:20" x14ac:dyDescent="0.2">
      <c r="B371">
        <v>1667</v>
      </c>
      <c r="C371">
        <v>2.6381828308105502</v>
      </c>
      <c r="D371">
        <v>2.5435883045196501</v>
      </c>
      <c r="E371">
        <v>0.83325297851115498</v>
      </c>
      <c r="F371" s="13">
        <v>3.5698863030000001</v>
      </c>
      <c r="G371">
        <v>2.9186422348022498</v>
      </c>
      <c r="H371">
        <v>6.1523547172546396</v>
      </c>
      <c r="I371">
        <v>1.36085875034332</v>
      </c>
      <c r="N371">
        <f t="shared" si="35"/>
        <v>9.0248686508432888E-2</v>
      </c>
      <c r="O371">
        <f t="shared" si="36"/>
        <v>0.29540488258166819</v>
      </c>
      <c r="P371">
        <f t="shared" si="37"/>
        <v>0.1248459143943737</v>
      </c>
      <c r="Q371">
        <f t="shared" si="38"/>
        <v>0.43496247443703923</v>
      </c>
      <c r="R371">
        <f t="shared" si="39"/>
        <v>0.2030595078211746</v>
      </c>
      <c r="S371">
        <f t="shared" si="40"/>
        <v>0.51747247566266097</v>
      </c>
      <c r="T371">
        <f t="shared" si="41"/>
        <v>5.1479008181890704E-2</v>
      </c>
    </row>
    <row r="372" spans="2:20" x14ac:dyDescent="0.2">
      <c r="B372">
        <v>1669</v>
      </c>
      <c r="C372">
        <v>2.6318452835083002</v>
      </c>
      <c r="D372">
        <v>2.5854051589965801</v>
      </c>
      <c r="E372">
        <v>0.81922501288354399</v>
      </c>
      <c r="F372" s="13">
        <v>3.5082968710000002</v>
      </c>
      <c r="G372">
        <v>2.9244597434997601</v>
      </c>
      <c r="H372">
        <v>6.2277354240417502</v>
      </c>
      <c r="I372">
        <v>1.36112979650497</v>
      </c>
      <c r="N372">
        <f t="shared" si="35"/>
        <v>9.0055909934819003E-2</v>
      </c>
      <c r="O372">
        <f t="shared" si="36"/>
        <v>0.29763095283852636</v>
      </c>
      <c r="P372">
        <f t="shared" si="37"/>
        <v>0.12341751797520439</v>
      </c>
      <c r="Q372">
        <f t="shared" si="38"/>
        <v>0.43056373659244862</v>
      </c>
      <c r="R372">
        <f t="shared" si="39"/>
        <v>0.20324499629580856</v>
      </c>
      <c r="S372">
        <f t="shared" si="40"/>
        <v>0.52062711451000276</v>
      </c>
      <c r="T372">
        <f t="shared" si="41"/>
        <v>5.1489261404401659E-2</v>
      </c>
    </row>
    <row r="373" spans="2:20" x14ac:dyDescent="0.2">
      <c r="B373">
        <v>1671</v>
      </c>
      <c r="C373">
        <v>2.5581772804260301</v>
      </c>
      <c r="D373">
        <v>2.6104887008666999</v>
      </c>
      <c r="E373">
        <v>0.82655525058507895</v>
      </c>
      <c r="F373" s="13">
        <v>3.6033067700000001</v>
      </c>
      <c r="G373">
        <v>2.92786436080933</v>
      </c>
      <c r="H373">
        <v>6.3642595291137702</v>
      </c>
      <c r="I373">
        <v>1.32002680301666</v>
      </c>
      <c r="N373">
        <f t="shared" si="35"/>
        <v>8.7815064298190013E-2</v>
      </c>
      <c r="O373">
        <f t="shared" si="36"/>
        <v>0.29896624520310472</v>
      </c>
      <c r="P373">
        <f t="shared" si="37"/>
        <v>0.12416391881211003</v>
      </c>
      <c r="Q373">
        <f t="shared" si="38"/>
        <v>0.4373493753744726</v>
      </c>
      <c r="R373">
        <f t="shared" si="39"/>
        <v>0.20335355088580592</v>
      </c>
      <c r="S373">
        <f t="shared" si="40"/>
        <v>0.52634056910356497</v>
      </c>
      <c r="T373">
        <f t="shared" si="41"/>
        <v>4.9934403975185664E-2</v>
      </c>
    </row>
    <row r="374" spans="2:20" x14ac:dyDescent="0.2">
      <c r="B374">
        <v>1673</v>
      </c>
      <c r="C374">
        <v>2.5091600418090798</v>
      </c>
      <c r="D374">
        <v>2.6357890129089401</v>
      </c>
      <c r="E374">
        <v>0.85147377178072903</v>
      </c>
      <c r="F374" s="13">
        <v>3.609516191</v>
      </c>
      <c r="G374">
        <v>2.8479109287262001</v>
      </c>
      <c r="H374">
        <v>6.4007329940795898</v>
      </c>
      <c r="I374">
        <v>1.33763941526413</v>
      </c>
      <c r="N374">
        <f t="shared" si="35"/>
        <v>8.6324049737204422E-2</v>
      </c>
      <c r="O374">
        <f t="shared" si="36"/>
        <v>0.30031307706865146</v>
      </c>
      <c r="P374">
        <f t="shared" si="37"/>
        <v>0.12670124513523726</v>
      </c>
      <c r="Q374">
        <f t="shared" si="38"/>
        <v>0.43779285430030029</v>
      </c>
      <c r="R374">
        <f t="shared" si="39"/>
        <v>0.20080427405099927</v>
      </c>
      <c r="S374">
        <f t="shared" si="40"/>
        <v>0.52786696245250619</v>
      </c>
      <c r="T374">
        <f t="shared" si="41"/>
        <v>5.060065960955127E-2</v>
      </c>
    </row>
    <row r="375" spans="2:20" x14ac:dyDescent="0.2">
      <c r="B375">
        <v>1675</v>
      </c>
      <c r="C375">
        <v>2.4797587871551499</v>
      </c>
      <c r="D375">
        <v>2.6151771545410201</v>
      </c>
      <c r="E375">
        <v>0.84062504917383196</v>
      </c>
      <c r="F375" s="13">
        <v>3.596899939</v>
      </c>
      <c r="G375">
        <v>2.8750054836273198</v>
      </c>
      <c r="H375">
        <v>6.4590085983276397</v>
      </c>
      <c r="I375">
        <v>1.3359146833419799</v>
      </c>
      <c r="N375">
        <f t="shared" si="35"/>
        <v>8.5429717456619869E-2</v>
      </c>
      <c r="O375">
        <f t="shared" si="36"/>
        <v>0.29921582942950364</v>
      </c>
      <c r="P375">
        <f t="shared" si="37"/>
        <v>0.12559657486902617</v>
      </c>
      <c r="Q375">
        <f t="shared" si="38"/>
        <v>0.43689179736038092</v>
      </c>
      <c r="R375">
        <f t="shared" si="39"/>
        <v>0.20166817093896533</v>
      </c>
      <c r="S375">
        <f t="shared" si="40"/>
        <v>0.53030576268201868</v>
      </c>
      <c r="T375">
        <f t="shared" si="41"/>
        <v>5.0535415888474759E-2</v>
      </c>
    </row>
    <row r="376" spans="2:20" x14ac:dyDescent="0.2">
      <c r="B376">
        <v>1677</v>
      </c>
      <c r="C376">
        <v>2.5107351779937699</v>
      </c>
      <c r="D376">
        <v>2.70526900291443</v>
      </c>
      <c r="E376">
        <v>0.84149095565080601</v>
      </c>
      <c r="F376" s="13">
        <v>3.7332709309999998</v>
      </c>
      <c r="G376">
        <v>2.9049505233764599</v>
      </c>
      <c r="H376">
        <v>6.4986102104186996</v>
      </c>
      <c r="I376">
        <v>1.27442333698273</v>
      </c>
      <c r="N376">
        <f t="shared" si="35"/>
        <v>8.6371962493066931E-2</v>
      </c>
      <c r="O376">
        <f t="shared" si="36"/>
        <v>0.30401176127464191</v>
      </c>
      <c r="P376">
        <f t="shared" si="37"/>
        <v>0.12568474572315277</v>
      </c>
      <c r="Q376">
        <f t="shared" si="38"/>
        <v>0.44663145924612069</v>
      </c>
      <c r="R376">
        <f t="shared" si="39"/>
        <v>0.20262295416916459</v>
      </c>
      <c r="S376">
        <f t="shared" si="40"/>
        <v>0.53196306717337405</v>
      </c>
      <c r="T376">
        <f t="shared" si="41"/>
        <v>4.8209301204239746E-2</v>
      </c>
    </row>
    <row r="377" spans="2:20" x14ac:dyDescent="0.2">
      <c r="B377">
        <v>1679</v>
      </c>
      <c r="C377">
        <v>2.47847518920898</v>
      </c>
      <c r="D377">
        <v>2.78157296180725</v>
      </c>
      <c r="E377">
        <v>0.82009650468826301</v>
      </c>
      <c r="F377" s="13">
        <v>3.7290428640000002</v>
      </c>
      <c r="G377">
        <v>2.9310398578643801</v>
      </c>
      <c r="H377">
        <v>6.5058785438537603</v>
      </c>
      <c r="I377">
        <v>1.34938726425171</v>
      </c>
      <c r="N377">
        <f t="shared" si="35"/>
        <v>8.5390672759648123E-2</v>
      </c>
      <c r="O377">
        <f t="shared" si="36"/>
        <v>0.30807371130642969</v>
      </c>
      <c r="P377">
        <f t="shared" si="37"/>
        <v>0.12350625755485847</v>
      </c>
      <c r="Q377">
        <f t="shared" si="38"/>
        <v>0.44632948928604116</v>
      </c>
      <c r="R377">
        <f t="shared" si="39"/>
        <v>0.20345480008637834</v>
      </c>
      <c r="S377">
        <f t="shared" si="40"/>
        <v>0.53226724271094805</v>
      </c>
      <c r="T377">
        <f t="shared" si="41"/>
        <v>5.1045061068555497E-2</v>
      </c>
    </row>
    <row r="378" spans="2:20" x14ac:dyDescent="0.2">
      <c r="B378">
        <v>1681</v>
      </c>
      <c r="C378">
        <v>2.4194523811340298</v>
      </c>
      <c r="D378">
        <v>2.73090376853943</v>
      </c>
      <c r="E378">
        <v>0.81621456760913103</v>
      </c>
      <c r="F378" s="13">
        <v>3.5920144559999998</v>
      </c>
      <c r="G378">
        <v>2.9133849143981898</v>
      </c>
      <c r="H378">
        <v>6.50857744216919</v>
      </c>
      <c r="I378">
        <v>1.36975622177124</v>
      </c>
      <c r="N378">
        <f t="shared" si="35"/>
        <v>8.3595307113742967E-2</v>
      </c>
      <c r="O378">
        <f t="shared" si="36"/>
        <v>0.3053763973768342</v>
      </c>
      <c r="P378">
        <f t="shared" si="37"/>
        <v>0.123110979638554</v>
      </c>
      <c r="Q378">
        <f t="shared" si="38"/>
        <v>0.43654287452957441</v>
      </c>
      <c r="R378">
        <f t="shared" si="39"/>
        <v>0.20289188068160049</v>
      </c>
      <c r="S378">
        <f t="shared" si="40"/>
        <v>0.53238019003969783</v>
      </c>
      <c r="T378">
        <f t="shared" si="41"/>
        <v>5.1815584629902288E-2</v>
      </c>
    </row>
    <row r="379" spans="2:20" x14ac:dyDescent="0.2">
      <c r="B379">
        <v>1683</v>
      </c>
      <c r="C379">
        <v>2.3321812629699701</v>
      </c>
      <c r="D379">
        <v>2.6948980808258098</v>
      </c>
      <c r="E379">
        <v>0.79958710819482803</v>
      </c>
      <c r="F379" s="13">
        <v>3.4003872390000001</v>
      </c>
      <c r="G379">
        <v>2.7650751590728802</v>
      </c>
      <c r="H379">
        <v>6.4719413757324196</v>
      </c>
      <c r="I379">
        <v>1.31543201208115</v>
      </c>
      <c r="N379">
        <f t="shared" si="35"/>
        <v>8.0940679647823061E-2</v>
      </c>
      <c r="O379">
        <f t="shared" si="36"/>
        <v>0.30345967763548615</v>
      </c>
      <c r="P379">
        <f t="shared" si="37"/>
        <v>0.12141788998337794</v>
      </c>
      <c r="Q379">
        <f t="shared" si="38"/>
        <v>0.42285679456261716</v>
      </c>
      <c r="R379">
        <f t="shared" si="39"/>
        <v>0.19816309526519016</v>
      </c>
      <c r="S379">
        <f t="shared" si="40"/>
        <v>0.53084699191352969</v>
      </c>
      <c r="T379">
        <f t="shared" si="41"/>
        <v>4.9760590726673631E-2</v>
      </c>
    </row>
    <row r="380" spans="2:20" x14ac:dyDescent="0.2">
      <c r="B380">
        <v>1685</v>
      </c>
      <c r="C380">
        <v>2.3257638931274398</v>
      </c>
      <c r="D380">
        <v>2.71356296539307</v>
      </c>
      <c r="E380">
        <v>0.79614651892334198</v>
      </c>
      <c r="F380" s="13">
        <v>3.476059389</v>
      </c>
      <c r="G380">
        <v>2.8960785388946499</v>
      </c>
      <c r="H380">
        <v>6.5877214431762701</v>
      </c>
      <c r="I380">
        <v>1.3296842455864</v>
      </c>
      <c r="N380">
        <f t="shared" si="35"/>
        <v>8.0745475018830892E-2</v>
      </c>
      <c r="O380">
        <f t="shared" si="36"/>
        <v>0.30445328045192444</v>
      </c>
      <c r="P380">
        <f t="shared" si="37"/>
        <v>0.12106755227043475</v>
      </c>
      <c r="Q380">
        <f t="shared" si="38"/>
        <v>0.42826132483960588</v>
      </c>
      <c r="R380">
        <f t="shared" si="39"/>
        <v>0.20234007519913205</v>
      </c>
      <c r="S380">
        <f t="shared" si="40"/>
        <v>0.53569232056689131</v>
      </c>
      <c r="T380">
        <f t="shared" si="41"/>
        <v>5.0299728859152022E-2</v>
      </c>
    </row>
    <row r="381" spans="2:20" x14ac:dyDescent="0.2">
      <c r="B381">
        <v>1687</v>
      </c>
      <c r="C381">
        <v>2.3101796150207501</v>
      </c>
      <c r="D381">
        <v>2.7383738040924102</v>
      </c>
      <c r="E381">
        <v>0.84457875378429903</v>
      </c>
      <c r="F381" s="13">
        <v>3.638568115</v>
      </c>
      <c r="G381">
        <v>2.9799329280853302</v>
      </c>
      <c r="H381">
        <v>6.5597045898437498</v>
      </c>
      <c r="I381">
        <v>1.2886011004447899</v>
      </c>
      <c r="N381">
        <f t="shared" si="35"/>
        <v>8.0271429841355546E-2</v>
      </c>
      <c r="O381">
        <f t="shared" si="36"/>
        <v>0.30577405578921757</v>
      </c>
      <c r="P381">
        <f t="shared" si="37"/>
        <v>0.12599916050816751</v>
      </c>
      <c r="Q381">
        <f t="shared" si="38"/>
        <v>0.43986775243472326</v>
      </c>
      <c r="R381">
        <f t="shared" si="39"/>
        <v>0.20501373218034086</v>
      </c>
      <c r="S381">
        <f t="shared" si="40"/>
        <v>0.53451983150874727</v>
      </c>
      <c r="T381">
        <f t="shared" si="41"/>
        <v>4.8745622259661676E-2</v>
      </c>
    </row>
    <row r="382" spans="2:20" x14ac:dyDescent="0.2">
      <c r="B382">
        <v>1689</v>
      </c>
      <c r="C382">
        <v>2.32543983459473</v>
      </c>
      <c r="D382">
        <v>2.7100684642791699</v>
      </c>
      <c r="E382">
        <v>0.84133368395268904</v>
      </c>
      <c r="F382" s="13">
        <v>3.6235094550000002</v>
      </c>
      <c r="G382">
        <v>2.9490700244903598</v>
      </c>
      <c r="H382">
        <v>6.5548983573913597</v>
      </c>
      <c r="I382">
        <v>1.2321076393127399</v>
      </c>
      <c r="N382">
        <f t="shared" si="35"/>
        <v>8.0735617752193373E-2</v>
      </c>
      <c r="O382">
        <f t="shared" si="36"/>
        <v>0.30426725486273287</v>
      </c>
      <c r="P382">
        <f t="shared" si="37"/>
        <v>0.12566873154573102</v>
      </c>
      <c r="Q382">
        <f t="shared" si="38"/>
        <v>0.43879225789808224</v>
      </c>
      <c r="R382">
        <f t="shared" si="39"/>
        <v>0.20402968330164201</v>
      </c>
      <c r="S382">
        <f t="shared" si="40"/>
        <v>0.5343186934689238</v>
      </c>
      <c r="T382">
        <f t="shared" si="41"/>
        <v>4.6608569206134674E-2</v>
      </c>
    </row>
    <row r="383" spans="2:20" x14ac:dyDescent="0.2">
      <c r="B383">
        <v>1691</v>
      </c>
      <c r="C383">
        <v>2.3250294208526601</v>
      </c>
      <c r="D383">
        <v>2.73929691314697</v>
      </c>
      <c r="E383">
        <v>0.83482427671551696</v>
      </c>
      <c r="F383" s="13">
        <v>3.5973095420000001</v>
      </c>
      <c r="G383">
        <v>2.8865238666534401</v>
      </c>
      <c r="H383">
        <v>6.5772637367248503</v>
      </c>
      <c r="I383">
        <v>1.23836017847061</v>
      </c>
      <c r="N383">
        <f t="shared" si="35"/>
        <v>8.0723133718357098E-2</v>
      </c>
      <c r="O383">
        <f t="shared" si="36"/>
        <v>0.3058231963961785</v>
      </c>
      <c r="P383">
        <f t="shared" si="37"/>
        <v>0.12500591170176231</v>
      </c>
      <c r="Q383">
        <f t="shared" si="38"/>
        <v>0.43692105134371623</v>
      </c>
      <c r="R383">
        <f t="shared" si="39"/>
        <v>0.20203542905732086</v>
      </c>
      <c r="S383">
        <f t="shared" si="40"/>
        <v>0.53525467161887974</v>
      </c>
      <c r="T383">
        <f t="shared" si="41"/>
        <v>4.6845092294503975E-2</v>
      </c>
    </row>
    <row r="384" spans="2:20" x14ac:dyDescent="0.2">
      <c r="B384">
        <v>1693</v>
      </c>
      <c r="C384">
        <v>2.2979816913604698</v>
      </c>
      <c r="D384">
        <v>2.7420997142791701</v>
      </c>
      <c r="E384">
        <v>0.82343290150165604</v>
      </c>
      <c r="F384" s="13">
        <v>3.5830670360000001</v>
      </c>
      <c r="G384">
        <v>2.7850924491882298</v>
      </c>
      <c r="H384">
        <v>6.5155686378478999</v>
      </c>
      <c r="I384">
        <v>1.26354397535324</v>
      </c>
      <c r="N384">
        <f t="shared" si="35"/>
        <v>7.9900391359702297E-2</v>
      </c>
      <c r="O384">
        <f t="shared" si="36"/>
        <v>0.30597240016375793</v>
      </c>
      <c r="P384">
        <f t="shared" si="37"/>
        <v>0.12384598587952717</v>
      </c>
      <c r="Q384">
        <f t="shared" si="38"/>
        <v>0.43590384679888439</v>
      </c>
      <c r="R384">
        <f t="shared" si="39"/>
        <v>0.19880133695985075</v>
      </c>
      <c r="S384">
        <f t="shared" si="40"/>
        <v>0.53267276752294856</v>
      </c>
      <c r="T384">
        <f t="shared" si="41"/>
        <v>4.7797753167974431E-2</v>
      </c>
    </row>
    <row r="385" spans="2:20" x14ac:dyDescent="0.2">
      <c r="B385">
        <v>1695</v>
      </c>
      <c r="C385">
        <v>2.2877602100372298</v>
      </c>
      <c r="D385">
        <v>2.6531132221221898</v>
      </c>
      <c r="E385">
        <v>0.84780490789562502</v>
      </c>
      <c r="F385" s="13">
        <v>3.4874967579999998</v>
      </c>
      <c r="G385">
        <v>2.7038117408752398</v>
      </c>
      <c r="H385">
        <v>6.4518398284912104</v>
      </c>
      <c r="I385">
        <v>1.2177806019783</v>
      </c>
      <c r="N385">
        <f t="shared" si="35"/>
        <v>7.9589472631560743E-2</v>
      </c>
      <c r="O385">
        <f t="shared" si="36"/>
        <v>0.30123531063536985</v>
      </c>
      <c r="P385">
        <f t="shared" si="37"/>
        <v>0.12632766337897836</v>
      </c>
      <c r="Q385">
        <f t="shared" si="38"/>
        <v>0.4290781855611473</v>
      </c>
      <c r="R385">
        <f t="shared" si="39"/>
        <v>0.1962097405590415</v>
      </c>
      <c r="S385">
        <f t="shared" si="40"/>
        <v>0.53000575382328619</v>
      </c>
      <c r="T385">
        <f t="shared" si="41"/>
        <v>4.6066601370034259E-2</v>
      </c>
    </row>
    <row r="386" spans="2:20" x14ac:dyDescent="0.2">
      <c r="B386">
        <v>1697</v>
      </c>
      <c r="C386">
        <v>2.2235508441924998</v>
      </c>
      <c r="D386">
        <v>2.5610939502716099</v>
      </c>
      <c r="E386">
        <v>0.80767410397529604</v>
      </c>
      <c r="F386" s="13">
        <v>3.4192555429999998</v>
      </c>
      <c r="G386">
        <v>2.6432158470153801</v>
      </c>
      <c r="H386">
        <v>6.3471797943115202</v>
      </c>
      <c r="I386">
        <v>1.16205079555511</v>
      </c>
      <c r="N386">
        <f t="shared" si="35"/>
        <v>7.7636341404110562E-2</v>
      </c>
      <c r="O386">
        <f t="shared" si="36"/>
        <v>0.29633677470562103</v>
      </c>
      <c r="P386">
        <f t="shared" si="37"/>
        <v>0.12224134764796768</v>
      </c>
      <c r="Q386">
        <f t="shared" si="38"/>
        <v>0.42420437514865078</v>
      </c>
      <c r="R386">
        <f t="shared" si="39"/>
        <v>0.19427766954624581</v>
      </c>
      <c r="S386">
        <f t="shared" si="40"/>
        <v>0.52562579211080407</v>
      </c>
      <c r="T386">
        <f t="shared" si="41"/>
        <v>4.3958436095636155E-2</v>
      </c>
    </row>
    <row r="387" spans="2:20" x14ac:dyDescent="0.2">
      <c r="B387">
        <v>1699</v>
      </c>
      <c r="C387">
        <v>2.13025619983673</v>
      </c>
      <c r="D387">
        <v>2.49507441520691</v>
      </c>
      <c r="E387">
        <v>0.74939039647579198</v>
      </c>
      <c r="F387" s="13">
        <v>3.367100143</v>
      </c>
      <c r="G387">
        <v>2.56542711257935</v>
      </c>
      <c r="H387">
        <v>6.2812552452087402</v>
      </c>
      <c r="I387">
        <v>1.1226787805557299</v>
      </c>
      <c r="N387">
        <f t="shared" si="35"/>
        <v>7.4798489311228247E-2</v>
      </c>
      <c r="O387">
        <f t="shared" si="36"/>
        <v>0.2928223036814982</v>
      </c>
      <c r="P387">
        <f t="shared" si="37"/>
        <v>0.11630661403810344</v>
      </c>
      <c r="Q387">
        <f t="shared" si="38"/>
        <v>0.42047941902663688</v>
      </c>
      <c r="R387">
        <f t="shared" si="39"/>
        <v>0.19179741305768735</v>
      </c>
      <c r="S387">
        <f t="shared" si="40"/>
        <v>0.52286688797661407</v>
      </c>
      <c r="T387">
        <f t="shared" si="41"/>
        <v>4.2469058684659979E-2</v>
      </c>
    </row>
    <row r="388" spans="2:20" x14ac:dyDescent="0.2">
      <c r="B388">
        <v>1701</v>
      </c>
      <c r="C388">
        <v>2.1652528285980202</v>
      </c>
      <c r="D388">
        <v>2.4602643013000498</v>
      </c>
      <c r="E388">
        <v>0.82334160208702101</v>
      </c>
      <c r="F388" s="13">
        <v>3.385426426</v>
      </c>
      <c r="G388">
        <v>2.7439059257507301</v>
      </c>
      <c r="H388">
        <v>6.0895131111145</v>
      </c>
      <c r="I388">
        <v>1.0792986035347001</v>
      </c>
      <c r="N388">
        <f t="shared" si="35"/>
        <v>7.5863022617077225E-2</v>
      </c>
      <c r="O388">
        <f t="shared" si="36"/>
        <v>0.29096922888246818</v>
      </c>
      <c r="P388">
        <f t="shared" si="37"/>
        <v>0.12383668932431746</v>
      </c>
      <c r="Q388">
        <f t="shared" si="38"/>
        <v>0.42178828829146103</v>
      </c>
      <c r="R388">
        <f t="shared" si="39"/>
        <v>0.19748812441387431</v>
      </c>
      <c r="S388">
        <f t="shared" si="40"/>
        <v>0.51484259090290507</v>
      </c>
      <c r="T388">
        <f t="shared" si="41"/>
        <v>4.0828059214851616E-2</v>
      </c>
    </row>
    <row r="389" spans="2:20" x14ac:dyDescent="0.2">
      <c r="B389">
        <v>1703</v>
      </c>
      <c r="C389">
        <v>2.1922811508178701</v>
      </c>
      <c r="D389">
        <v>2.4312612056732199</v>
      </c>
      <c r="E389">
        <v>0.85204843357205395</v>
      </c>
      <c r="F389" s="13">
        <v>3.336111212</v>
      </c>
      <c r="G389">
        <v>2.8662807941436799</v>
      </c>
      <c r="H389">
        <v>5.8826987266540502</v>
      </c>
      <c r="I389">
        <v>0.957084488868713</v>
      </c>
      <c r="N389">
        <f t="shared" si="35"/>
        <v>7.6685174642076664E-2</v>
      </c>
      <c r="O389">
        <f t="shared" si="36"/>
        <v>0.28942528375940024</v>
      </c>
      <c r="P389">
        <f t="shared" si="37"/>
        <v>0.12675976002376438</v>
      </c>
      <c r="Q389">
        <f t="shared" si="38"/>
        <v>0.41826617920404674</v>
      </c>
      <c r="R389">
        <f t="shared" si="39"/>
        <v>0.201389988399304</v>
      </c>
      <c r="S389">
        <f t="shared" si="40"/>
        <v>0.50618752889545271</v>
      </c>
      <c r="T389">
        <f t="shared" si="41"/>
        <v>3.6204903867358237E-2</v>
      </c>
    </row>
    <row r="390" spans="2:20" x14ac:dyDescent="0.2">
      <c r="B390">
        <v>1705</v>
      </c>
      <c r="C390">
        <v>2.2305672645568801</v>
      </c>
      <c r="D390">
        <v>2.3866385936737098</v>
      </c>
      <c r="E390">
        <v>0.82902490962296704</v>
      </c>
      <c r="F390" s="13">
        <v>3.2872766969999998</v>
      </c>
      <c r="G390">
        <v>2.8770053386688201</v>
      </c>
      <c r="H390">
        <v>5.7269001007080096</v>
      </c>
      <c r="I390">
        <v>1.0279757976532</v>
      </c>
      <c r="N390">
        <f t="shared" ref="N390:N453" si="42">C390/$L$8+0.01</f>
        <v>7.7849768052050475E-2</v>
      </c>
      <c r="O390">
        <f t="shared" ref="O390:O453" si="43">D390/$L$9+0.16</f>
        <v>0.28704985235505509</v>
      </c>
      <c r="P390">
        <f t="shared" ref="P390:P453" si="44">E390/$L$10+0.04</f>
        <v>0.12441539163574919</v>
      </c>
      <c r="Q390">
        <f t="shared" ref="Q390:Q453" si="45">F390/$L$11+0.18</f>
        <v>0.4147784018000803</v>
      </c>
      <c r="R390">
        <f t="shared" ref="R390:R453" si="46">G390/$L$12+0.11</f>
        <v>0.2017319353577956</v>
      </c>
      <c r="S390">
        <f t="shared" ref="S390:S453" si="47">H390/$L$13+0.26</f>
        <v>0.4996674467853191</v>
      </c>
      <c r="T390">
        <f t="shared" ref="T390:T453" si="48">I390/$L$14</f>
        <v>3.8886603392765166E-2</v>
      </c>
    </row>
    <row r="391" spans="2:20" x14ac:dyDescent="0.2">
      <c r="B391">
        <v>1707</v>
      </c>
      <c r="C391">
        <v>2.2812872886657698</v>
      </c>
      <c r="D391">
        <v>2.3715111017227199</v>
      </c>
      <c r="E391">
        <v>0.86795776002109004</v>
      </c>
      <c r="F391" s="13">
        <v>3.3716735839999998</v>
      </c>
      <c r="G391">
        <v>3.0504498004913301</v>
      </c>
      <c r="H391">
        <v>5.6338098526001001</v>
      </c>
      <c r="I391">
        <v>1.03081372976303</v>
      </c>
      <c r="N391">
        <f t="shared" si="42"/>
        <v>7.9392578226872179E-2</v>
      </c>
      <c r="O391">
        <f t="shared" si="43"/>
        <v>0.2862445584056611</v>
      </c>
      <c r="P391">
        <f t="shared" si="44"/>
        <v>0.12837972585020394</v>
      </c>
      <c r="Q391">
        <f t="shared" si="45"/>
        <v>0.42080605571337726</v>
      </c>
      <c r="R391">
        <f t="shared" si="46"/>
        <v>0.20726212883579306</v>
      </c>
      <c r="S391">
        <f t="shared" si="47"/>
        <v>0.49577167390779392</v>
      </c>
      <c r="T391">
        <f t="shared" si="48"/>
        <v>3.8993957613226861E-2</v>
      </c>
    </row>
    <row r="392" spans="2:20" x14ac:dyDescent="0.2">
      <c r="B392">
        <v>1709</v>
      </c>
      <c r="C392">
        <v>2.3248244285583501</v>
      </c>
      <c r="D392">
        <v>2.26586172580719</v>
      </c>
      <c r="E392">
        <v>0.890756886452436</v>
      </c>
      <c r="F392" s="13">
        <v>3.3198585509999998</v>
      </c>
      <c r="G392">
        <v>3.1344703674316401</v>
      </c>
      <c r="H392">
        <v>5.5481921195983901</v>
      </c>
      <c r="I392">
        <v>1.0632873415947</v>
      </c>
      <c r="N392">
        <f t="shared" si="42"/>
        <v>8.0716898228469655E-2</v>
      </c>
      <c r="O392">
        <f t="shared" si="43"/>
        <v>0.28062044018053411</v>
      </c>
      <c r="P392">
        <f t="shared" si="44"/>
        <v>0.13070124497986474</v>
      </c>
      <c r="Q392">
        <f t="shared" si="45"/>
        <v>0.4171054087164085</v>
      </c>
      <c r="R392">
        <f t="shared" si="46"/>
        <v>0.20994108431484687</v>
      </c>
      <c r="S392">
        <f t="shared" si="47"/>
        <v>0.492188621452325</v>
      </c>
      <c r="T392">
        <f t="shared" si="48"/>
        <v>4.0222379981644109E-2</v>
      </c>
    </row>
    <row r="393" spans="2:20" x14ac:dyDescent="0.2">
      <c r="B393">
        <v>1711</v>
      </c>
      <c r="C393">
        <v>2.4039555549621601</v>
      </c>
      <c r="D393">
        <v>2.2681595563888499</v>
      </c>
      <c r="E393">
        <v>0.90414224942214805</v>
      </c>
      <c r="F393" s="13">
        <v>3.2335107330000001</v>
      </c>
      <c r="G393">
        <v>3.1981903553009001</v>
      </c>
      <c r="H393">
        <v>5.4188113212585396</v>
      </c>
      <c r="I393">
        <v>1.1069288730621301</v>
      </c>
      <c r="N393">
        <f t="shared" si="42"/>
        <v>8.3123922063844821E-2</v>
      </c>
      <c r="O393">
        <f t="shared" si="43"/>
        <v>0.28074276244453783</v>
      </c>
      <c r="P393">
        <f t="shared" si="44"/>
        <v>0.13206420843748723</v>
      </c>
      <c r="Q393">
        <f t="shared" si="45"/>
        <v>0.41093841865820468</v>
      </c>
      <c r="R393">
        <f t="shared" si="46"/>
        <v>0.21197276556675826</v>
      </c>
      <c r="S393">
        <f t="shared" si="47"/>
        <v>0.48677411010135441</v>
      </c>
      <c r="T393">
        <f t="shared" si="48"/>
        <v>4.187326605260136E-2</v>
      </c>
    </row>
    <row r="394" spans="2:20" x14ac:dyDescent="0.2">
      <c r="B394">
        <v>1713</v>
      </c>
      <c r="C394">
        <v>2.4608493804931602</v>
      </c>
      <c r="D394">
        <v>2.2464149951934802</v>
      </c>
      <c r="E394">
        <v>0.88727232590317695</v>
      </c>
      <c r="F394" s="13">
        <v>3.2282534119999999</v>
      </c>
      <c r="G394">
        <v>3.1592643737792998</v>
      </c>
      <c r="H394">
        <v>5.2950444698333703</v>
      </c>
      <c r="I394">
        <v>1.1181474328041101</v>
      </c>
      <c r="N394">
        <f t="shared" si="42"/>
        <v>8.4854527962716503E-2</v>
      </c>
      <c r="O394">
        <f t="shared" si="43"/>
        <v>0.27958521672449455</v>
      </c>
      <c r="P394">
        <f t="shared" si="44"/>
        <v>0.13034642989526377</v>
      </c>
      <c r="Q394">
        <f t="shared" si="45"/>
        <v>0.41056293903300106</v>
      </c>
      <c r="R394">
        <f t="shared" si="46"/>
        <v>0.21073162931557204</v>
      </c>
      <c r="S394">
        <f t="shared" si="47"/>
        <v>0.48159453917186307</v>
      </c>
      <c r="T394">
        <f t="shared" si="48"/>
        <v>4.2297645385578217E-2</v>
      </c>
    </row>
    <row r="395" spans="2:20" x14ac:dyDescent="0.2">
      <c r="B395">
        <v>1715</v>
      </c>
      <c r="C395">
        <v>2.50901589393616</v>
      </c>
      <c r="D395">
        <v>2.14298686981201</v>
      </c>
      <c r="E395">
        <v>0.846858210861683</v>
      </c>
      <c r="F395" s="13">
        <v>3.208676815</v>
      </c>
      <c r="G395">
        <v>3.1731772899627702</v>
      </c>
      <c r="H395">
        <v>5.1360106468200701</v>
      </c>
      <c r="I395">
        <v>1.0914295196533199</v>
      </c>
      <c r="N395">
        <f t="shared" si="42"/>
        <v>8.631966502310133E-2</v>
      </c>
      <c r="O395">
        <f t="shared" si="43"/>
        <v>0.27407934411608714</v>
      </c>
      <c r="P395">
        <f t="shared" si="44"/>
        <v>0.12623126603318938</v>
      </c>
      <c r="Q395">
        <f t="shared" si="45"/>
        <v>0.40916477192387435</v>
      </c>
      <c r="R395">
        <f t="shared" si="46"/>
        <v>0.21117523597518673</v>
      </c>
      <c r="S395">
        <f t="shared" si="47"/>
        <v>0.47493906594134627</v>
      </c>
      <c r="T395">
        <f t="shared" si="48"/>
        <v>4.1286951462093817E-2</v>
      </c>
    </row>
    <row r="396" spans="2:20" x14ac:dyDescent="0.2">
      <c r="B396">
        <v>1717</v>
      </c>
      <c r="C396">
        <v>2.45891604423523</v>
      </c>
      <c r="D396">
        <v>1.9259722471237199</v>
      </c>
      <c r="E396">
        <v>0.87561274543404599</v>
      </c>
      <c r="F396" s="13">
        <v>3.1283384320000001</v>
      </c>
      <c r="G396">
        <v>3.1134548187255899</v>
      </c>
      <c r="H396">
        <v>4.9395306587219201</v>
      </c>
      <c r="I396">
        <v>1.0527060508727999</v>
      </c>
      <c r="N396">
        <f t="shared" si="42"/>
        <v>8.4795719417127421E-2</v>
      </c>
      <c r="O396">
        <f t="shared" si="43"/>
        <v>0.26252683011395894</v>
      </c>
      <c r="P396">
        <f t="shared" si="44"/>
        <v>0.12915919409548804</v>
      </c>
      <c r="Q396">
        <f t="shared" si="45"/>
        <v>0.40342697772445202</v>
      </c>
      <c r="R396">
        <f t="shared" si="46"/>
        <v>0.20927101362380532</v>
      </c>
      <c r="S396">
        <f t="shared" si="47"/>
        <v>0.46671649242621338</v>
      </c>
      <c r="T396">
        <f t="shared" si="48"/>
        <v>3.9822107468783952E-2</v>
      </c>
    </row>
    <row r="397" spans="2:20" x14ac:dyDescent="0.2">
      <c r="B397">
        <v>1719</v>
      </c>
      <c r="C397">
        <v>2.5443611621856701</v>
      </c>
      <c r="D397">
        <v>1.9975815534591701</v>
      </c>
      <c r="E397">
        <v>0.95338210687041303</v>
      </c>
      <c r="F397" s="13">
        <v>3.1159295560000002</v>
      </c>
      <c r="G397">
        <v>3.50006551742554</v>
      </c>
      <c r="H397">
        <v>4.9047408103942898</v>
      </c>
      <c r="I397">
        <v>1.03849577903748</v>
      </c>
      <c r="N397">
        <f t="shared" si="42"/>
        <v>8.7394803303202998E-2</v>
      </c>
      <c r="O397">
        <f t="shared" si="43"/>
        <v>0.26633886592921929</v>
      </c>
      <c r="P397">
        <f t="shared" si="44"/>
        <v>0.13707805277718763</v>
      </c>
      <c r="Q397">
        <f t="shared" si="45"/>
        <v>0.40254073164785187</v>
      </c>
      <c r="R397">
        <f t="shared" si="46"/>
        <v>0.22159791032611917</v>
      </c>
      <c r="S397">
        <f t="shared" si="47"/>
        <v>0.46526055745683947</v>
      </c>
      <c r="T397">
        <f t="shared" si="48"/>
        <v>3.9284556676026976E-2</v>
      </c>
    </row>
    <row r="398" spans="2:20" x14ac:dyDescent="0.2">
      <c r="B398">
        <v>1721</v>
      </c>
      <c r="C398">
        <v>2.60851440429688</v>
      </c>
      <c r="D398">
        <v>1.99392745494843</v>
      </c>
      <c r="E398">
        <v>0.97444035261869399</v>
      </c>
      <c r="F398" s="13">
        <v>3.1586606979999998</v>
      </c>
      <c r="G398">
        <v>3.6750397682189901</v>
      </c>
      <c r="H398">
        <v>4.8606364250183098</v>
      </c>
      <c r="I398">
        <v>1.0566141009330701</v>
      </c>
      <c r="N398">
        <f t="shared" si="42"/>
        <v>8.9346227349541882E-2</v>
      </c>
      <c r="O398">
        <f t="shared" si="43"/>
        <v>0.26614434436340245</v>
      </c>
      <c r="P398">
        <f t="shared" si="44"/>
        <v>0.13922230687784118</v>
      </c>
      <c r="Q398">
        <f t="shared" si="45"/>
        <v>0.40559260410964004</v>
      </c>
      <c r="R398">
        <f t="shared" si="46"/>
        <v>0.22717688039173961</v>
      </c>
      <c r="S398">
        <f t="shared" si="47"/>
        <v>0.46341481451576916</v>
      </c>
      <c r="T398">
        <f t="shared" si="48"/>
        <v>3.9969942459724142E-2</v>
      </c>
    </row>
    <row r="399" spans="2:20" x14ac:dyDescent="0.2">
      <c r="B399">
        <v>1723</v>
      </c>
      <c r="C399">
        <v>2.64468169212341</v>
      </c>
      <c r="D399">
        <v>2.0119113683700598</v>
      </c>
      <c r="E399">
        <v>1.0280932965688401</v>
      </c>
      <c r="F399" s="13">
        <v>3.0957602500000001</v>
      </c>
      <c r="G399">
        <v>3.7151171684265099</v>
      </c>
      <c r="H399">
        <v>4.7837113857269298</v>
      </c>
      <c r="I399">
        <v>1.08306375741959</v>
      </c>
      <c r="N399">
        <f t="shared" si="42"/>
        <v>9.0446369958596659E-2</v>
      </c>
      <c r="O399">
        <f t="shared" si="43"/>
        <v>0.2671016964949906</v>
      </c>
      <c r="P399">
        <f t="shared" si="44"/>
        <v>0.14468551337910579</v>
      </c>
      <c r="Q399">
        <f t="shared" si="45"/>
        <v>0.40110023306359266</v>
      </c>
      <c r="R399">
        <f t="shared" si="46"/>
        <v>0.22845472907548439</v>
      </c>
      <c r="S399">
        <f t="shared" si="47"/>
        <v>0.46019554624905956</v>
      </c>
      <c r="T399">
        <f t="shared" si="48"/>
        <v>4.0970488682713309E-2</v>
      </c>
    </row>
    <row r="400" spans="2:20" x14ac:dyDescent="0.2">
      <c r="B400">
        <v>1725</v>
      </c>
      <c r="C400">
        <v>2.64733228683472</v>
      </c>
      <c r="D400">
        <v>1.9775714159011799</v>
      </c>
      <c r="E400">
        <v>1.0213436365127599</v>
      </c>
      <c r="F400" s="13">
        <v>3.0685235500000001</v>
      </c>
      <c r="G400">
        <v>3.7734286308288598</v>
      </c>
      <c r="H400">
        <v>4.6665840625762902</v>
      </c>
      <c r="I400">
        <v>1.0939307570457499</v>
      </c>
      <c r="N400">
        <f t="shared" si="42"/>
        <v>9.0526996191761661E-2</v>
      </c>
      <c r="O400">
        <f t="shared" si="43"/>
        <v>0.26527365017804277</v>
      </c>
      <c r="P400">
        <f t="shared" si="44"/>
        <v>0.14399822981207605</v>
      </c>
      <c r="Q400">
        <f t="shared" si="45"/>
        <v>0.39915497883472167</v>
      </c>
      <c r="R400">
        <f t="shared" si="46"/>
        <v>0.23031396208691352</v>
      </c>
      <c r="S400">
        <f t="shared" si="47"/>
        <v>0.45529383572597182</v>
      </c>
      <c r="T400">
        <f t="shared" si="48"/>
        <v>4.1381569085089054E-2</v>
      </c>
    </row>
    <row r="401" spans="2:20" x14ac:dyDescent="0.2">
      <c r="B401">
        <v>1727</v>
      </c>
      <c r="C401">
        <v>2.6376825809478799</v>
      </c>
      <c r="D401">
        <v>1.8802032470703101</v>
      </c>
      <c r="E401">
        <v>0.98030639626085803</v>
      </c>
      <c r="F401" s="13">
        <v>3.0002142909999998</v>
      </c>
      <c r="G401">
        <v>3.8112814426422101</v>
      </c>
      <c r="H401">
        <v>4.5309529304504403</v>
      </c>
      <c r="I401">
        <v>1.0549431800842299</v>
      </c>
      <c r="N401">
        <f t="shared" si="42"/>
        <v>9.0233469824457666E-2</v>
      </c>
      <c r="O401">
        <f t="shared" si="43"/>
        <v>0.26009037211204861</v>
      </c>
      <c r="P401">
        <f t="shared" si="44"/>
        <v>0.13981961627790598</v>
      </c>
      <c r="Q401">
        <f t="shared" si="45"/>
        <v>0.39427630869697394</v>
      </c>
      <c r="R401">
        <f t="shared" si="46"/>
        <v>0.2315208808366645</v>
      </c>
      <c r="S401">
        <f t="shared" si="47"/>
        <v>0.44961775153215355</v>
      </c>
      <c r="T401">
        <f t="shared" si="48"/>
        <v>3.9906734321460691E-2</v>
      </c>
    </row>
    <row r="402" spans="2:20" x14ac:dyDescent="0.2">
      <c r="B402">
        <v>1729</v>
      </c>
      <c r="C402">
        <v>2.6428211212158201</v>
      </c>
      <c r="D402">
        <v>1.7736654758453401</v>
      </c>
      <c r="E402">
        <v>0.95094038983807005</v>
      </c>
      <c r="F402" s="13">
        <v>2.9302572250000001</v>
      </c>
      <c r="G402">
        <v>3.8067195892334</v>
      </c>
      <c r="H402">
        <v>4.4021513938903798</v>
      </c>
      <c r="I402">
        <v>0.99322322607040403</v>
      </c>
      <c r="N402">
        <f t="shared" si="42"/>
        <v>9.038977480160218E-2</v>
      </c>
      <c r="O402">
        <f t="shared" si="43"/>
        <v>0.25441896122468255</v>
      </c>
      <c r="P402">
        <f t="shared" si="44"/>
        <v>0.13682942514591098</v>
      </c>
      <c r="Q402">
        <f t="shared" si="45"/>
        <v>0.38927995163184104</v>
      </c>
      <c r="R402">
        <f t="shared" si="46"/>
        <v>0.23137542832867494</v>
      </c>
      <c r="S402">
        <f t="shared" si="47"/>
        <v>0.44422748195061168</v>
      </c>
      <c r="T402">
        <f t="shared" si="48"/>
        <v>3.7571971792386978E-2</v>
      </c>
    </row>
    <row r="403" spans="2:20" x14ac:dyDescent="0.2">
      <c r="B403">
        <v>1731</v>
      </c>
      <c r="C403">
        <v>2.63145561218262</v>
      </c>
      <c r="D403">
        <v>1.7015542268753101</v>
      </c>
      <c r="E403">
        <v>0.97029914129525396</v>
      </c>
      <c r="F403" s="13">
        <v>2.8067087169999998</v>
      </c>
      <c r="G403">
        <v>3.7319472789764401</v>
      </c>
      <c r="H403">
        <v>4.2811647415161103</v>
      </c>
      <c r="I403">
        <v>0.98801182508468599</v>
      </c>
      <c r="N403">
        <f t="shared" si="42"/>
        <v>9.0044056847273055E-2</v>
      </c>
      <c r="O403">
        <f t="shared" si="43"/>
        <v>0.25058020509333279</v>
      </c>
      <c r="P403">
        <f t="shared" si="44"/>
        <v>0.13880062838343554</v>
      </c>
      <c r="Q403">
        <f t="shared" si="45"/>
        <v>0.38045607584447699</v>
      </c>
      <c r="R403">
        <f t="shared" si="46"/>
        <v>0.22899134907833257</v>
      </c>
      <c r="S403">
        <f t="shared" si="47"/>
        <v>0.43916426073848347</v>
      </c>
      <c r="T403">
        <f t="shared" si="48"/>
        <v>3.7374833218001349E-2</v>
      </c>
    </row>
    <row r="404" spans="2:20" x14ac:dyDescent="0.2">
      <c r="B404">
        <v>1733</v>
      </c>
      <c r="C404">
        <v>2.5553068637847902</v>
      </c>
      <c r="D404">
        <v>1.59530460834503</v>
      </c>
      <c r="E404">
        <v>0.954998695850372</v>
      </c>
      <c r="F404" s="13">
        <v>2.6389023300000001</v>
      </c>
      <c r="G404">
        <v>3.4966083526611298</v>
      </c>
      <c r="H404">
        <v>4.1175374507904099</v>
      </c>
      <c r="I404">
        <v>1.0097997546196</v>
      </c>
      <c r="N404">
        <f t="shared" si="42"/>
        <v>8.7727751484801456E-2</v>
      </c>
      <c r="O404">
        <f t="shared" si="43"/>
        <v>0.24492413367018773</v>
      </c>
      <c r="P404">
        <f t="shared" si="44"/>
        <v>0.13724266181398889</v>
      </c>
      <c r="Q404">
        <f t="shared" si="45"/>
        <v>0.36847128752785607</v>
      </c>
      <c r="R404">
        <f t="shared" si="46"/>
        <v>0.22148768028572696</v>
      </c>
      <c r="S404">
        <f t="shared" si="47"/>
        <v>0.4323165535490775</v>
      </c>
      <c r="T404">
        <f t="shared" si="48"/>
        <v>3.8199034115053543E-2</v>
      </c>
    </row>
    <row r="405" spans="2:20" x14ac:dyDescent="0.2">
      <c r="B405">
        <v>1735</v>
      </c>
      <c r="C405">
        <v>2.5046627044677701</v>
      </c>
      <c r="D405">
        <v>1.5581124544143701</v>
      </c>
      <c r="E405">
        <v>0.89608076000586201</v>
      </c>
      <c r="F405" s="13">
        <v>2.6150378230000002</v>
      </c>
      <c r="G405">
        <v>3.47735548019409</v>
      </c>
      <c r="H405">
        <v>4.0343833923339796</v>
      </c>
      <c r="I405">
        <v>0.96991471052169798</v>
      </c>
      <c r="N405">
        <f t="shared" si="42"/>
        <v>8.6187248977905057E-2</v>
      </c>
      <c r="O405">
        <f t="shared" si="43"/>
        <v>0.24294425381817239</v>
      </c>
      <c r="P405">
        <f t="shared" si="44"/>
        <v>0.1312433479562832</v>
      </c>
      <c r="Q405">
        <f t="shared" si="45"/>
        <v>0.36676687645156303</v>
      </c>
      <c r="R405">
        <f t="shared" si="46"/>
        <v>0.22087381168115372</v>
      </c>
      <c r="S405">
        <f t="shared" si="47"/>
        <v>0.42883660444404142</v>
      </c>
      <c r="T405">
        <f t="shared" si="48"/>
        <v>3.669024967219129E-2</v>
      </c>
    </row>
    <row r="406" spans="2:20" x14ac:dyDescent="0.2">
      <c r="B406">
        <v>1737</v>
      </c>
      <c r="C406">
        <v>2.3776547908782999</v>
      </c>
      <c r="D406">
        <v>1.6009530305862401</v>
      </c>
      <c r="E406">
        <v>0.87495645508170095</v>
      </c>
      <c r="F406" s="13">
        <v>2.625848365</v>
      </c>
      <c r="G406">
        <v>3.4238728046417202</v>
      </c>
      <c r="H406">
        <v>3.9064084529876699</v>
      </c>
      <c r="I406">
        <v>0.86136755943298304</v>
      </c>
      <c r="N406">
        <f t="shared" si="42"/>
        <v>8.232390102388927E-2</v>
      </c>
      <c r="O406">
        <f t="shared" si="43"/>
        <v>0.24522482067562165</v>
      </c>
      <c r="P406">
        <f t="shared" si="44"/>
        <v>0.12909236738560648</v>
      </c>
      <c r="Q406">
        <f t="shared" si="45"/>
        <v>0.3675389689789943</v>
      </c>
      <c r="R406">
        <f t="shared" si="46"/>
        <v>0.21916854222245957</v>
      </c>
      <c r="S406">
        <f t="shared" si="47"/>
        <v>0.42348092747634924</v>
      </c>
      <c r="T406">
        <f t="shared" si="48"/>
        <v>3.2584092675657185E-2</v>
      </c>
    </row>
    <row r="407" spans="2:20" x14ac:dyDescent="0.2">
      <c r="B407">
        <v>1739</v>
      </c>
      <c r="C407">
        <v>2.2724759578704798</v>
      </c>
      <c r="D407">
        <v>1.5328322410583499</v>
      </c>
      <c r="E407">
        <v>0.82826538666850003</v>
      </c>
      <c r="F407" s="13">
        <v>2.542626238</v>
      </c>
      <c r="G407">
        <v>3.1780400753021198</v>
      </c>
      <c r="H407">
        <v>3.7532351970672599</v>
      </c>
      <c r="I407">
        <v>0.89664169549941997</v>
      </c>
      <c r="N407">
        <f t="shared" si="42"/>
        <v>7.9124553693297281E-2</v>
      </c>
      <c r="O407">
        <f t="shared" si="43"/>
        <v>0.24159849188215898</v>
      </c>
      <c r="P407">
        <f t="shared" si="44"/>
        <v>0.12433805327484659</v>
      </c>
      <c r="Q407">
        <f t="shared" si="45"/>
        <v>0.36159521681803553</v>
      </c>
      <c r="R407">
        <f t="shared" si="46"/>
        <v>0.21133028355344896</v>
      </c>
      <c r="S407">
        <f t="shared" si="47"/>
        <v>0.41707071557869446</v>
      </c>
      <c r="T407">
        <f t="shared" si="48"/>
        <v>3.3918454187250598E-2</v>
      </c>
    </row>
    <row r="408" spans="2:20" x14ac:dyDescent="0.2">
      <c r="B408">
        <v>1741</v>
      </c>
      <c r="C408">
        <v>2.1440636157989501</v>
      </c>
      <c r="D408">
        <v>1.4514904022216799</v>
      </c>
      <c r="E408">
        <v>0.76081562787294399</v>
      </c>
      <c r="F408" s="13">
        <v>2.4697784189999998</v>
      </c>
      <c r="G408">
        <v>3.00343613624573</v>
      </c>
      <c r="H408">
        <v>3.7082135200500499</v>
      </c>
      <c r="I408">
        <v>0.89768885374069196</v>
      </c>
      <c r="N408">
        <f t="shared" si="42"/>
        <v>7.5218485598863585E-2</v>
      </c>
      <c r="O408">
        <f t="shared" si="43"/>
        <v>0.23726835633424598</v>
      </c>
      <c r="P408">
        <f t="shared" si="44"/>
        <v>0.11746998726335223</v>
      </c>
      <c r="Q408">
        <f t="shared" si="45"/>
        <v>0.35639240120624049</v>
      </c>
      <c r="R408">
        <f t="shared" si="46"/>
        <v>0.20576312069995625</v>
      </c>
      <c r="S408">
        <f t="shared" si="47"/>
        <v>0.41518658451460022</v>
      </c>
      <c r="T408">
        <f t="shared" si="48"/>
        <v>3.3958066430370297E-2</v>
      </c>
    </row>
    <row r="409" spans="2:20" x14ac:dyDescent="0.2">
      <c r="B409">
        <v>1743</v>
      </c>
      <c r="C409">
        <v>2.0168975114822398</v>
      </c>
      <c r="D409">
        <v>1.38551118373871</v>
      </c>
      <c r="E409">
        <v>0.69221360534429599</v>
      </c>
      <c r="F409" s="13">
        <v>2.332861662</v>
      </c>
      <c r="G409">
        <v>2.9268404006958</v>
      </c>
      <c r="H409">
        <v>3.6944214344024702</v>
      </c>
      <c r="I409">
        <v>0.85223512649536104</v>
      </c>
      <c r="N409">
        <f t="shared" si="42"/>
        <v>7.1350325772853718E-2</v>
      </c>
      <c r="O409">
        <f t="shared" si="43"/>
        <v>0.23375603151515389</v>
      </c>
      <c r="P409">
        <f t="shared" si="44"/>
        <v>0.11048459209423236</v>
      </c>
      <c r="Q409">
        <f t="shared" si="45"/>
        <v>0.34661376060155824</v>
      </c>
      <c r="R409">
        <f t="shared" si="46"/>
        <v>0.20332090240869649</v>
      </c>
      <c r="S409">
        <f t="shared" si="47"/>
        <v>0.41460939373165095</v>
      </c>
      <c r="T409">
        <f t="shared" si="48"/>
        <v>3.223862802710508E-2</v>
      </c>
    </row>
    <row r="410" spans="2:20" x14ac:dyDescent="0.2">
      <c r="B410">
        <v>1745</v>
      </c>
      <c r="C410">
        <v>1.9287462234497099</v>
      </c>
      <c r="D410">
        <v>1.37620768547058</v>
      </c>
      <c r="E410">
        <v>0.727121149003506</v>
      </c>
      <c r="F410" s="13">
        <v>2.1748776200000002</v>
      </c>
      <c r="G410">
        <v>2.68917350769043</v>
      </c>
      <c r="H410">
        <v>3.5363705158233598</v>
      </c>
      <c r="I410">
        <v>0.85957332849502599</v>
      </c>
      <c r="N410">
        <f t="shared" si="42"/>
        <v>6.8668925152691379E-2</v>
      </c>
      <c r="O410">
        <f t="shared" si="43"/>
        <v>0.23326077090699787</v>
      </c>
      <c r="P410">
        <f t="shared" si="44"/>
        <v>0.11403904978884419</v>
      </c>
      <c r="Q410">
        <f t="shared" si="45"/>
        <v>0.33533048745192451</v>
      </c>
      <c r="R410">
        <f t="shared" si="46"/>
        <v>0.19574300751471474</v>
      </c>
      <c r="S410">
        <f t="shared" si="47"/>
        <v>0.40799505448147849</v>
      </c>
      <c r="T410">
        <f t="shared" si="48"/>
        <v>3.2516219923167632E-2</v>
      </c>
    </row>
    <row r="411" spans="2:20" x14ac:dyDescent="0.2">
      <c r="B411">
        <v>1747</v>
      </c>
      <c r="C411">
        <v>1.85908989906311</v>
      </c>
      <c r="D411">
        <v>1.2730328440666201</v>
      </c>
      <c r="E411">
        <v>0.70711537823081005</v>
      </c>
      <c r="F411" s="13">
        <v>2.1446430209999998</v>
      </c>
      <c r="G411">
        <v>2.5949443817138702</v>
      </c>
      <c r="H411">
        <v>3.4247719764709501</v>
      </c>
      <c r="I411">
        <v>0.80488725900650004</v>
      </c>
      <c r="N411">
        <f t="shared" si="42"/>
        <v>6.6550107429466127E-2</v>
      </c>
      <c r="O411">
        <f t="shared" si="43"/>
        <v>0.22776838156833731</v>
      </c>
      <c r="P411">
        <f t="shared" si="44"/>
        <v>0.11200196386398312</v>
      </c>
      <c r="Q411">
        <f t="shared" si="45"/>
        <v>0.33317112227321455</v>
      </c>
      <c r="R411">
        <f t="shared" si="46"/>
        <v>0.19273855702700626</v>
      </c>
      <c r="S411">
        <f t="shared" si="47"/>
        <v>0.40332472035285344</v>
      </c>
      <c r="T411">
        <f t="shared" si="48"/>
        <v>3.0447537469588191E-2</v>
      </c>
    </row>
    <row r="412" spans="2:20" x14ac:dyDescent="0.2">
      <c r="B412">
        <v>1749</v>
      </c>
      <c r="C412">
        <v>1.7717209815979</v>
      </c>
      <c r="D412">
        <v>1.1325140714645401</v>
      </c>
      <c r="E412">
        <v>0.620091708004475</v>
      </c>
      <c r="F412" s="13">
        <v>2.0881603960000001</v>
      </c>
      <c r="G412">
        <v>2.4551750659942599</v>
      </c>
      <c r="H412">
        <v>3.23105792999268</v>
      </c>
      <c r="I412">
        <v>0.76824276447296103</v>
      </c>
      <c r="N412">
        <f t="shared" si="42"/>
        <v>6.3892505088049681E-2</v>
      </c>
      <c r="O412">
        <f t="shared" si="43"/>
        <v>0.22028803269627487</v>
      </c>
      <c r="P412">
        <f t="shared" si="44"/>
        <v>0.10314078596876486</v>
      </c>
      <c r="Q412">
        <f t="shared" si="45"/>
        <v>0.32913711429357745</v>
      </c>
      <c r="R412">
        <f t="shared" si="46"/>
        <v>0.18828207943126885</v>
      </c>
      <c r="S412">
        <f t="shared" si="47"/>
        <v>0.39521789988986689</v>
      </c>
      <c r="T412">
        <f t="shared" si="48"/>
        <v>2.9061337591432288E-2</v>
      </c>
    </row>
    <row r="413" spans="2:20" x14ac:dyDescent="0.2">
      <c r="B413">
        <v>1751</v>
      </c>
      <c r="C413">
        <v>1.72823944091797</v>
      </c>
      <c r="D413">
        <v>1.0598448753356899</v>
      </c>
      <c r="E413">
        <v>0.58091180361807304</v>
      </c>
      <c r="F413" s="13">
        <v>1.94977026</v>
      </c>
      <c r="G413">
        <v>2.3541282892227202</v>
      </c>
      <c r="H413">
        <v>3.1115341186523402</v>
      </c>
      <c r="I413">
        <v>0.79702829122543295</v>
      </c>
      <c r="N413">
        <f t="shared" si="42"/>
        <v>6.2569876312599984E-2</v>
      </c>
      <c r="O413">
        <f t="shared" si="43"/>
        <v>0.2164195749149401</v>
      </c>
      <c r="P413">
        <f t="shared" si="44"/>
        <v>9.9151295502750397E-2</v>
      </c>
      <c r="Q413">
        <f t="shared" si="45"/>
        <v>0.31925324446764303</v>
      </c>
      <c r="R413">
        <f t="shared" si="46"/>
        <v>0.1850602514178355</v>
      </c>
      <c r="S413">
        <f t="shared" si="47"/>
        <v>0.39021589772634946</v>
      </c>
      <c r="T413">
        <f t="shared" si="48"/>
        <v>3.0150245875878924E-2</v>
      </c>
    </row>
    <row r="414" spans="2:20" x14ac:dyDescent="0.2">
      <c r="B414">
        <v>1753</v>
      </c>
      <c r="C414">
        <v>1.6677684068679799</v>
      </c>
      <c r="D414">
        <v>1.01440271139145</v>
      </c>
      <c r="E414">
        <v>0.551416581124067</v>
      </c>
      <c r="F414" s="13">
        <v>1.9201438669999999</v>
      </c>
      <c r="G414">
        <v>2.3291172504425099</v>
      </c>
      <c r="H414">
        <v>3.1094752311706499</v>
      </c>
      <c r="I414">
        <v>0.76429741382598904</v>
      </c>
      <c r="N414">
        <f t="shared" si="42"/>
        <v>6.0730458286811569E-2</v>
      </c>
      <c r="O414">
        <f t="shared" si="43"/>
        <v>0.21400051564257538</v>
      </c>
      <c r="P414">
        <f t="shared" si="44"/>
        <v>9.6147946955180891E-2</v>
      </c>
      <c r="Q414">
        <f t="shared" si="45"/>
        <v>0.31713731756499164</v>
      </c>
      <c r="R414">
        <f t="shared" si="46"/>
        <v>0.18426278644209126</v>
      </c>
      <c r="S414">
        <f t="shared" si="47"/>
        <v>0.3901297344796929</v>
      </c>
      <c r="T414">
        <f t="shared" si="48"/>
        <v>2.8912091581745642E-2</v>
      </c>
    </row>
    <row r="415" spans="2:20" x14ac:dyDescent="0.2">
      <c r="B415">
        <v>1755</v>
      </c>
      <c r="C415">
        <v>1.5738088846206699</v>
      </c>
      <c r="D415">
        <v>0.94031792879104603</v>
      </c>
      <c r="E415">
        <v>0.52770683150738495</v>
      </c>
      <c r="F415" s="13">
        <v>1.8070403100000001</v>
      </c>
      <c r="G415">
        <v>2.2445916891098001</v>
      </c>
      <c r="H415">
        <v>3.0557901859283398</v>
      </c>
      <c r="I415">
        <v>0.68715910315513595</v>
      </c>
      <c r="N415">
        <f t="shared" si="42"/>
        <v>5.7872381827042525E-2</v>
      </c>
      <c r="O415">
        <f t="shared" si="43"/>
        <v>0.21005670080773303</v>
      </c>
      <c r="P415">
        <f t="shared" si="44"/>
        <v>9.3733703696328718E-2</v>
      </c>
      <c r="Q415">
        <f t="shared" si="45"/>
        <v>0.30905942367349237</v>
      </c>
      <c r="R415">
        <f t="shared" si="46"/>
        <v>0.18156772945904054</v>
      </c>
      <c r="S415">
        <f t="shared" si="47"/>
        <v>0.38788304648138328</v>
      </c>
      <c r="T415">
        <f t="shared" si="48"/>
        <v>2.5994078433679936E-2</v>
      </c>
    </row>
    <row r="416" spans="2:20" x14ac:dyDescent="0.2">
      <c r="B416">
        <v>1757</v>
      </c>
      <c r="C416">
        <v>1.4346421480178799</v>
      </c>
      <c r="D416">
        <v>0.98292694091796895</v>
      </c>
      <c r="E416">
        <v>0.52149571143090701</v>
      </c>
      <c r="F416" s="13">
        <v>1.6661674259999999</v>
      </c>
      <c r="G416">
        <v>2.03836894035339</v>
      </c>
      <c r="H416">
        <v>2.8898705959320101</v>
      </c>
      <c r="I416">
        <v>0.69310899972915696</v>
      </c>
      <c r="N416">
        <f t="shared" si="42"/>
        <v>5.3639184761391193E-2</v>
      </c>
      <c r="O416">
        <f t="shared" si="43"/>
        <v>0.21232494063007976</v>
      </c>
      <c r="P416">
        <f t="shared" si="44"/>
        <v>9.3101256917388145E-2</v>
      </c>
      <c r="Q416">
        <f t="shared" si="45"/>
        <v>0.29899823515453633</v>
      </c>
      <c r="R416">
        <f t="shared" si="46"/>
        <v>0.1749924160232362</v>
      </c>
      <c r="S416">
        <f t="shared" si="47"/>
        <v>0.38093940789736619</v>
      </c>
      <c r="T416">
        <f t="shared" si="48"/>
        <v>2.6219153059785075E-2</v>
      </c>
    </row>
    <row r="417" spans="2:20" x14ac:dyDescent="0.2">
      <c r="B417">
        <v>1759</v>
      </c>
      <c r="C417">
        <v>1.34279599189758</v>
      </c>
      <c r="D417">
        <v>0.95207018852233904</v>
      </c>
      <c r="E417">
        <v>0.48133630593656601</v>
      </c>
      <c r="F417" s="13">
        <v>1.6494580270000001</v>
      </c>
      <c r="G417">
        <v>1.8897701740264901</v>
      </c>
      <c r="H417">
        <v>2.8091775894165001</v>
      </c>
      <c r="I417">
        <v>0.66356400847435004</v>
      </c>
      <c r="N417">
        <f t="shared" si="42"/>
        <v>5.0845393025873743E-2</v>
      </c>
      <c r="O417">
        <f t="shared" si="43"/>
        <v>0.21068231830493467</v>
      </c>
      <c r="P417">
        <f t="shared" si="44"/>
        <v>8.9012028833511364E-2</v>
      </c>
      <c r="Q417">
        <f t="shared" si="45"/>
        <v>0.29780484428608889</v>
      </c>
      <c r="R417">
        <f t="shared" si="46"/>
        <v>0.17025441562965526</v>
      </c>
      <c r="S417">
        <f t="shared" si="47"/>
        <v>0.377562452388292</v>
      </c>
      <c r="T417">
        <f t="shared" si="48"/>
        <v>2.5101515504707163E-2</v>
      </c>
    </row>
    <row r="418" spans="2:20" x14ac:dyDescent="0.2">
      <c r="B418">
        <v>1761</v>
      </c>
      <c r="C418">
        <v>1.3091923713684099</v>
      </c>
      <c r="D418">
        <v>0.88140438795089704</v>
      </c>
      <c r="E418">
        <v>0.40525660570710897</v>
      </c>
      <c r="F418" s="13">
        <v>1.648048282</v>
      </c>
      <c r="G418">
        <v>1.6278477907180799</v>
      </c>
      <c r="H418">
        <v>2.7339103221893302</v>
      </c>
      <c r="I418">
        <v>0.62895814180374099</v>
      </c>
      <c r="N418">
        <f t="shared" si="42"/>
        <v>4.9823232477370291E-2</v>
      </c>
      <c r="O418">
        <f t="shared" si="43"/>
        <v>0.20692050889107882</v>
      </c>
      <c r="P418">
        <f t="shared" si="44"/>
        <v>8.1265219761971139E-2</v>
      </c>
      <c r="Q418">
        <f t="shared" si="45"/>
        <v>0.29770415982641207</v>
      </c>
      <c r="R418">
        <f t="shared" si="46"/>
        <v>0.16190314606074863</v>
      </c>
      <c r="S418">
        <f t="shared" si="47"/>
        <v>0.37441256092072234</v>
      </c>
      <c r="T418">
        <f t="shared" si="48"/>
        <v>2.3792433505544303E-2</v>
      </c>
    </row>
    <row r="419" spans="2:20" x14ac:dyDescent="0.2">
      <c r="B419">
        <v>1763</v>
      </c>
      <c r="C419">
        <v>1.3049999475479099</v>
      </c>
      <c r="D419">
        <v>0.83404550552368195</v>
      </c>
      <c r="E419">
        <v>0.34107317589223402</v>
      </c>
      <c r="F419" s="13">
        <v>1.587548161</v>
      </c>
      <c r="G419">
        <v>1.60894825458527</v>
      </c>
      <c r="H419">
        <v>2.6369760513305698</v>
      </c>
      <c r="I419">
        <v>0.56278412938118005</v>
      </c>
      <c r="N419">
        <f t="shared" si="42"/>
        <v>4.9695706628535001E-2</v>
      </c>
      <c r="O419">
        <f t="shared" si="43"/>
        <v>0.20439941540167189</v>
      </c>
      <c r="P419">
        <f t="shared" si="44"/>
        <v>7.4729747423977838E-2</v>
      </c>
      <c r="Q419">
        <f t="shared" si="45"/>
        <v>0.29338322093798375</v>
      </c>
      <c r="R419">
        <f t="shared" si="46"/>
        <v>0.16130054341572558</v>
      </c>
      <c r="S419">
        <f t="shared" si="47"/>
        <v>0.37035591792116251</v>
      </c>
      <c r="T419">
        <f t="shared" si="48"/>
        <v>2.1289181403832694E-2</v>
      </c>
    </row>
    <row r="420" spans="2:20" x14ac:dyDescent="0.2">
      <c r="B420">
        <v>1765</v>
      </c>
      <c r="C420">
        <v>1.2961655616760299</v>
      </c>
      <c r="D420">
        <v>0.75244204998016395</v>
      </c>
      <c r="E420">
        <v>0.37069171108305499</v>
      </c>
      <c r="F420" s="13">
        <v>1.40656172</v>
      </c>
      <c r="G420">
        <v>1.5971879005432099</v>
      </c>
      <c r="H420">
        <v>2.51983361244202</v>
      </c>
      <c r="I420">
        <v>0.476957768201828</v>
      </c>
      <c r="N420">
        <f t="shared" si="42"/>
        <v>4.9426980801785078E-2</v>
      </c>
      <c r="O420">
        <f t="shared" si="43"/>
        <v>0.20005535300112742</v>
      </c>
      <c r="P420">
        <f t="shared" si="44"/>
        <v>7.7745652276520166E-2</v>
      </c>
      <c r="Q420">
        <f t="shared" si="45"/>
        <v>0.28045710875392488</v>
      </c>
      <c r="R420">
        <f t="shared" si="46"/>
        <v>0.16092557016758061</v>
      </c>
      <c r="S420">
        <f t="shared" si="47"/>
        <v>0.3654535748132125</v>
      </c>
      <c r="T420">
        <f t="shared" si="48"/>
        <v>1.8042513850525545E-2</v>
      </c>
    </row>
    <row r="421" spans="2:20" x14ac:dyDescent="0.2">
      <c r="B421">
        <v>1767</v>
      </c>
      <c r="C421">
        <v>1.25988306999207</v>
      </c>
      <c r="D421">
        <v>0.69437391161918605</v>
      </c>
      <c r="E421">
        <v>0.356092753261328</v>
      </c>
      <c r="F421" s="13">
        <v>1.2217038389999999</v>
      </c>
      <c r="G421">
        <v>1.73695859909058</v>
      </c>
      <c r="H421">
        <v>2.4167683124542201</v>
      </c>
      <c r="I421">
        <v>0.49411484003067002</v>
      </c>
      <c r="N421">
        <f t="shared" si="42"/>
        <v>4.8323333902530428E-2</v>
      </c>
      <c r="O421">
        <f t="shared" si="43"/>
        <v>0.19696416507478998</v>
      </c>
      <c r="P421">
        <f t="shared" si="44"/>
        <v>7.6259114625250632E-2</v>
      </c>
      <c r="Q421">
        <f t="shared" si="45"/>
        <v>0.26725449702947307</v>
      </c>
      <c r="R421">
        <f t="shared" si="46"/>
        <v>0.16538209185411795</v>
      </c>
      <c r="S421">
        <f t="shared" si="47"/>
        <v>0.3611403518014849</v>
      </c>
      <c r="T421">
        <f t="shared" si="48"/>
        <v>1.8691537153518175E-2</v>
      </c>
    </row>
    <row r="422" spans="2:20" x14ac:dyDescent="0.2">
      <c r="B422">
        <v>1769</v>
      </c>
      <c r="C422">
        <v>1.24266386032104</v>
      </c>
      <c r="D422">
        <v>0.63096044063568102</v>
      </c>
      <c r="E422">
        <v>0.31285026222467399</v>
      </c>
      <c r="F422" s="13">
        <v>1.2337181930000001</v>
      </c>
      <c r="G422">
        <v>1.56708862781525</v>
      </c>
      <c r="H422">
        <v>2.3546736001968398</v>
      </c>
      <c r="I422">
        <v>0.48370911478996298</v>
      </c>
      <c r="N422">
        <f t="shared" si="42"/>
        <v>4.7799557103335312E-2</v>
      </c>
      <c r="O422">
        <f t="shared" si="43"/>
        <v>0.1935884247565316</v>
      </c>
      <c r="P422">
        <f t="shared" si="44"/>
        <v>7.1855951615559327E-2</v>
      </c>
      <c r="Q422">
        <f t="shared" si="45"/>
        <v>0.26811256621280488</v>
      </c>
      <c r="R422">
        <f t="shared" si="46"/>
        <v>0.15996586929282472</v>
      </c>
      <c r="S422">
        <f t="shared" si="47"/>
        <v>0.35854172411741625</v>
      </c>
      <c r="T422">
        <f t="shared" si="48"/>
        <v>1.8297905988880609E-2</v>
      </c>
    </row>
    <row r="423" spans="2:20" x14ac:dyDescent="0.2">
      <c r="B423">
        <v>1771</v>
      </c>
      <c r="C423">
        <v>1.0711506366729699</v>
      </c>
      <c r="D423">
        <v>0.46068289875984197</v>
      </c>
      <c r="E423">
        <v>0.294673499464989</v>
      </c>
      <c r="F423" s="13">
        <v>1.17558707</v>
      </c>
      <c r="G423">
        <v>1.2381709337234501</v>
      </c>
      <c r="H423">
        <v>2.0704536676406899</v>
      </c>
      <c r="I423">
        <v>0.46853029727935802</v>
      </c>
      <c r="N423">
        <f t="shared" si="42"/>
        <v>4.2582439185713208E-2</v>
      </c>
      <c r="O423">
        <f t="shared" si="43"/>
        <v>0.18452390337819979</v>
      </c>
      <c r="P423">
        <f t="shared" si="44"/>
        <v>7.0005104277658783E-2</v>
      </c>
      <c r="Q423">
        <f t="shared" si="45"/>
        <v>0.26396082195433124</v>
      </c>
      <c r="R423">
        <f t="shared" si="46"/>
        <v>0.14947848637179587</v>
      </c>
      <c r="S423">
        <f t="shared" si="47"/>
        <v>0.34664728482855789</v>
      </c>
      <c r="T423">
        <f t="shared" si="48"/>
        <v>1.7723716734762408E-2</v>
      </c>
    </row>
    <row r="424" spans="2:20" x14ac:dyDescent="0.2">
      <c r="B424">
        <v>1773</v>
      </c>
      <c r="C424">
        <v>0.98049858808517498</v>
      </c>
      <c r="D424">
        <v>0.61274603009223905</v>
      </c>
      <c r="E424">
        <v>0.29936314865481101</v>
      </c>
      <c r="F424" s="13">
        <v>0.99042719599999995</v>
      </c>
      <c r="G424">
        <v>1.2883443713188201</v>
      </c>
      <c r="H424">
        <v>1.93990864753723</v>
      </c>
      <c r="I424">
        <v>0.39703974127769498</v>
      </c>
      <c r="N424">
        <f t="shared" si="42"/>
        <v>3.9824970012799929E-2</v>
      </c>
      <c r="O424">
        <f t="shared" si="43"/>
        <v>0.19261880238621848</v>
      </c>
      <c r="P424">
        <f t="shared" si="44"/>
        <v>7.0482627411641741E-2</v>
      </c>
      <c r="Q424">
        <f t="shared" si="45"/>
        <v>0.25073664178875626</v>
      </c>
      <c r="R424">
        <f t="shared" si="46"/>
        <v>0.1510782423654036</v>
      </c>
      <c r="S424">
        <f t="shared" si="47"/>
        <v>0.34118405147219705</v>
      </c>
      <c r="T424">
        <f t="shared" si="48"/>
        <v>1.5019348690386703E-2</v>
      </c>
    </row>
    <row r="425" spans="2:20" x14ac:dyDescent="0.2">
      <c r="B425">
        <v>1775</v>
      </c>
      <c r="C425">
        <v>0.92333592176437396</v>
      </c>
      <c r="D425">
        <v>0.59807614982128099</v>
      </c>
      <c r="E425">
        <v>0.23630653396248799</v>
      </c>
      <c r="F425" s="13">
        <v>0.93563126299999999</v>
      </c>
      <c r="G425">
        <v>1.33203783035278</v>
      </c>
      <c r="H425">
        <v>1.8902770996093701</v>
      </c>
      <c r="I425">
        <v>0.33973405361175502</v>
      </c>
      <c r="N425">
        <f t="shared" si="42"/>
        <v>3.8086186469828136E-2</v>
      </c>
      <c r="O425">
        <f t="shared" si="43"/>
        <v>0.19183786884754531</v>
      </c>
      <c r="P425">
        <f t="shared" si="44"/>
        <v>6.4061892928647973E-2</v>
      </c>
      <c r="Q425">
        <f t="shared" si="45"/>
        <v>0.24682309791621737</v>
      </c>
      <c r="R425">
        <f t="shared" si="46"/>
        <v>0.15247138735049987</v>
      </c>
      <c r="S425">
        <f t="shared" si="47"/>
        <v>0.3391069999848832</v>
      </c>
      <c r="T425">
        <f t="shared" si="48"/>
        <v>1.2851570466908657E-2</v>
      </c>
    </row>
    <row r="426" spans="2:20" x14ac:dyDescent="0.2">
      <c r="B426">
        <v>1777</v>
      </c>
      <c r="C426">
        <v>0.90766768455505398</v>
      </c>
      <c r="D426">
        <v>0.53469151258468595</v>
      </c>
      <c r="E426">
        <v>0.15030864626169199</v>
      </c>
      <c r="F426" s="13">
        <v>0.91850489400000002</v>
      </c>
      <c r="G426">
        <v>1.16275614500046</v>
      </c>
      <c r="H426">
        <v>1.86808342933655</v>
      </c>
      <c r="I426">
        <v>0.327936427295208</v>
      </c>
      <c r="N426">
        <f t="shared" si="42"/>
        <v>3.7609587410329229E-2</v>
      </c>
      <c r="O426">
        <f t="shared" si="43"/>
        <v>0.18846366345933349</v>
      </c>
      <c r="P426">
        <f t="shared" si="44"/>
        <v>5.5305165252743219E-2</v>
      </c>
      <c r="Q426">
        <f t="shared" si="45"/>
        <v>0.24559992691082924</v>
      </c>
      <c r="R426">
        <f t="shared" si="46"/>
        <v>0.14707392200370886</v>
      </c>
      <c r="S426">
        <f t="shared" si="47"/>
        <v>0.3381782077595003</v>
      </c>
      <c r="T426">
        <f t="shared" si="48"/>
        <v>1.2405286014886583E-2</v>
      </c>
    </row>
    <row r="427" spans="2:20" x14ac:dyDescent="0.2">
      <c r="B427">
        <v>1779</v>
      </c>
      <c r="C427">
        <v>0.87450824975967401</v>
      </c>
      <c r="D427">
        <v>0.49084410667419398</v>
      </c>
      <c r="E427">
        <v>0.112192076817155</v>
      </c>
      <c r="F427" s="13">
        <v>0.81698134499999997</v>
      </c>
      <c r="G427">
        <v>0.87447459697723395</v>
      </c>
      <c r="H427">
        <v>1.7313274383544901</v>
      </c>
      <c r="I427">
        <v>0.32916834652423899</v>
      </c>
      <c r="N427">
        <f t="shared" si="42"/>
        <v>3.6600938177753596E-2</v>
      </c>
      <c r="O427">
        <f t="shared" si="43"/>
        <v>0.1861294992243937</v>
      </c>
      <c r="P427">
        <f t="shared" si="44"/>
        <v>5.142394877767352E-2</v>
      </c>
      <c r="Q427">
        <f t="shared" si="45"/>
        <v>0.2383490810659861</v>
      </c>
      <c r="R427">
        <f t="shared" si="46"/>
        <v>0.13788220311021954</v>
      </c>
      <c r="S427">
        <f t="shared" si="47"/>
        <v>0.33245504887513033</v>
      </c>
      <c r="T427">
        <f t="shared" si="48"/>
        <v>1.2451887456847194E-2</v>
      </c>
    </row>
    <row r="428" spans="2:20" x14ac:dyDescent="0.2">
      <c r="B428">
        <v>1781</v>
      </c>
      <c r="C428">
        <v>0.86894084215164202</v>
      </c>
      <c r="D428">
        <v>0.62734910845756497</v>
      </c>
      <c r="E428">
        <v>0.16577536687254901</v>
      </c>
      <c r="F428" s="13">
        <v>0.71335635200000003</v>
      </c>
      <c r="G428">
        <v>0.96794092655181896</v>
      </c>
      <c r="H428">
        <v>1.5856532335281399</v>
      </c>
      <c r="I428">
        <v>0.33323839604854599</v>
      </c>
      <c r="N428">
        <f t="shared" si="42"/>
        <v>3.6431587842142336E-2</v>
      </c>
      <c r="O428">
        <f t="shared" si="43"/>
        <v>0.19339617980530566</v>
      </c>
      <c r="P428">
        <f t="shared" si="44"/>
        <v>5.6880062776968388E-2</v>
      </c>
      <c r="Q428">
        <f t="shared" si="45"/>
        <v>0.23094814938740627</v>
      </c>
      <c r="R428">
        <f t="shared" si="46"/>
        <v>0.14086233220050248</v>
      </c>
      <c r="S428">
        <f t="shared" si="47"/>
        <v>0.32635866791522905</v>
      </c>
      <c r="T428">
        <f t="shared" si="48"/>
        <v>1.2605850616293126E-2</v>
      </c>
    </row>
    <row r="429" spans="2:20" x14ac:dyDescent="0.2">
      <c r="B429">
        <v>1783</v>
      </c>
      <c r="C429">
        <v>0.81579133272171001</v>
      </c>
      <c r="D429">
        <v>0.558461260795593</v>
      </c>
      <c r="E429">
        <v>0.154639627784491</v>
      </c>
      <c r="F429" s="13">
        <v>0.61867730899999995</v>
      </c>
      <c r="G429">
        <v>0.95642976760864296</v>
      </c>
      <c r="H429">
        <v>1.5564270019531301</v>
      </c>
      <c r="I429">
        <v>0.27505770623683901</v>
      </c>
      <c r="N429">
        <f t="shared" si="42"/>
        <v>3.4814877176563036E-2</v>
      </c>
      <c r="O429">
        <f t="shared" si="43"/>
        <v>0.18972901758907795</v>
      </c>
      <c r="P429">
        <f t="shared" si="44"/>
        <v>5.5746167081723891E-2</v>
      </c>
      <c r="Q429">
        <f t="shared" si="45"/>
        <v>0.22418614045162455</v>
      </c>
      <c r="R429">
        <f t="shared" si="46"/>
        <v>0.14049530441856678</v>
      </c>
      <c r="S429">
        <f t="shared" si="47"/>
        <v>0.32513556707925095</v>
      </c>
      <c r="T429">
        <f t="shared" si="48"/>
        <v>1.040497252656537E-2</v>
      </c>
    </row>
    <row r="430" spans="2:20" x14ac:dyDescent="0.2">
      <c r="B430">
        <v>1785</v>
      </c>
      <c r="C430">
        <v>0.721494996547699</v>
      </c>
      <c r="D430">
        <v>0.44633361846208602</v>
      </c>
      <c r="E430">
        <v>0.11862694073934101</v>
      </c>
      <c r="F430" s="13">
        <v>0.67893453800000003</v>
      </c>
      <c r="G430">
        <v>0.76411352157592805</v>
      </c>
      <c r="H430">
        <v>1.43933007717133</v>
      </c>
      <c r="I430">
        <v>0.323907499015331</v>
      </c>
      <c r="N430">
        <f t="shared" si="42"/>
        <v>3.194655545444907E-2</v>
      </c>
      <c r="O430">
        <f t="shared" si="43"/>
        <v>0.18376003659582912</v>
      </c>
      <c r="P430">
        <f t="shared" si="44"/>
        <v>5.2079178254868762E-2</v>
      </c>
      <c r="Q430">
        <f t="shared" si="45"/>
        <v>0.22848973191212807</v>
      </c>
      <c r="R430">
        <f t="shared" si="46"/>
        <v>0.13436339315228824</v>
      </c>
      <c r="S430">
        <f t="shared" si="47"/>
        <v>0.32023512871026372</v>
      </c>
      <c r="T430">
        <f t="shared" si="48"/>
        <v>1.2252878403272435E-2</v>
      </c>
    </row>
    <row r="431" spans="2:20" x14ac:dyDescent="0.2">
      <c r="B431">
        <v>1787</v>
      </c>
      <c r="C431">
        <v>0.708138716220856</v>
      </c>
      <c r="D431">
        <v>0.39361830353736899</v>
      </c>
      <c r="E431">
        <v>-7.8932240605354299E-3</v>
      </c>
      <c r="F431" s="13">
        <v>0.72332117900000004</v>
      </c>
      <c r="G431">
        <v>0.68492795526981398</v>
      </c>
      <c r="H431">
        <v>1.31326200962067</v>
      </c>
      <c r="I431">
        <v>0.31581677347421599</v>
      </c>
      <c r="N431">
        <f t="shared" si="42"/>
        <v>3.1540281886010199E-2</v>
      </c>
      <c r="O431">
        <f t="shared" si="43"/>
        <v>0.18095379982592663</v>
      </c>
      <c r="P431">
        <f t="shared" si="44"/>
        <v>3.9196273124480846E-2</v>
      </c>
      <c r="Q431">
        <f t="shared" si="45"/>
        <v>0.23165984066651563</v>
      </c>
      <c r="R431">
        <f t="shared" si="46"/>
        <v>0.13183859934949888</v>
      </c>
      <c r="S431">
        <f t="shared" si="47"/>
        <v>0.3149592532209583</v>
      </c>
      <c r="T431">
        <f t="shared" si="48"/>
        <v>1.1946819801508354E-2</v>
      </c>
    </row>
    <row r="432" spans="2:20" x14ac:dyDescent="0.2">
      <c r="B432">
        <v>1789</v>
      </c>
      <c r="C432">
        <v>0.655075711011887</v>
      </c>
      <c r="D432">
        <v>0.37758878618478797</v>
      </c>
      <c r="E432">
        <v>-2.44103752076626E-2</v>
      </c>
      <c r="F432" s="13">
        <v>0.615683639</v>
      </c>
      <c r="G432">
        <v>0.60785843133926398</v>
      </c>
      <c r="H432">
        <v>1.19465121030807</v>
      </c>
      <c r="I432">
        <v>0.30766498297452899</v>
      </c>
      <c r="N432">
        <f t="shared" si="42"/>
        <v>2.9926202520289512E-2</v>
      </c>
      <c r="O432">
        <f t="shared" si="43"/>
        <v>0.18010048763263248</v>
      </c>
      <c r="P432">
        <f t="shared" si="44"/>
        <v>3.7514415599324308E-2</v>
      </c>
      <c r="Q432">
        <f t="shared" si="45"/>
        <v>0.22397233153838086</v>
      </c>
      <c r="R432">
        <f t="shared" si="46"/>
        <v>0.12938127454296083</v>
      </c>
      <c r="S432">
        <f t="shared" si="47"/>
        <v>0.309995460081123</v>
      </c>
      <c r="T432">
        <f t="shared" si="48"/>
        <v>1.1638451214596173E-2</v>
      </c>
    </row>
    <row r="433" spans="2:20" x14ac:dyDescent="0.2">
      <c r="B433">
        <v>1791</v>
      </c>
      <c r="C433">
        <v>0.63843631446361504</v>
      </c>
      <c r="D433">
        <v>0.59515688121318799</v>
      </c>
      <c r="E433">
        <v>2.4816073849797199E-2</v>
      </c>
      <c r="F433" s="13">
        <v>0.28257324700000003</v>
      </c>
      <c r="G433">
        <v>0.31719321608543399</v>
      </c>
      <c r="H433">
        <v>1.10066318511963</v>
      </c>
      <c r="I433">
        <v>0.35436381995677901</v>
      </c>
      <c r="N433">
        <f t="shared" si="42"/>
        <v>2.9420062573619656E-2</v>
      </c>
      <c r="O433">
        <f t="shared" si="43"/>
        <v>0.19168246507312128</v>
      </c>
      <c r="P433">
        <f t="shared" si="44"/>
        <v>4.2526894630759683E-2</v>
      </c>
      <c r="Q433">
        <f t="shared" si="45"/>
        <v>0.20018147586501123</v>
      </c>
      <c r="R433">
        <f t="shared" si="46"/>
        <v>0.12011355356307517</v>
      </c>
      <c r="S433">
        <f t="shared" si="47"/>
        <v>0.30606211575361797</v>
      </c>
      <c r="T433">
        <f t="shared" si="48"/>
        <v>1.3404990034651922E-2</v>
      </c>
    </row>
    <row r="434" spans="2:20" x14ac:dyDescent="0.2">
      <c r="B434">
        <v>1793</v>
      </c>
      <c r="C434">
        <v>0.72551441192626998</v>
      </c>
      <c r="D434">
        <v>0.43081337958574301</v>
      </c>
      <c r="E434">
        <v>0.191563279181719</v>
      </c>
      <c r="F434" s="13">
        <v>0.27000566199999998</v>
      </c>
      <c r="G434">
        <v>0.35312842130660999</v>
      </c>
      <c r="H434">
        <v>1.03625646829605</v>
      </c>
      <c r="I434">
        <v>0.21866887360811199</v>
      </c>
      <c r="N434">
        <f t="shared" si="42"/>
        <v>3.206881870356703E-2</v>
      </c>
      <c r="O434">
        <f t="shared" si="43"/>
        <v>0.18293383523338516</v>
      </c>
      <c r="P434">
        <f t="shared" si="44"/>
        <v>5.9505914777045171E-2</v>
      </c>
      <c r="Q434">
        <f t="shared" si="45"/>
        <v>0.19928389473851846</v>
      </c>
      <c r="R434">
        <f t="shared" si="46"/>
        <v>0.12125933034635471</v>
      </c>
      <c r="S434">
        <f t="shared" si="47"/>
        <v>0.30336673201975051</v>
      </c>
      <c r="T434">
        <f t="shared" si="48"/>
        <v>8.2718773941505095E-3</v>
      </c>
    </row>
    <row r="435" spans="2:20" x14ac:dyDescent="0.2">
      <c r="B435">
        <v>1795</v>
      </c>
      <c r="C435">
        <v>0.67768150568008401</v>
      </c>
      <c r="D435">
        <v>0.38042534589767502</v>
      </c>
      <c r="E435">
        <v>0.21253027273342001</v>
      </c>
      <c r="F435" s="13">
        <v>0.52382032000000001</v>
      </c>
      <c r="G435">
        <v>0.37077968269586598</v>
      </c>
      <c r="H435">
        <v>0.93260474205017097</v>
      </c>
      <c r="I435">
        <v>6.5824857819825403E-2</v>
      </c>
      <c r="N435">
        <f t="shared" si="42"/>
        <v>3.0613829362681172E-2</v>
      </c>
      <c r="O435">
        <f t="shared" si="43"/>
        <v>0.18025148849789707</v>
      </c>
      <c r="P435">
        <f t="shared" si="44"/>
        <v>6.1640877130463498E-2</v>
      </c>
      <c r="Q435">
        <f t="shared" si="45"/>
        <v>0.21741142255297247</v>
      </c>
      <c r="R435">
        <f t="shared" si="46"/>
        <v>0.12182213234987549</v>
      </c>
      <c r="S435">
        <f t="shared" si="47"/>
        <v>0.29902896740933421</v>
      </c>
      <c r="T435">
        <f t="shared" si="48"/>
        <v>2.4900441676431904E-3</v>
      </c>
    </row>
    <row r="436" spans="2:20" x14ac:dyDescent="0.2">
      <c r="B436">
        <v>1797</v>
      </c>
      <c r="C436">
        <v>0.40763637870550201</v>
      </c>
      <c r="D436">
        <v>0.215230520069599</v>
      </c>
      <c r="E436">
        <v>0.18866637788450999</v>
      </c>
      <c r="F436" s="13">
        <v>0.45092733400000001</v>
      </c>
      <c r="G436">
        <v>1.69123455882072E-2</v>
      </c>
      <c r="H436">
        <v>0.86990008354186998</v>
      </c>
      <c r="I436">
        <v>0.11344692744314699</v>
      </c>
      <c r="N436">
        <f t="shared" si="42"/>
        <v>2.2399551533022526E-2</v>
      </c>
      <c r="O436">
        <f t="shared" si="43"/>
        <v>0.17145753943208158</v>
      </c>
      <c r="P436">
        <f t="shared" si="44"/>
        <v>5.9210938046315539E-2</v>
      </c>
      <c r="Q436">
        <f t="shared" si="45"/>
        <v>0.21220538109892212</v>
      </c>
      <c r="R436">
        <f t="shared" si="46"/>
        <v>0.11053924202760219</v>
      </c>
      <c r="S436">
        <f t="shared" si="47"/>
        <v>0.29640481382852146</v>
      </c>
      <c r="T436">
        <f t="shared" si="48"/>
        <v>4.2915073328387426E-3</v>
      </c>
    </row>
    <row r="437" spans="2:20" x14ac:dyDescent="0.2">
      <c r="B437">
        <v>1799</v>
      </c>
      <c r="C437">
        <v>0.36734877377748498</v>
      </c>
      <c r="D437">
        <v>0.102850291132927</v>
      </c>
      <c r="E437">
        <v>7.9430952668190002E-2</v>
      </c>
      <c r="F437" s="13">
        <v>0.33689633299999999</v>
      </c>
      <c r="G437">
        <v>0.30905021131038701</v>
      </c>
      <c r="H437">
        <v>0.85299119353294395</v>
      </c>
      <c r="I437">
        <v>5.1641085650771898E-2</v>
      </c>
      <c r="N437">
        <f t="shared" si="42"/>
        <v>2.1174076429369179E-2</v>
      </c>
      <c r="O437">
        <f t="shared" si="43"/>
        <v>0.16547511229297554</v>
      </c>
      <c r="P437">
        <f t="shared" si="44"/>
        <v>4.8088050069008639E-2</v>
      </c>
      <c r="Q437">
        <f t="shared" si="45"/>
        <v>0.20406124884656998</v>
      </c>
      <c r="R437">
        <f t="shared" si="46"/>
        <v>0.11985391776136044</v>
      </c>
      <c r="S437">
        <f t="shared" si="47"/>
        <v>0.29569718659124661</v>
      </c>
      <c r="T437">
        <f t="shared" si="48"/>
        <v>1.9534958128954462E-3</v>
      </c>
    </row>
    <row r="438" spans="2:20" x14ac:dyDescent="0.2">
      <c r="B438">
        <v>2687</v>
      </c>
      <c r="C438">
        <v>0.48992395401000999</v>
      </c>
      <c r="D438">
        <v>0.201437119022012</v>
      </c>
      <c r="E438">
        <v>3.2104021310806301E-2</v>
      </c>
      <c r="F438" s="13">
        <v>0.372519824</v>
      </c>
      <c r="G438">
        <v>0.35718321949243498</v>
      </c>
      <c r="H438">
        <v>0.88063953518867499</v>
      </c>
      <c r="I438">
        <v>-5.0398355722427401E-2</v>
      </c>
      <c r="N438">
        <f t="shared" si="42"/>
        <v>2.490258875888518E-2</v>
      </c>
      <c r="O438">
        <f t="shared" si="43"/>
        <v>0.17072326421705103</v>
      </c>
      <c r="P438">
        <f t="shared" si="44"/>
        <v>4.3268989267483737E-2</v>
      </c>
      <c r="Q438">
        <f t="shared" si="45"/>
        <v>0.20660549049533422</v>
      </c>
      <c r="R438">
        <f t="shared" si="46"/>
        <v>0.12138861564175257</v>
      </c>
      <c r="S438">
        <f t="shared" si="47"/>
        <v>0.29685425364950696</v>
      </c>
      <c r="T438">
        <f t="shared" si="48"/>
        <v>-1.9064854202790289E-3</v>
      </c>
    </row>
    <row r="439" spans="2:20" x14ac:dyDescent="0.2">
      <c r="B439">
        <v>2689</v>
      </c>
      <c r="C439">
        <v>0.72746933996677399</v>
      </c>
      <c r="D439">
        <v>0.39249419420957599</v>
      </c>
      <c r="E439">
        <v>-5.9613509476184802E-2</v>
      </c>
      <c r="F439" s="13">
        <v>0.44155652699999998</v>
      </c>
      <c r="G439">
        <v>0.45046294927597003</v>
      </c>
      <c r="H439">
        <v>0.93422081470489504</v>
      </c>
      <c r="I439">
        <v>-8.5204917192459095E-2</v>
      </c>
      <c r="N439">
        <f t="shared" si="42"/>
        <v>3.2128284031609042E-2</v>
      </c>
      <c r="O439">
        <f t="shared" si="43"/>
        <v>0.18089395920971202</v>
      </c>
      <c r="P439">
        <f t="shared" si="44"/>
        <v>3.3929859415801837E-2</v>
      </c>
      <c r="Q439">
        <f t="shared" si="45"/>
        <v>0.21153611492700397</v>
      </c>
      <c r="R439">
        <f t="shared" si="46"/>
        <v>0.12436279508719462</v>
      </c>
      <c r="S439">
        <f t="shared" si="47"/>
        <v>0.29909659911237885</v>
      </c>
      <c r="T439">
        <f t="shared" si="48"/>
        <v>-3.2231593677017152E-3</v>
      </c>
    </row>
    <row r="440" spans="2:20" x14ac:dyDescent="0.2">
      <c r="B440">
        <v>2691</v>
      </c>
      <c r="C440">
        <v>1.3845971107482899</v>
      </c>
      <c r="D440">
        <v>0.92102016210556004</v>
      </c>
      <c r="E440">
        <v>-0.313333931565285</v>
      </c>
      <c r="F440" s="13">
        <v>0.63253444400000003</v>
      </c>
      <c r="G440">
        <v>0.70850507020950304</v>
      </c>
      <c r="H440">
        <v>1.0824440717697099</v>
      </c>
      <c r="I440">
        <v>-5.3742684237659002E-2</v>
      </c>
      <c r="N440">
        <f t="shared" si="42"/>
        <v>5.21169064491196E-2</v>
      </c>
      <c r="O440">
        <f t="shared" si="43"/>
        <v>0.209029407268329</v>
      </c>
      <c r="P440">
        <f t="shared" si="44"/>
        <v>8.0947987945478236E-3</v>
      </c>
      <c r="Q440">
        <f t="shared" si="45"/>
        <v>0.22517582167067038</v>
      </c>
      <c r="R440">
        <f t="shared" si="46"/>
        <v>0.13259034435132483</v>
      </c>
      <c r="S440">
        <f t="shared" si="47"/>
        <v>0.3052996564296413</v>
      </c>
      <c r="T440">
        <f t="shared" si="48"/>
        <v>-2.0329957689504867E-3</v>
      </c>
    </row>
    <row r="441" spans="2:20" x14ac:dyDescent="0.2">
      <c r="B441">
        <v>2693</v>
      </c>
      <c r="C441">
        <v>1.3698789536953</v>
      </c>
      <c r="D441">
        <v>0.78752207383513495</v>
      </c>
      <c r="E441">
        <v>-1.9089281558990499E-2</v>
      </c>
      <c r="F441" s="13">
        <v>0.581909177</v>
      </c>
      <c r="G441">
        <v>1.6777722954750101</v>
      </c>
      <c r="H441">
        <v>1.0987776800990099</v>
      </c>
      <c r="I441">
        <v>5.03446869552135E-3</v>
      </c>
      <c r="N441">
        <f t="shared" si="42"/>
        <v>5.1669207086689747E-2</v>
      </c>
      <c r="O441">
        <f t="shared" si="43"/>
        <v>0.20192279613357317</v>
      </c>
      <c r="P441">
        <f t="shared" si="44"/>
        <v>3.8056235512175227E-2</v>
      </c>
      <c r="Q441">
        <f t="shared" si="45"/>
        <v>0.22156014815958158</v>
      </c>
      <c r="R441">
        <f t="shared" si="46"/>
        <v>0.16349496495019555</v>
      </c>
      <c r="S441">
        <f t="shared" si="47"/>
        <v>0.30598320846237032</v>
      </c>
      <c r="T441">
        <f t="shared" si="48"/>
        <v>1.9044552206673356E-4</v>
      </c>
    </row>
    <row r="442" spans="2:20" x14ac:dyDescent="0.2">
      <c r="B442">
        <v>2695</v>
      </c>
      <c r="C442">
        <v>1.1863280653953601</v>
      </c>
      <c r="D442">
        <v>0.19098728299140899</v>
      </c>
      <c r="E442">
        <v>0.47923805117607099</v>
      </c>
      <c r="F442" s="13">
        <v>0.34869477500000001</v>
      </c>
      <c r="G442">
        <v>-0.140741175413132</v>
      </c>
      <c r="H442">
        <v>1.37273448705673</v>
      </c>
      <c r="I442">
        <v>0.15398372728377599</v>
      </c>
      <c r="N442">
        <f t="shared" si="42"/>
        <v>4.6085925472730972E-2</v>
      </c>
      <c r="O442">
        <f t="shared" si="43"/>
        <v>0.17016697968853386</v>
      </c>
      <c r="P442">
        <f t="shared" si="44"/>
        <v>8.879837421915325E-2</v>
      </c>
      <c r="Q442">
        <f t="shared" si="45"/>
        <v>0.20490389752260596</v>
      </c>
      <c r="R442">
        <f t="shared" si="46"/>
        <v>0.10551253512405673</v>
      </c>
      <c r="S442">
        <f t="shared" si="47"/>
        <v>0.3174481418990297</v>
      </c>
      <c r="T442">
        <f t="shared" si="48"/>
        <v>5.8249466042818261E-3</v>
      </c>
    </row>
    <row r="443" spans="2:20" x14ac:dyDescent="0.2">
      <c r="B443">
        <v>2697</v>
      </c>
      <c r="C443">
        <v>1.38059414625168</v>
      </c>
      <c r="D443">
        <v>0.21134099960327099</v>
      </c>
      <c r="E443">
        <v>0.44291075170040101</v>
      </c>
      <c r="F443" s="13">
        <v>5.5886406E-2</v>
      </c>
      <c r="G443">
        <v>-0.35234786272049001</v>
      </c>
      <c r="H443">
        <v>1.2170630514621701</v>
      </c>
      <c r="I443">
        <v>0.15430277213454199</v>
      </c>
      <c r="N443">
        <f t="shared" si="42"/>
        <v>5.1995143605680069E-2</v>
      </c>
      <c r="O443">
        <f t="shared" si="43"/>
        <v>0.17125048545990129</v>
      </c>
      <c r="P443">
        <f t="shared" si="44"/>
        <v>8.5099350008044222E-2</v>
      </c>
      <c r="Q443">
        <f t="shared" si="45"/>
        <v>0.18399142581913006</v>
      </c>
      <c r="R443">
        <f t="shared" si="46"/>
        <v>9.8765557389793202E-2</v>
      </c>
      <c r="S443">
        <f t="shared" si="47"/>
        <v>0.31093338263131681</v>
      </c>
      <c r="T443">
        <f t="shared" si="48"/>
        <v>5.8370155368428506E-3</v>
      </c>
    </row>
    <row r="444" spans="2:20" x14ac:dyDescent="0.2">
      <c r="B444">
        <v>2699</v>
      </c>
      <c r="C444">
        <v>1.4622933387756301</v>
      </c>
      <c r="D444">
        <v>0.35207315087318403</v>
      </c>
      <c r="E444">
        <v>0.27715594172477698</v>
      </c>
      <c r="F444" s="13">
        <v>0.109587169</v>
      </c>
      <c r="G444">
        <v>9.6647137403488195E-2</v>
      </c>
      <c r="H444">
        <v>1.0782212316989901</v>
      </c>
      <c r="I444">
        <v>0.46895771026611299</v>
      </c>
      <c r="N444">
        <f t="shared" si="42"/>
        <v>5.4480283305733478E-2</v>
      </c>
      <c r="O444">
        <f t="shared" si="43"/>
        <v>0.17874219329025584</v>
      </c>
      <c r="P444">
        <f t="shared" si="44"/>
        <v>6.8221380435374762E-2</v>
      </c>
      <c r="Q444">
        <f t="shared" si="45"/>
        <v>0.18782675228376594</v>
      </c>
      <c r="R444">
        <f t="shared" si="46"/>
        <v>0.11308154762233248</v>
      </c>
      <c r="S444">
        <f t="shared" si="47"/>
        <v>0.30512293302253896</v>
      </c>
      <c r="T444">
        <f t="shared" si="48"/>
        <v>1.7739885052478446E-2</v>
      </c>
    </row>
    <row r="445" spans="2:20" x14ac:dyDescent="0.2">
      <c r="B445">
        <v>2701</v>
      </c>
      <c r="C445">
        <v>1.48166544437408</v>
      </c>
      <c r="D445">
        <v>0.50114003419876096</v>
      </c>
      <c r="E445">
        <v>0.112124276161194</v>
      </c>
      <c r="F445" s="13">
        <v>0.705368145</v>
      </c>
      <c r="G445">
        <v>-0.11569606363773299</v>
      </c>
      <c r="H445">
        <v>1.3397340297699001</v>
      </c>
      <c r="I445">
        <v>0.61618345975875899</v>
      </c>
      <c r="N445">
        <f t="shared" si="42"/>
        <v>5.5069547253259299E-2</v>
      </c>
      <c r="O445">
        <f t="shared" si="43"/>
        <v>0.1866775906175866</v>
      </c>
      <c r="P445">
        <f t="shared" si="44"/>
        <v>5.1417044981587695E-2</v>
      </c>
      <c r="Q445">
        <f t="shared" si="45"/>
        <v>0.23037762897018074</v>
      </c>
      <c r="R445">
        <f t="shared" si="46"/>
        <v>0.10631108650091052</v>
      </c>
      <c r="S445">
        <f t="shared" si="47"/>
        <v>0.31606709190660803</v>
      </c>
      <c r="T445">
        <f t="shared" si="48"/>
        <v>2.3309188671097839E-2</v>
      </c>
    </row>
    <row r="446" spans="2:20" x14ac:dyDescent="0.2">
      <c r="B446">
        <v>2703</v>
      </c>
      <c r="C446">
        <v>1.73996829986572</v>
      </c>
      <c r="D446">
        <v>1.15668137073517</v>
      </c>
      <c r="E446">
        <v>0.44566324949264502</v>
      </c>
      <c r="F446" s="13">
        <v>0.52390600700000001</v>
      </c>
      <c r="G446">
        <v>0.335268399119377</v>
      </c>
      <c r="H446">
        <v>1.3787675738334699</v>
      </c>
      <c r="I446">
        <v>0.63035380840301503</v>
      </c>
      <c r="N446">
        <f t="shared" si="42"/>
        <v>6.2926646705389791E-2</v>
      </c>
      <c r="O446">
        <f t="shared" si="43"/>
        <v>0.22157454998141929</v>
      </c>
      <c r="P446">
        <f t="shared" si="44"/>
        <v>8.5379622864036553E-2</v>
      </c>
      <c r="Q446">
        <f t="shared" si="45"/>
        <v>0.21741754234718796</v>
      </c>
      <c r="R446">
        <f t="shared" si="46"/>
        <v>0.12068987210491602</v>
      </c>
      <c r="S446">
        <f t="shared" si="47"/>
        <v>0.31770062308057445</v>
      </c>
      <c r="T446">
        <f t="shared" si="48"/>
        <v>2.3845229236376098E-2</v>
      </c>
    </row>
    <row r="447" spans="2:20" x14ac:dyDescent="0.2">
      <c r="B447">
        <v>2705</v>
      </c>
      <c r="C447">
        <v>2.0407328844070398</v>
      </c>
      <c r="D447">
        <v>0.88744269609451298</v>
      </c>
      <c r="E447">
        <v>0.62622332572937001</v>
      </c>
      <c r="F447" s="13">
        <v>0.492756256</v>
      </c>
      <c r="G447">
        <v>0.73072521686554004</v>
      </c>
      <c r="H447">
        <v>1.3543580174446099</v>
      </c>
      <c r="I447">
        <v>0.95489549636840798</v>
      </c>
      <c r="N447">
        <f t="shared" si="42"/>
        <v>7.2075354132266622E-2</v>
      </c>
      <c r="O447">
        <f t="shared" si="43"/>
        <v>0.20724195100642645</v>
      </c>
      <c r="P447">
        <f t="shared" si="44"/>
        <v>0.10376513742744795</v>
      </c>
      <c r="Q447">
        <f t="shared" si="45"/>
        <v>0.21519281670637877</v>
      </c>
      <c r="R447">
        <f t="shared" si="46"/>
        <v>0.13329882307025395</v>
      </c>
      <c r="S447">
        <f t="shared" si="47"/>
        <v>0.31667909730676935</v>
      </c>
      <c r="T447">
        <f t="shared" si="48"/>
        <v>3.6122097945873094E-2</v>
      </c>
    </row>
    <row r="448" spans="2:20" x14ac:dyDescent="0.2">
      <c r="B448">
        <v>2707</v>
      </c>
      <c r="C448">
        <v>2.1965716600418101</v>
      </c>
      <c r="D448">
        <v>0.73963338732719397</v>
      </c>
      <c r="E448">
        <v>0.42204547375440599</v>
      </c>
      <c r="F448" s="13">
        <v>0.56279142400000004</v>
      </c>
      <c r="G448">
        <v>1.3286156415939301</v>
      </c>
      <c r="H448">
        <v>1.43523511886597</v>
      </c>
      <c r="I448">
        <v>0.926489853858948</v>
      </c>
      <c r="N448">
        <f t="shared" si="42"/>
        <v>7.6815684069115778E-2</v>
      </c>
      <c r="O448">
        <f t="shared" si="43"/>
        <v>0.19937349915729907</v>
      </c>
      <c r="P448">
        <f t="shared" si="44"/>
        <v>8.2974744837614578E-2</v>
      </c>
      <c r="Q448">
        <f t="shared" si="45"/>
        <v>0.22019475184248882</v>
      </c>
      <c r="R448">
        <f t="shared" si="46"/>
        <v>0.15236227250326978</v>
      </c>
      <c r="S448">
        <f t="shared" si="47"/>
        <v>0.32006375708085172</v>
      </c>
      <c r="T448">
        <f t="shared" si="48"/>
        <v>3.5047560046339105E-2</v>
      </c>
    </row>
    <row r="449" spans="2:20" x14ac:dyDescent="0.2">
      <c r="B449">
        <v>2709</v>
      </c>
      <c r="C449">
        <v>2.23838174343109</v>
      </c>
      <c r="D449">
        <v>0.70194835662841804</v>
      </c>
      <c r="E449">
        <v>0.15726459473371501</v>
      </c>
      <c r="F449" s="13">
        <v>0.66750093099999996</v>
      </c>
      <c r="G449">
        <v>1.5273898363113401</v>
      </c>
      <c r="H449">
        <v>1.6144695520401</v>
      </c>
      <c r="I449">
        <v>0.99876977354288099</v>
      </c>
      <c r="N449">
        <f t="shared" si="42"/>
        <v>7.8087470177194918E-2</v>
      </c>
      <c r="O449">
        <f t="shared" si="43"/>
        <v>0.19736738159975747</v>
      </c>
      <c r="P449">
        <f t="shared" si="44"/>
        <v>5.6013454120361156E-2</v>
      </c>
      <c r="Q449">
        <f t="shared" si="45"/>
        <v>0.2276731398738856</v>
      </c>
      <c r="R449">
        <f t="shared" si="46"/>
        <v>0.15870009236600668</v>
      </c>
      <c r="S449">
        <f t="shared" si="47"/>
        <v>0.32756461412732735</v>
      </c>
      <c r="T449">
        <f t="shared" si="48"/>
        <v>3.778178839726596E-2</v>
      </c>
    </row>
    <row r="450" spans="2:20" x14ac:dyDescent="0.2">
      <c r="B450">
        <v>2711</v>
      </c>
      <c r="C450">
        <v>2.2893656492233299</v>
      </c>
      <c r="D450">
        <v>0.812732565402985</v>
      </c>
      <c r="E450">
        <v>0.26025616973638499</v>
      </c>
      <c r="F450" s="13">
        <v>0.56894081799999996</v>
      </c>
      <c r="G450">
        <v>1.41731428205967</v>
      </c>
      <c r="H450">
        <v>1.9010803937912</v>
      </c>
      <c r="I450">
        <v>1.0629698246717501</v>
      </c>
      <c r="N450">
        <f t="shared" si="42"/>
        <v>7.9638307149187459E-2</v>
      </c>
      <c r="O450">
        <f t="shared" si="43"/>
        <v>0.20326484651354434</v>
      </c>
      <c r="P450">
        <f t="shared" si="44"/>
        <v>6.6500562575265126E-2</v>
      </c>
      <c r="Q450">
        <f t="shared" si="45"/>
        <v>0.2206339436198882</v>
      </c>
      <c r="R450">
        <f t="shared" si="46"/>
        <v>0.15519038611299021</v>
      </c>
      <c r="S450">
        <f t="shared" si="47"/>
        <v>0.3395591115789216</v>
      </c>
      <c r="T450">
        <f t="shared" si="48"/>
        <v>4.021036884803432E-2</v>
      </c>
    </row>
    <row r="451" spans="2:20" x14ac:dyDescent="0.2">
      <c r="B451">
        <v>2713</v>
      </c>
      <c r="C451">
        <v>2.16702363491058</v>
      </c>
      <c r="D451">
        <v>0.92309381961822501</v>
      </c>
      <c r="E451">
        <v>0.12507094293832799</v>
      </c>
      <c r="F451" s="13">
        <v>0.68318965399999998</v>
      </c>
      <c r="G451">
        <v>1.1306705743074399</v>
      </c>
      <c r="H451">
        <v>2.1603966712951701</v>
      </c>
      <c r="I451">
        <v>1.22063707113266</v>
      </c>
      <c r="N451">
        <f t="shared" si="42"/>
        <v>7.591688729960952E-2</v>
      </c>
      <c r="O451">
        <f t="shared" si="43"/>
        <v>0.20913979594699925</v>
      </c>
      <c r="P451">
        <f t="shared" si="44"/>
        <v>5.2735338236330004E-2</v>
      </c>
      <c r="Q451">
        <f t="shared" si="45"/>
        <v>0.22879363372083972</v>
      </c>
      <c r="R451">
        <f t="shared" si="46"/>
        <v>0.14605088897100271</v>
      </c>
      <c r="S451">
        <f t="shared" si="47"/>
        <v>0.35041134735156348</v>
      </c>
      <c r="T451">
        <f t="shared" si="48"/>
        <v>4.6174656815855891E-2</v>
      </c>
    </row>
    <row r="452" spans="2:20" x14ac:dyDescent="0.2">
      <c r="B452">
        <v>2715</v>
      </c>
      <c r="C452">
        <v>2.3777665138244601</v>
      </c>
      <c r="D452">
        <v>0.60367377400398303</v>
      </c>
      <c r="E452">
        <v>1.24452263116837E-3</v>
      </c>
      <c r="F452" s="13">
        <v>0.426886082</v>
      </c>
      <c r="G452">
        <v>1.05005321502686</v>
      </c>
      <c r="H452">
        <v>2.11293270587921</v>
      </c>
      <c r="I452">
        <v>1.4537619709968601</v>
      </c>
      <c r="N452">
        <f t="shared" si="42"/>
        <v>8.2327299431148054E-2</v>
      </c>
      <c r="O452">
        <f t="shared" si="43"/>
        <v>0.19213585167906261</v>
      </c>
      <c r="P452">
        <f t="shared" si="44"/>
        <v>4.0126723412155868E-2</v>
      </c>
      <c r="Q452">
        <f t="shared" si="45"/>
        <v>0.21048834683558065</v>
      </c>
      <c r="R452">
        <f t="shared" si="46"/>
        <v>0.14348044313593727</v>
      </c>
      <c r="S452">
        <f t="shared" si="47"/>
        <v>0.3484250079348617</v>
      </c>
      <c r="T452">
        <f t="shared" si="48"/>
        <v>5.4993381481060095E-2</v>
      </c>
    </row>
    <row r="453" spans="2:20" x14ac:dyDescent="0.2">
      <c r="B453">
        <v>2717</v>
      </c>
      <c r="C453">
        <v>2.3753690719604501</v>
      </c>
      <c r="D453">
        <v>0.63513439893722501</v>
      </c>
      <c r="E453">
        <v>-0.123814581334591</v>
      </c>
      <c r="F453" s="13">
        <v>0.59275093400000001</v>
      </c>
      <c r="G453">
        <v>1.0731329441070601</v>
      </c>
      <c r="H453">
        <v>2.0629127025604199</v>
      </c>
      <c r="I453">
        <v>1.50394459962845</v>
      </c>
      <c r="N453">
        <f t="shared" si="42"/>
        <v>8.2254373643624812E-2</v>
      </c>
      <c r="O453">
        <f t="shared" si="43"/>
        <v>0.19381062043682981</v>
      </c>
      <c r="P453">
        <f t="shared" si="44"/>
        <v>2.7392590678211069E-2</v>
      </c>
      <c r="Q453">
        <f t="shared" si="45"/>
        <v>0.22233447007275908</v>
      </c>
      <c r="R453">
        <f t="shared" si="46"/>
        <v>0.144216329228189</v>
      </c>
      <c r="S453">
        <f t="shared" si="47"/>
        <v>0.34633169981479767</v>
      </c>
      <c r="T453">
        <f t="shared" si="48"/>
        <v>5.6891706306662064E-2</v>
      </c>
    </row>
    <row r="454" spans="2:20" x14ac:dyDescent="0.2">
      <c r="B454">
        <v>2719</v>
      </c>
      <c r="C454">
        <v>2.3871567726135301</v>
      </c>
      <c r="D454">
        <v>0.87833420038223298</v>
      </c>
      <c r="E454">
        <v>9.3997202068567307E-2</v>
      </c>
      <c r="F454" s="13">
        <v>1.0130504490000001</v>
      </c>
      <c r="G454">
        <v>1.13086041808128</v>
      </c>
      <c r="H454">
        <v>2.0488686323165899</v>
      </c>
      <c r="I454">
        <v>1.4560445070266701</v>
      </c>
      <c r="N454">
        <f t="shared" ref="N454:N517" si="49">C454/$L$8+0.01</f>
        <v>8.2612933893246948E-2</v>
      </c>
      <c r="O454">
        <f t="shared" ref="O454:O517" si="50">D454/$L$9+0.16</f>
        <v>0.20675707112620942</v>
      </c>
      <c r="P454">
        <f t="shared" ref="P454:P517" si="51">E454/$L$10+0.04</f>
        <v>4.9571257188027615E-2</v>
      </c>
      <c r="Q454">
        <f t="shared" ref="Q454:Q517" si="52">F454/$L$11+0.18</f>
        <v>0.25235240208897869</v>
      </c>
      <c r="R454">
        <f t="shared" ref="R454:R517" si="53">G454/$L$12+0.11</f>
        <v>0.14605694204867897</v>
      </c>
      <c r="S454">
        <f t="shared" ref="S454:S517" si="54">H454/$L$13+0.26</f>
        <v>0.34574396362268278</v>
      </c>
      <c r="T454">
        <f t="shared" ref="T454:T517" si="55">I454/$L$14</f>
        <v>5.5079725997656259E-2</v>
      </c>
    </row>
    <row r="455" spans="2:20" x14ac:dyDescent="0.2">
      <c r="B455">
        <v>2721</v>
      </c>
      <c r="C455">
        <v>2.44497184753418</v>
      </c>
      <c r="D455">
        <v>0.957178843021393</v>
      </c>
      <c r="E455">
        <v>0.24503333121538201</v>
      </c>
      <c r="F455" s="13">
        <v>1.1859753850000001</v>
      </c>
      <c r="G455">
        <v>1.23257659673691</v>
      </c>
      <c r="H455">
        <v>1.9101469039917001</v>
      </c>
      <c r="I455">
        <v>1.3012055039405801</v>
      </c>
      <c r="N455">
        <f t="shared" si="49"/>
        <v>8.4371562510105677E-2</v>
      </c>
      <c r="O455">
        <f t="shared" si="50"/>
        <v>0.21095427141989656</v>
      </c>
      <c r="P455">
        <f t="shared" si="51"/>
        <v>6.4950498324309561E-2</v>
      </c>
      <c r="Q455">
        <f t="shared" si="52"/>
        <v>0.26470275888812256</v>
      </c>
      <c r="R455">
        <f t="shared" si="53"/>
        <v>0.14930011362012885</v>
      </c>
      <c r="S455">
        <f t="shared" si="54"/>
        <v>0.33993853977092697</v>
      </c>
      <c r="T455">
        <f t="shared" si="55"/>
        <v>4.9222425741671794E-2</v>
      </c>
    </row>
    <row r="456" spans="2:20" x14ac:dyDescent="0.2">
      <c r="B456">
        <v>2723</v>
      </c>
      <c r="C456">
        <v>2.5708052158355699</v>
      </c>
      <c r="D456">
        <v>0.86241251826286303</v>
      </c>
      <c r="E456">
        <v>0.16759595838375399</v>
      </c>
      <c r="F456" s="13">
        <v>1.321978557</v>
      </c>
      <c r="G456">
        <v>1.2939474344253501</v>
      </c>
      <c r="H456">
        <v>1.93251534700394</v>
      </c>
      <c r="I456">
        <v>1.41453239917755</v>
      </c>
      <c r="N456">
        <f t="shared" si="49"/>
        <v>8.8199182949139435E-2</v>
      </c>
      <c r="O456">
        <f t="shared" si="50"/>
        <v>0.20590949941264036</v>
      </c>
      <c r="P456">
        <f t="shared" si="51"/>
        <v>5.7065444354340994E-2</v>
      </c>
      <c r="Q456">
        <f t="shared" si="52"/>
        <v>0.27441615094636995</v>
      </c>
      <c r="R456">
        <f t="shared" si="53"/>
        <v>0.15125689334522127</v>
      </c>
      <c r="S456">
        <f t="shared" si="54"/>
        <v>0.34087464613406115</v>
      </c>
      <c r="T456">
        <f t="shared" si="55"/>
        <v>5.3509392457108236E-2</v>
      </c>
    </row>
    <row r="457" spans="2:20" x14ac:dyDescent="0.2">
      <c r="B457">
        <v>2725</v>
      </c>
      <c r="C457">
        <v>2.5400279045105001</v>
      </c>
      <c r="D457">
        <v>0.74111543893814102</v>
      </c>
      <c r="E457">
        <v>0.11675755996257101</v>
      </c>
      <c r="F457" s="13">
        <v>1.2273562309999999</v>
      </c>
      <c r="G457">
        <v>1.5829877614975001</v>
      </c>
      <c r="H457">
        <v>1.82163751125336</v>
      </c>
      <c r="I457">
        <v>1.47091243267059</v>
      </c>
      <c r="N457">
        <f t="shared" si="49"/>
        <v>8.7262993546625922E-2</v>
      </c>
      <c r="O457">
        <f t="shared" si="50"/>
        <v>0.19945239440304449</v>
      </c>
      <c r="P457">
        <f t="shared" si="51"/>
        <v>5.1888828714637035E-2</v>
      </c>
      <c r="Q457">
        <f t="shared" si="52"/>
        <v>0.26765819275770875</v>
      </c>
      <c r="R457">
        <f t="shared" si="53"/>
        <v>0.16047280554476087</v>
      </c>
      <c r="S457">
        <f t="shared" si="54"/>
        <v>0.33623447303306042</v>
      </c>
      <c r="T457">
        <f t="shared" si="55"/>
        <v>5.5642154732951525E-2</v>
      </c>
    </row>
    <row r="458" spans="2:20" x14ac:dyDescent="0.2">
      <c r="B458">
        <v>2727</v>
      </c>
      <c r="C458">
        <v>2.6298129558563201</v>
      </c>
      <c r="D458">
        <v>0.92030993700027497</v>
      </c>
      <c r="E458">
        <v>4.3274523317813902E-2</v>
      </c>
      <c r="F458" s="13">
        <v>0.941977799</v>
      </c>
      <c r="G458">
        <v>1.64841823577881</v>
      </c>
      <c r="H458">
        <v>1.9650899887085</v>
      </c>
      <c r="I458">
        <v>1.54567966461182</v>
      </c>
      <c r="N458">
        <f t="shared" si="49"/>
        <v>8.9994090252452238E-2</v>
      </c>
      <c r="O458">
        <f t="shared" si="50"/>
        <v>0.2089915992839092</v>
      </c>
      <c r="P458">
        <f t="shared" si="51"/>
        <v>4.4406424694023956E-2</v>
      </c>
      <c r="Q458">
        <f t="shared" si="52"/>
        <v>0.24727636964123112</v>
      </c>
      <c r="R458">
        <f t="shared" si="53"/>
        <v>0.16255902483553916</v>
      </c>
      <c r="S458">
        <f t="shared" si="54"/>
        <v>0.34223787599139938</v>
      </c>
      <c r="T458">
        <f t="shared" si="55"/>
        <v>5.8470473942324935E-2</v>
      </c>
    </row>
    <row r="459" spans="2:20" x14ac:dyDescent="0.2">
      <c r="B459">
        <v>2729</v>
      </c>
      <c r="C459">
        <v>2.54623284339905</v>
      </c>
      <c r="D459">
        <v>1.11965996026993</v>
      </c>
      <c r="E459">
        <v>6.1334830708801698E-2</v>
      </c>
      <c r="F459" s="13">
        <v>0.78363016799999996</v>
      </c>
      <c r="G459">
        <v>1.4159904479980501</v>
      </c>
      <c r="H459">
        <v>1.89815645217896</v>
      </c>
      <c r="I459">
        <v>1.5530509471893299</v>
      </c>
      <c r="N459">
        <f t="shared" si="49"/>
        <v>8.7451736415336892E-2</v>
      </c>
      <c r="O459">
        <f t="shared" si="50"/>
        <v>0.21960375945366511</v>
      </c>
      <c r="P459">
        <f t="shared" si="51"/>
        <v>4.6245413973810025E-2</v>
      </c>
      <c r="Q459">
        <f t="shared" si="52"/>
        <v>0.23596712884354085</v>
      </c>
      <c r="R459">
        <f t="shared" si="53"/>
        <v>0.15514817629887107</v>
      </c>
      <c r="S459">
        <f t="shared" si="54"/>
        <v>0.33943674631875786</v>
      </c>
      <c r="T459">
        <f t="shared" si="55"/>
        <v>5.8749317221264002E-2</v>
      </c>
    </row>
    <row r="460" spans="2:20" x14ac:dyDescent="0.2">
      <c r="B460">
        <v>2731</v>
      </c>
      <c r="C460">
        <v>2.6146863460540799</v>
      </c>
      <c r="D460">
        <v>1.0948447495698901</v>
      </c>
      <c r="E460">
        <v>0.14885268062353099</v>
      </c>
      <c r="F460" s="13">
        <v>0.88857142899999997</v>
      </c>
      <c r="G460">
        <v>1.5597851753234899</v>
      </c>
      <c r="H460">
        <v>2.0354142427444502</v>
      </c>
      <c r="I460">
        <v>1.4698857069015501</v>
      </c>
      <c r="N460">
        <f t="shared" si="49"/>
        <v>8.9533966505993615E-2</v>
      </c>
      <c r="O460">
        <f t="shared" si="50"/>
        <v>0.21828275137814135</v>
      </c>
      <c r="P460">
        <f t="shared" si="51"/>
        <v>5.5156911674199414E-2</v>
      </c>
      <c r="Q460">
        <f t="shared" si="52"/>
        <v>0.24346206882317503</v>
      </c>
      <c r="R460">
        <f t="shared" si="53"/>
        <v>0.15973300221299758</v>
      </c>
      <c r="S460">
        <f t="shared" si="54"/>
        <v>0.34518090522457817</v>
      </c>
      <c r="T460">
        <f t="shared" si="55"/>
        <v>5.5603315416048411E-2</v>
      </c>
    </row>
    <row r="461" spans="2:20" x14ac:dyDescent="0.2">
      <c r="B461">
        <v>2733</v>
      </c>
      <c r="C461">
        <v>2.6171242237091099</v>
      </c>
      <c r="D461">
        <v>1.0872115433216101</v>
      </c>
      <c r="E461">
        <v>0.213326918706298</v>
      </c>
      <c r="F461" s="13">
        <v>1.0579757329999999</v>
      </c>
      <c r="G461">
        <v>1.6331888675689701</v>
      </c>
      <c r="H461">
        <v>2.31127502918243</v>
      </c>
      <c r="I461">
        <v>1.47775920629501</v>
      </c>
      <c r="N461">
        <f t="shared" si="49"/>
        <v>8.9608122276169835E-2</v>
      </c>
      <c r="O461">
        <f t="shared" si="50"/>
        <v>0.21787640676886105</v>
      </c>
      <c r="P461">
        <f t="shared" si="51"/>
        <v>6.1721995539590825E-2</v>
      </c>
      <c r="Q461">
        <f t="shared" si="52"/>
        <v>0.25556098090668528</v>
      </c>
      <c r="R461">
        <f t="shared" si="53"/>
        <v>0.16207344373445873</v>
      </c>
      <c r="S461">
        <f t="shared" si="54"/>
        <v>0.35672551909790329</v>
      </c>
      <c r="T461">
        <f t="shared" si="55"/>
        <v>5.5901156716325742E-2</v>
      </c>
    </row>
    <row r="462" spans="2:20" x14ac:dyDescent="0.2">
      <c r="B462">
        <v>2735</v>
      </c>
      <c r="C462">
        <v>2.5893524646758999</v>
      </c>
      <c r="D462">
        <v>0.97505328655242895</v>
      </c>
      <c r="E462">
        <v>0.141535618156195</v>
      </c>
      <c r="F462" s="13">
        <v>1.045807028</v>
      </c>
      <c r="G462">
        <v>1.5874228954315199</v>
      </c>
      <c r="H462">
        <v>2.36993722915649</v>
      </c>
      <c r="I462">
        <v>1.53272740840912</v>
      </c>
      <c r="N462">
        <f t="shared" si="49"/>
        <v>8.8763356265863E-2</v>
      </c>
      <c r="O462">
        <f t="shared" si="50"/>
        <v>0.21190579605272808</v>
      </c>
      <c r="P462">
        <f t="shared" si="51"/>
        <v>5.4411852404407005E-2</v>
      </c>
      <c r="Q462">
        <f t="shared" si="52"/>
        <v>0.25469188792327929</v>
      </c>
      <c r="R462">
        <f t="shared" si="53"/>
        <v>0.16061421766307377</v>
      </c>
      <c r="S462">
        <f t="shared" si="54"/>
        <v>0.35918049813426794</v>
      </c>
      <c r="T462">
        <f t="shared" si="55"/>
        <v>5.7980511774785852E-2</v>
      </c>
    </row>
    <row r="463" spans="2:20" x14ac:dyDescent="0.2">
      <c r="B463">
        <v>2737</v>
      </c>
      <c r="C463">
        <v>2.60982685089111</v>
      </c>
      <c r="D463">
        <v>0.97388029098510698</v>
      </c>
      <c r="E463">
        <v>9.1664338856935507E-2</v>
      </c>
      <c r="F463" s="13">
        <v>1.1666672709999999</v>
      </c>
      <c r="G463">
        <v>1.7356303453445401</v>
      </c>
      <c r="H463">
        <v>2.2587544202804599</v>
      </c>
      <c r="I463">
        <v>1.4753124713897701</v>
      </c>
      <c r="N463">
        <f t="shared" si="49"/>
        <v>8.938614956951442E-2</v>
      </c>
      <c r="O463">
        <f t="shared" si="50"/>
        <v>0.21184335303599464</v>
      </c>
      <c r="P463">
        <f t="shared" si="51"/>
        <v>4.9333713587881634E-2</v>
      </c>
      <c r="Q463">
        <f t="shared" si="52"/>
        <v>0.26332376692470472</v>
      </c>
      <c r="R463">
        <f t="shared" si="53"/>
        <v>0.16533974112048083</v>
      </c>
      <c r="S463">
        <f t="shared" si="54"/>
        <v>0.35452756208489566</v>
      </c>
      <c r="T463">
        <f t="shared" si="55"/>
        <v>5.5808600831173082E-2</v>
      </c>
    </row>
    <row r="464" spans="2:20" x14ac:dyDescent="0.2">
      <c r="B464">
        <v>2739</v>
      </c>
      <c r="C464">
        <v>2.5287835597991899</v>
      </c>
      <c r="D464">
        <v>1.16898354291916</v>
      </c>
      <c r="E464">
        <v>0.15104394406080199</v>
      </c>
      <c r="F464" s="13">
        <v>1.2634963749999999</v>
      </c>
      <c r="G464">
        <v>1.81293201446533</v>
      </c>
      <c r="H464">
        <v>2.1559731245040901</v>
      </c>
      <c r="I464">
        <v>1.5088051080703699</v>
      </c>
      <c r="N464">
        <f t="shared" si="49"/>
        <v>8.6920961188901316E-2</v>
      </c>
      <c r="O464">
        <f t="shared" si="50"/>
        <v>0.22222944141063081</v>
      </c>
      <c r="P464">
        <f t="shared" si="51"/>
        <v>5.5380036889240848E-2</v>
      </c>
      <c r="Q464">
        <f t="shared" si="52"/>
        <v>0.27023933393663296</v>
      </c>
      <c r="R464">
        <f t="shared" si="53"/>
        <v>0.16780446776506852</v>
      </c>
      <c r="S464">
        <f t="shared" si="54"/>
        <v>0.3502262244846529</v>
      </c>
      <c r="T464">
        <f t="shared" si="55"/>
        <v>5.7075571203578535E-2</v>
      </c>
    </row>
    <row r="465" spans="2:20" x14ac:dyDescent="0.2">
      <c r="B465">
        <v>2741</v>
      </c>
      <c r="C465">
        <v>2.5191259860992399</v>
      </c>
      <c r="D465">
        <v>1.10698049068451</v>
      </c>
      <c r="E465">
        <v>0.186598416417837</v>
      </c>
      <c r="F465" s="13">
        <v>1.1307916520000001</v>
      </c>
      <c r="G465">
        <v>1.71883919239044</v>
      </c>
      <c r="H465">
        <v>2.24216275215149</v>
      </c>
      <c r="I465">
        <v>1.4238358736038199</v>
      </c>
      <c r="N465">
        <f t="shared" si="49"/>
        <v>8.662719549714247E-2</v>
      </c>
      <c r="O465">
        <f t="shared" si="50"/>
        <v>0.21892878304834004</v>
      </c>
      <c r="P465">
        <f t="shared" si="51"/>
        <v>5.9000368044050802E-2</v>
      </c>
      <c r="Q465">
        <f t="shared" si="52"/>
        <v>0.26076151820980481</v>
      </c>
      <c r="R465">
        <f t="shared" si="53"/>
        <v>0.16480436326189091</v>
      </c>
      <c r="S465">
        <f t="shared" si="54"/>
        <v>0.35383321039926241</v>
      </c>
      <c r="T465">
        <f t="shared" si="55"/>
        <v>5.3861327318818999E-2</v>
      </c>
    </row>
    <row r="466" spans="2:20" x14ac:dyDescent="0.2">
      <c r="B466">
        <v>2743</v>
      </c>
      <c r="C466">
        <v>2.4866388320922801</v>
      </c>
      <c r="D466">
        <v>1.0469776272773701</v>
      </c>
      <c r="E466">
        <v>8.2738918624818303E-2</v>
      </c>
      <c r="F466" s="13">
        <v>1.111287951</v>
      </c>
      <c r="G466">
        <v>1.9287747383117699</v>
      </c>
      <c r="H466">
        <v>2.2705976486206101</v>
      </c>
      <c r="I466">
        <v>1.5551661014556899</v>
      </c>
      <c r="N466">
        <f t="shared" si="49"/>
        <v>8.5638995814008786E-2</v>
      </c>
      <c r="O466">
        <f t="shared" si="50"/>
        <v>0.21573460234709563</v>
      </c>
      <c r="P466">
        <f t="shared" si="51"/>
        <v>4.8424883424080564E-2</v>
      </c>
      <c r="Q466">
        <f t="shared" si="52"/>
        <v>0.259368557357393</v>
      </c>
      <c r="R466">
        <f t="shared" si="53"/>
        <v>0.17149805745457164</v>
      </c>
      <c r="S466">
        <f t="shared" si="54"/>
        <v>0.35502319432014773</v>
      </c>
      <c r="T466">
        <f t="shared" si="55"/>
        <v>5.8829329965978651E-2</v>
      </c>
    </row>
    <row r="467" spans="2:20" x14ac:dyDescent="0.2">
      <c r="B467">
        <v>2745</v>
      </c>
      <c r="C467">
        <v>2.6540353775024399</v>
      </c>
      <c r="D467">
        <v>1.1485406517982499</v>
      </c>
      <c r="E467">
        <v>0.112734334170818</v>
      </c>
      <c r="F467" s="13">
        <v>1.233730972</v>
      </c>
      <c r="G467">
        <v>1.8748649358749401</v>
      </c>
      <c r="H467">
        <v>2.2294325828552202</v>
      </c>
      <c r="I467">
        <v>1.70884828567505</v>
      </c>
      <c r="N467">
        <f t="shared" si="49"/>
        <v>9.0730891924593104E-2</v>
      </c>
      <c r="O467">
        <f t="shared" si="50"/>
        <v>0.22114118854088058</v>
      </c>
      <c r="P467">
        <f t="shared" si="51"/>
        <v>5.1479164087063496E-2</v>
      </c>
      <c r="Q467">
        <f t="shared" si="52"/>
        <v>0.26811347889326143</v>
      </c>
      <c r="R467">
        <f t="shared" si="53"/>
        <v>0.16977916926002454</v>
      </c>
      <c r="S467">
        <f t="shared" si="54"/>
        <v>0.35330046019955064</v>
      </c>
      <c r="T467">
        <f t="shared" si="55"/>
        <v>6.4642869700975658E-2</v>
      </c>
    </row>
    <row r="468" spans="2:20" x14ac:dyDescent="0.2">
      <c r="B468">
        <v>2747</v>
      </c>
      <c r="C468">
        <v>2.6641163825988801</v>
      </c>
      <c r="D468">
        <v>1.31164026260376</v>
      </c>
      <c r="E468">
        <v>0.234566405415535</v>
      </c>
      <c r="F468" s="13">
        <v>1.3080703259999999</v>
      </c>
      <c r="G468">
        <v>1.72580766677856</v>
      </c>
      <c r="H468">
        <v>2.2478354454040499</v>
      </c>
      <c r="I468">
        <v>1.7027802705764801</v>
      </c>
      <c r="N468">
        <f t="shared" si="49"/>
        <v>9.1037537623377213E-2</v>
      </c>
      <c r="O468">
        <f t="shared" si="50"/>
        <v>0.22982360133975782</v>
      </c>
      <c r="P468">
        <f t="shared" si="51"/>
        <v>6.3884704485837024E-2</v>
      </c>
      <c r="Q468">
        <f t="shared" si="52"/>
        <v>0.27342282043390459</v>
      </c>
      <c r="R468">
        <f t="shared" si="53"/>
        <v>0.16502654972554523</v>
      </c>
      <c r="S468">
        <f t="shared" si="54"/>
        <v>0.35407060932090056</v>
      </c>
      <c r="T468">
        <f t="shared" si="55"/>
        <v>6.4413326848840338E-2</v>
      </c>
    </row>
    <row r="469" spans="2:20" x14ac:dyDescent="0.2">
      <c r="B469">
        <v>2749</v>
      </c>
      <c r="C469">
        <v>2.5844522953033402</v>
      </c>
      <c r="D469">
        <v>1.1011021614074701</v>
      </c>
      <c r="E469">
        <v>0.24177820533514</v>
      </c>
      <c r="F469" s="13">
        <v>1.2979477049999999</v>
      </c>
      <c r="G469">
        <v>1.7420921802520799</v>
      </c>
      <c r="H469">
        <v>2.2173515796661398</v>
      </c>
      <c r="I469">
        <v>1.6452277660369901</v>
      </c>
      <c r="N469">
        <f t="shared" si="49"/>
        <v>8.8614302094474906E-2</v>
      </c>
      <c r="O469">
        <f t="shared" si="50"/>
        <v>0.21861585721670301</v>
      </c>
      <c r="P469">
        <f t="shared" si="51"/>
        <v>6.4619045405567635E-2</v>
      </c>
      <c r="Q469">
        <f t="shared" si="52"/>
        <v>0.27269985945450881</v>
      </c>
      <c r="R469">
        <f t="shared" si="53"/>
        <v>0.16554577362729067</v>
      </c>
      <c r="S469">
        <f t="shared" si="54"/>
        <v>0.35279487722481456</v>
      </c>
      <c r="T469">
        <f t="shared" si="55"/>
        <v>6.2236211956255595E-2</v>
      </c>
    </row>
    <row r="470" spans="2:20" x14ac:dyDescent="0.2">
      <c r="B470">
        <v>2751</v>
      </c>
      <c r="C470">
        <v>2.6735622406005901</v>
      </c>
      <c r="D470">
        <v>1.0709178924560501</v>
      </c>
      <c r="E470">
        <v>0.17990843653678901</v>
      </c>
      <c r="F470" s="13">
        <v>1.1374189969999999</v>
      </c>
      <c r="G470">
        <v>1.8396821260452301</v>
      </c>
      <c r="H470">
        <v>2.3063249111175499</v>
      </c>
      <c r="I470">
        <v>1.5986967325210599</v>
      </c>
      <c r="N470">
        <f t="shared" si="49"/>
        <v>9.1324863311623594E-2</v>
      </c>
      <c r="O470">
        <f t="shared" si="50"/>
        <v>0.21700903374376984</v>
      </c>
      <c r="P470">
        <f t="shared" si="51"/>
        <v>5.8319161405819886E-2</v>
      </c>
      <c r="Q470">
        <f t="shared" si="52"/>
        <v>0.26123484540757241</v>
      </c>
      <c r="R470">
        <f t="shared" si="53"/>
        <v>0.16865738224293897</v>
      </c>
      <c r="S470">
        <f t="shared" si="54"/>
        <v>0.35651835952867161</v>
      </c>
      <c r="T470">
        <f t="shared" si="55"/>
        <v>6.047602086039492E-2</v>
      </c>
    </row>
    <row r="471" spans="2:20" x14ac:dyDescent="0.2">
      <c r="B471">
        <v>2753</v>
      </c>
      <c r="C471">
        <v>2.74302020072937</v>
      </c>
      <c r="D471">
        <v>1.11672992706299</v>
      </c>
      <c r="E471">
        <v>0.169154848903418</v>
      </c>
      <c r="F471" s="13">
        <v>1.2553968790000001</v>
      </c>
      <c r="G471">
        <v>1.9727787256240801</v>
      </c>
      <c r="H471">
        <v>2.34555947780609</v>
      </c>
      <c r="I471">
        <v>1.6604066371917701</v>
      </c>
      <c r="N471">
        <f t="shared" si="49"/>
        <v>9.3437647157683712E-2</v>
      </c>
      <c r="O471">
        <f t="shared" si="50"/>
        <v>0.21944778263869036</v>
      </c>
      <c r="P471">
        <f t="shared" si="51"/>
        <v>5.7224178250279714E-2</v>
      </c>
      <c r="Q471">
        <f t="shared" si="52"/>
        <v>0.26966086522178412</v>
      </c>
      <c r="R471">
        <f t="shared" si="53"/>
        <v>0.17290110348488794</v>
      </c>
      <c r="S471">
        <f t="shared" si="54"/>
        <v>0.35816030338287086</v>
      </c>
      <c r="T471">
        <f t="shared" si="55"/>
        <v>6.2810403239643126E-2</v>
      </c>
    </row>
    <row r="472" spans="2:20" x14ac:dyDescent="0.2">
      <c r="B472">
        <v>2755</v>
      </c>
      <c r="C472">
        <v>2.74496598243713</v>
      </c>
      <c r="D472">
        <v>1.0417208075523401</v>
      </c>
      <c r="E472">
        <v>0.18160690888762501</v>
      </c>
      <c r="F472" s="13">
        <v>1.275142121</v>
      </c>
      <c r="G472">
        <v>2.0321214675903301</v>
      </c>
      <c r="H472">
        <v>2.3202147006988501</v>
      </c>
      <c r="I472">
        <v>1.6965583801269499</v>
      </c>
      <c r="N472">
        <f t="shared" si="49"/>
        <v>9.3496834271046853E-2</v>
      </c>
      <c r="O472">
        <f t="shared" si="50"/>
        <v>0.21545476183345752</v>
      </c>
      <c r="P472">
        <f t="shared" si="51"/>
        <v>5.8492108209967808E-2</v>
      </c>
      <c r="Q472">
        <f t="shared" si="52"/>
        <v>0.27107107701324862</v>
      </c>
      <c r="R472">
        <f t="shared" si="53"/>
        <v>0.17479321835059103</v>
      </c>
      <c r="S472">
        <f t="shared" si="54"/>
        <v>0.35709963916456466</v>
      </c>
      <c r="T472">
        <f t="shared" si="55"/>
        <v>6.4177963149795611E-2</v>
      </c>
    </row>
    <row r="473" spans="2:20" x14ac:dyDescent="0.2">
      <c r="B473">
        <v>2757</v>
      </c>
      <c r="C473">
        <v>2.72290391921997</v>
      </c>
      <c r="D473">
        <v>1.1001167178154001</v>
      </c>
      <c r="E473">
        <v>0.157906159758568</v>
      </c>
      <c r="F473" s="13">
        <v>1.315379477</v>
      </c>
      <c r="G473">
        <v>2.0298651695251499</v>
      </c>
      <c r="H473">
        <v>2.3788991451263399</v>
      </c>
      <c r="I473">
        <v>1.6907331228256199</v>
      </c>
      <c r="N473">
        <f t="shared" si="49"/>
        <v>9.2825746742856416E-2</v>
      </c>
      <c r="O473">
        <f t="shared" si="50"/>
        <v>0.21856339830515747</v>
      </c>
      <c r="P473">
        <f t="shared" si="51"/>
        <v>5.607878142501041E-2</v>
      </c>
      <c r="Q473">
        <f t="shared" si="52"/>
        <v>0.27394484244436129</v>
      </c>
      <c r="R473">
        <f t="shared" si="53"/>
        <v>0.17472127736894558</v>
      </c>
      <c r="S473">
        <f t="shared" si="54"/>
        <v>0.35955554911840037</v>
      </c>
      <c r="T473">
        <f t="shared" si="55"/>
        <v>6.3957603418705863E-2</v>
      </c>
    </row>
    <row r="474" spans="2:20" x14ac:dyDescent="0.2">
      <c r="B474">
        <v>2759</v>
      </c>
      <c r="C474">
        <v>2.7348132610320999</v>
      </c>
      <c r="D474">
        <v>1.24234926700592</v>
      </c>
      <c r="E474">
        <v>0.18572132289409601</v>
      </c>
      <c r="F474" s="13">
        <v>1.3054205889999999</v>
      </c>
      <c r="G474">
        <v>1.9291389465332001</v>
      </c>
      <c r="H474">
        <v>2.3834351539611802</v>
      </c>
      <c r="I474">
        <v>1.7253807067871101</v>
      </c>
      <c r="N474">
        <f t="shared" si="49"/>
        <v>9.3188007093595551E-2</v>
      </c>
      <c r="O474">
        <f t="shared" si="50"/>
        <v>0.22613497802511956</v>
      </c>
      <c r="P474">
        <f t="shared" si="51"/>
        <v>5.8911058069828853E-2</v>
      </c>
      <c r="Q474">
        <f t="shared" si="52"/>
        <v>0.27323357533061948</v>
      </c>
      <c r="R474">
        <f t="shared" si="53"/>
        <v>0.17150967005903084</v>
      </c>
      <c r="S474">
        <f t="shared" si="54"/>
        <v>0.3597453784565981</v>
      </c>
      <c r="T474">
        <f t="shared" si="55"/>
        <v>6.5268263513139857E-2</v>
      </c>
    </row>
    <row r="475" spans="2:20" x14ac:dyDescent="0.2">
      <c r="B475">
        <v>2761</v>
      </c>
      <c r="C475">
        <v>2.7474638938903801</v>
      </c>
      <c r="D475">
        <v>1.22818133831024</v>
      </c>
      <c r="E475">
        <v>0.26033435687422801</v>
      </c>
      <c r="F475" s="13">
        <v>1.247276652</v>
      </c>
      <c r="G475">
        <v>1.9222190856933601</v>
      </c>
      <c r="H475">
        <v>2.3724006175994901</v>
      </c>
      <c r="I475">
        <v>1.71765406131744</v>
      </c>
      <c r="N475">
        <f t="shared" si="49"/>
        <v>9.357281615933627E-2</v>
      </c>
      <c r="O475">
        <f t="shared" si="50"/>
        <v>0.22538076527848316</v>
      </c>
      <c r="P475">
        <f t="shared" si="51"/>
        <v>6.650852397399426E-2</v>
      </c>
      <c r="Q475">
        <f t="shared" si="52"/>
        <v>0.26908091589197758</v>
      </c>
      <c r="R475">
        <f t="shared" si="53"/>
        <v>0.17128903361504746</v>
      </c>
      <c r="S475">
        <f t="shared" si="54"/>
        <v>0.35928358951148637</v>
      </c>
      <c r="T475">
        <f t="shared" si="55"/>
        <v>6.4975977450937319E-2</v>
      </c>
    </row>
    <row r="476" spans="2:20" x14ac:dyDescent="0.2">
      <c r="B476">
        <v>2763</v>
      </c>
      <c r="C476">
        <v>2.67075762748718</v>
      </c>
      <c r="D476">
        <v>1.2202988147735601</v>
      </c>
      <c r="E476">
        <v>0.30147207078989602</v>
      </c>
      <c r="F476" s="13">
        <v>1.261756659</v>
      </c>
      <c r="G476">
        <v>2.1237027168273901</v>
      </c>
      <c r="H476">
        <v>2.38420300483704</v>
      </c>
      <c r="I476">
        <v>1.6833585739135699</v>
      </c>
      <c r="N476">
        <f t="shared" si="49"/>
        <v>9.1239552120948322E-2</v>
      </c>
      <c r="O476">
        <f t="shared" si="50"/>
        <v>0.22496114856140875</v>
      </c>
      <c r="P476">
        <f t="shared" si="51"/>
        <v>7.0697368230519503E-2</v>
      </c>
      <c r="Q476">
        <f t="shared" si="52"/>
        <v>0.27011508283771002</v>
      </c>
      <c r="R476">
        <f t="shared" si="53"/>
        <v>0.17771324255843179</v>
      </c>
      <c r="S476">
        <f t="shared" si="54"/>
        <v>0.35977751257028839</v>
      </c>
      <c r="T476">
        <f t="shared" si="55"/>
        <v>6.3678636579799622E-2</v>
      </c>
    </row>
    <row r="477" spans="2:20" x14ac:dyDescent="0.2">
      <c r="B477">
        <v>2765</v>
      </c>
      <c r="C477">
        <v>2.7310523509979201</v>
      </c>
      <c r="D477">
        <v>1.07961796522141</v>
      </c>
      <c r="E477">
        <v>0.25489138998091199</v>
      </c>
      <c r="F477" s="13">
        <v>1.3840296750000001</v>
      </c>
      <c r="G477">
        <v>2.00515534877777</v>
      </c>
      <c r="H477">
        <v>2.3311393737792998</v>
      </c>
      <c r="I477">
        <v>1.69107780456543</v>
      </c>
      <c r="N477">
        <f t="shared" si="49"/>
        <v>9.3073607103270922E-2</v>
      </c>
      <c r="O477">
        <f t="shared" si="50"/>
        <v>0.2174721717166691</v>
      </c>
      <c r="P477">
        <f t="shared" si="51"/>
        <v>6.5954294328266674E-2</v>
      </c>
      <c r="Q477">
        <f t="shared" si="52"/>
        <v>0.2788478625595856</v>
      </c>
      <c r="R477">
        <f t="shared" si="53"/>
        <v>0.17393341658570832</v>
      </c>
      <c r="S477">
        <f t="shared" si="54"/>
        <v>0.35755683039509301</v>
      </c>
      <c r="T477">
        <f t="shared" si="55"/>
        <v>6.3970642151858256E-2</v>
      </c>
    </row>
    <row r="478" spans="2:20" x14ac:dyDescent="0.2">
      <c r="B478">
        <v>2767</v>
      </c>
      <c r="C478">
        <v>2.7360694408416699</v>
      </c>
      <c r="D478">
        <v>1.01153907775879</v>
      </c>
      <c r="E478">
        <v>0.25780149288475501</v>
      </c>
      <c r="F478" s="13">
        <v>1.498128414</v>
      </c>
      <c r="G478">
        <v>1.9816204547882099</v>
      </c>
      <c r="H478">
        <v>2.3346951723098801</v>
      </c>
      <c r="I478">
        <v>1.7154501914978</v>
      </c>
      <c r="N478">
        <f t="shared" si="49"/>
        <v>9.3226217781103293E-2</v>
      </c>
      <c r="O478">
        <f t="shared" si="50"/>
        <v>0.21384807352955801</v>
      </c>
      <c r="P478">
        <f t="shared" si="51"/>
        <v>6.6250615311480507E-2</v>
      </c>
      <c r="Q478">
        <f t="shared" si="52"/>
        <v>0.28699683268256654</v>
      </c>
      <c r="R478">
        <f t="shared" si="53"/>
        <v>0.17318301777862727</v>
      </c>
      <c r="S478">
        <f t="shared" si="54"/>
        <v>0.35770563850072101</v>
      </c>
      <c r="T478">
        <f t="shared" si="55"/>
        <v>6.4892608745369271E-2</v>
      </c>
    </row>
    <row r="479" spans="2:20" x14ac:dyDescent="0.2">
      <c r="B479">
        <v>2769</v>
      </c>
      <c r="C479">
        <v>2.70536184310913</v>
      </c>
      <c r="D479">
        <v>0.887792468070984</v>
      </c>
      <c r="E479">
        <v>0.25990609712898699</v>
      </c>
      <c r="F479" s="13">
        <v>1.4640292049999999</v>
      </c>
      <c r="G479">
        <v>1.98014252185822</v>
      </c>
      <c r="H479">
        <v>2.4213552236556999</v>
      </c>
      <c r="I479">
        <v>1.75832381248474</v>
      </c>
      <c r="N479">
        <f t="shared" si="49"/>
        <v>9.2292148938304952E-2</v>
      </c>
      <c r="O479">
        <f t="shared" si="50"/>
        <v>0.20726057069944839</v>
      </c>
      <c r="P479">
        <f t="shared" si="51"/>
        <v>6.646491646148564E-2</v>
      </c>
      <c r="Q479">
        <f t="shared" si="52"/>
        <v>0.28456145576434938</v>
      </c>
      <c r="R479">
        <f t="shared" si="53"/>
        <v>0.17313589459599887</v>
      </c>
      <c r="S479">
        <f t="shared" si="54"/>
        <v>0.36133231137419575</v>
      </c>
      <c r="T479">
        <f t="shared" si="55"/>
        <v>6.6514446048481848E-2</v>
      </c>
    </row>
    <row r="480" spans="2:20" x14ac:dyDescent="0.2">
      <c r="B480">
        <v>2771</v>
      </c>
      <c r="C480">
        <v>2.73672699928284</v>
      </c>
      <c r="D480">
        <v>0.99735139608383205</v>
      </c>
      <c r="E480">
        <v>0.29047963246703101</v>
      </c>
      <c r="F480" s="13">
        <v>1.3550282</v>
      </c>
      <c r="G480">
        <v>2.0637649297714198</v>
      </c>
      <c r="H480">
        <v>2.47827100753784</v>
      </c>
      <c r="I480">
        <v>1.8081823825836201</v>
      </c>
      <c r="N480">
        <f t="shared" si="49"/>
        <v>9.3246219503724706E-2</v>
      </c>
      <c r="O480">
        <f t="shared" si="50"/>
        <v>0.21309280925668403</v>
      </c>
      <c r="P480">
        <f t="shared" si="51"/>
        <v>6.9578064123627853E-2</v>
      </c>
      <c r="Q480">
        <f t="shared" si="52"/>
        <v>0.27677656750962559</v>
      </c>
      <c r="R480">
        <f t="shared" si="53"/>
        <v>0.17580215496543777</v>
      </c>
      <c r="S480">
        <f t="shared" si="54"/>
        <v>0.36371420391028714</v>
      </c>
      <c r="T480">
        <f t="shared" si="55"/>
        <v>6.840051228232874E-2</v>
      </c>
    </row>
    <row r="481" spans="2:20" x14ac:dyDescent="0.2">
      <c r="B481">
        <v>2773</v>
      </c>
      <c r="C481">
        <v>2.7932503223419198</v>
      </c>
      <c r="D481">
        <v>1.02243521213531</v>
      </c>
      <c r="E481">
        <v>0.26695712357759499</v>
      </c>
      <c r="F481" s="13">
        <v>1.3399852990000001</v>
      </c>
      <c r="G481">
        <v>2.1939542293548602</v>
      </c>
      <c r="H481">
        <v>2.5568290233612099</v>
      </c>
      <c r="I481">
        <v>1.78899548053741</v>
      </c>
      <c r="N481">
        <f t="shared" si="49"/>
        <v>9.4965555396449533E-2</v>
      </c>
      <c r="O481">
        <f t="shared" si="50"/>
        <v>0.21442811621697921</v>
      </c>
      <c r="P481">
        <f t="shared" si="51"/>
        <v>6.7182886636065753E-2</v>
      </c>
      <c r="Q481">
        <f t="shared" si="52"/>
        <v>0.27570219848603839</v>
      </c>
      <c r="R481">
        <f t="shared" si="53"/>
        <v>0.17995317834142865</v>
      </c>
      <c r="S481">
        <f t="shared" si="54"/>
        <v>0.36700181129749826</v>
      </c>
      <c r="T481">
        <f t="shared" si="55"/>
        <v>6.7674703900545696E-2</v>
      </c>
    </row>
    <row r="482" spans="2:20" x14ac:dyDescent="0.2">
      <c r="B482">
        <v>2775</v>
      </c>
      <c r="C482">
        <v>2.7986152648925802</v>
      </c>
      <c r="D482">
        <v>1.05468444824219</v>
      </c>
      <c r="E482">
        <v>0.31586561826989101</v>
      </c>
      <c r="F482" s="13">
        <v>1.468013024</v>
      </c>
      <c r="G482">
        <v>2.0978350162506101</v>
      </c>
      <c r="H482">
        <v>2.5494828224182098</v>
      </c>
      <c r="I482">
        <v>1.7813606977462799</v>
      </c>
      <c r="N482">
        <f t="shared" si="49"/>
        <v>9.5128747116089152E-2</v>
      </c>
      <c r="O482">
        <f t="shared" si="50"/>
        <v>0.216144865747806</v>
      </c>
      <c r="P482">
        <f t="shared" si="51"/>
        <v>7.216298999103346E-2</v>
      </c>
      <c r="Q482">
        <f t="shared" si="52"/>
        <v>0.28484598145053042</v>
      </c>
      <c r="R482">
        <f t="shared" si="53"/>
        <v>0.17688846333217501</v>
      </c>
      <c r="S482">
        <f t="shared" si="54"/>
        <v>0.36669437704989138</v>
      </c>
      <c r="T482">
        <f t="shared" si="55"/>
        <v>6.7385892849676249E-2</v>
      </c>
    </row>
    <row r="483" spans="2:20" x14ac:dyDescent="0.2">
      <c r="B483">
        <v>2777</v>
      </c>
      <c r="C483">
        <v>2.74675722122192</v>
      </c>
      <c r="D483">
        <v>1.10939229726791</v>
      </c>
      <c r="E483">
        <v>0.29100399948656602</v>
      </c>
      <c r="F483" s="13">
        <v>1.5659209249999999</v>
      </c>
      <c r="G483">
        <v>2.0629452228546099</v>
      </c>
      <c r="H483">
        <v>2.5819616079330401</v>
      </c>
      <c r="I483">
        <v>1.7829828977584801</v>
      </c>
      <c r="N483">
        <f t="shared" si="49"/>
        <v>9.3551320471936192E-2</v>
      </c>
      <c r="O483">
        <f t="shared" si="50"/>
        <v>0.21905717268854033</v>
      </c>
      <c r="P483">
        <f t="shared" si="51"/>
        <v>6.9631457751251236E-2</v>
      </c>
      <c r="Q483">
        <f t="shared" si="52"/>
        <v>0.29183859650522243</v>
      </c>
      <c r="R483">
        <f t="shared" si="53"/>
        <v>0.17577601900354209</v>
      </c>
      <c r="S483">
        <f t="shared" si="54"/>
        <v>0.36805359538129989</v>
      </c>
      <c r="T483">
        <f t="shared" si="55"/>
        <v>6.7447257960257814E-2</v>
      </c>
    </row>
    <row r="484" spans="2:20" x14ac:dyDescent="0.2">
      <c r="B484">
        <v>2779</v>
      </c>
      <c r="C484">
        <v>2.79765858650208</v>
      </c>
      <c r="D484">
        <v>1.29156942367554</v>
      </c>
      <c r="E484">
        <v>0.33590203486383002</v>
      </c>
      <c r="F484" s="13">
        <v>1.586876202</v>
      </c>
      <c r="G484">
        <v>2.06061036586761</v>
      </c>
      <c r="H484">
        <v>2.6460736751556402</v>
      </c>
      <c r="I484">
        <v>1.68684980869293</v>
      </c>
      <c r="N484">
        <f t="shared" si="49"/>
        <v>9.5099646712829736E-2</v>
      </c>
      <c r="O484">
        <f t="shared" si="50"/>
        <v>0.2287551542237044</v>
      </c>
      <c r="P484">
        <f t="shared" si="51"/>
        <v>7.4203196424062839E-2</v>
      </c>
      <c r="Q484">
        <f t="shared" si="52"/>
        <v>0.29333522940133</v>
      </c>
      <c r="R484">
        <f t="shared" si="53"/>
        <v>0.17570157320835275</v>
      </c>
      <c r="S484">
        <f t="shared" si="54"/>
        <v>0.37073664820030572</v>
      </c>
      <c r="T484">
        <f t="shared" si="55"/>
        <v>6.3810704146493258E-2</v>
      </c>
    </row>
    <row r="485" spans="2:20" x14ac:dyDescent="0.2">
      <c r="B485">
        <v>2781</v>
      </c>
      <c r="C485">
        <v>2.85454335212708</v>
      </c>
      <c r="D485">
        <v>1.3858273029327399</v>
      </c>
      <c r="E485">
        <v>0.30786807255353799</v>
      </c>
      <c r="F485" s="13">
        <v>1.4970988039999999</v>
      </c>
      <c r="G485">
        <v>2.16032910346985</v>
      </c>
      <c r="H485">
        <v>2.6838450431823699</v>
      </c>
      <c r="I485">
        <v>1.70054705142975</v>
      </c>
      <c r="N485">
        <f t="shared" si="49"/>
        <v>9.6829977025965686E-2</v>
      </c>
      <c r="O485">
        <f t="shared" si="50"/>
        <v>0.23377285974253381</v>
      </c>
      <c r="P485">
        <f t="shared" si="51"/>
        <v>7.1348640571692379E-2</v>
      </c>
      <c r="Q485">
        <f t="shared" si="52"/>
        <v>0.28692329759180346</v>
      </c>
      <c r="R485">
        <f t="shared" si="53"/>
        <v>0.17888105732982545</v>
      </c>
      <c r="S485">
        <f t="shared" si="54"/>
        <v>0.37231735803937482</v>
      </c>
      <c r="T485">
        <f t="shared" si="55"/>
        <v>6.4328847907364997E-2</v>
      </c>
    </row>
    <row r="486" spans="2:20" x14ac:dyDescent="0.2">
      <c r="B486">
        <v>2783</v>
      </c>
      <c r="C486">
        <v>2.86992297172546</v>
      </c>
      <c r="D486">
        <v>1.27447121143341</v>
      </c>
      <c r="E486">
        <v>0.27145244479179398</v>
      </c>
      <c r="F486" s="13">
        <v>1.3463773969999999</v>
      </c>
      <c r="G486">
        <v>2.08882489204407</v>
      </c>
      <c r="H486">
        <v>2.68896155357361</v>
      </c>
      <c r="I486">
        <v>1.7835161685943599</v>
      </c>
      <c r="N486">
        <f t="shared" si="49"/>
        <v>9.7297796866711958E-2</v>
      </c>
      <c r="O486">
        <f t="shared" si="50"/>
        <v>0.22784495133556867</v>
      </c>
      <c r="P486">
        <f t="shared" si="51"/>
        <v>6.7640622340289266E-2</v>
      </c>
      <c r="Q486">
        <f t="shared" si="52"/>
        <v>0.27615872426433963</v>
      </c>
      <c r="R486">
        <f t="shared" si="53"/>
        <v>0.17660117984327384</v>
      </c>
      <c r="S486">
        <f t="shared" si="54"/>
        <v>0.37253148103093309</v>
      </c>
      <c r="T486">
        <f t="shared" si="55"/>
        <v>6.7467430703179523E-2</v>
      </c>
    </row>
    <row r="487" spans="2:20" x14ac:dyDescent="0.2">
      <c r="B487">
        <v>2785</v>
      </c>
      <c r="C487">
        <v>2.8928502082824701</v>
      </c>
      <c r="D487">
        <v>1.2257808208465599</v>
      </c>
      <c r="E487">
        <v>0.22575494647026101</v>
      </c>
      <c r="F487" s="13">
        <v>1.321772122</v>
      </c>
      <c r="G487">
        <v>2.0518388986587501</v>
      </c>
      <c r="H487">
        <v>2.7031290531158398</v>
      </c>
      <c r="I487">
        <v>1.85342485904694</v>
      </c>
      <c r="N487">
        <f t="shared" si="49"/>
        <v>9.799520138222953E-2</v>
      </c>
      <c r="O487">
        <f t="shared" si="50"/>
        <v>0.22525297660107521</v>
      </c>
      <c r="P487">
        <f t="shared" si="51"/>
        <v>6.2987478420475584E-2</v>
      </c>
      <c r="Q487">
        <f t="shared" si="52"/>
        <v>0.27440140728958562</v>
      </c>
      <c r="R487">
        <f t="shared" si="53"/>
        <v>0.17542189918335827</v>
      </c>
      <c r="S487">
        <f t="shared" si="54"/>
        <v>0.37312438266757919</v>
      </c>
      <c r="T487">
        <f t="shared" si="55"/>
        <v>7.0111959422185594E-2</v>
      </c>
    </row>
    <row r="488" spans="2:20" x14ac:dyDescent="0.2">
      <c r="B488">
        <v>2787</v>
      </c>
      <c r="C488">
        <v>2.9045059680938698</v>
      </c>
      <c r="D488">
        <v>1.2315778017044099</v>
      </c>
      <c r="E488">
        <v>0.24574706330895399</v>
      </c>
      <c r="F488" s="13">
        <v>1.4521849870000001</v>
      </c>
      <c r="G488">
        <v>2.01749138832092</v>
      </c>
      <c r="H488">
        <v>2.72677803039551</v>
      </c>
      <c r="I488">
        <v>1.8655115604400601</v>
      </c>
      <c r="N488">
        <f t="shared" si="49"/>
        <v>9.8349748233266088E-2</v>
      </c>
      <c r="O488">
        <f t="shared" si="50"/>
        <v>0.22556157194686707</v>
      </c>
      <c r="P488">
        <f t="shared" si="51"/>
        <v>6.5023174034656156E-2</v>
      </c>
      <c r="Q488">
        <f t="shared" si="52"/>
        <v>0.28371553775107433</v>
      </c>
      <c r="R488">
        <f t="shared" si="53"/>
        <v>0.17432674528994599</v>
      </c>
      <c r="S488">
        <f t="shared" si="54"/>
        <v>0.37411407864691049</v>
      </c>
      <c r="T488">
        <f t="shared" si="55"/>
        <v>7.0569179100386237E-2</v>
      </c>
    </row>
    <row r="489" spans="2:20" x14ac:dyDescent="0.2">
      <c r="B489">
        <v>2789</v>
      </c>
      <c r="C489">
        <v>2.8928665637969999</v>
      </c>
      <c r="D489">
        <v>1.2550518751144399</v>
      </c>
      <c r="E489">
        <v>0.30241867601871503</v>
      </c>
      <c r="F489" s="13">
        <v>1.4726317760000001</v>
      </c>
      <c r="G489">
        <v>2.1192196130752601</v>
      </c>
      <c r="H489">
        <v>2.7405385494232202</v>
      </c>
      <c r="I489">
        <v>1.9372496843338001</v>
      </c>
      <c r="N489">
        <f t="shared" si="49"/>
        <v>9.7995698887005489E-2</v>
      </c>
      <c r="O489">
        <f t="shared" si="50"/>
        <v>0.22681118618206023</v>
      </c>
      <c r="P489">
        <f t="shared" si="51"/>
        <v>7.0793756228259591E-2</v>
      </c>
      <c r="Q489">
        <f t="shared" si="52"/>
        <v>0.28517585426405434</v>
      </c>
      <c r="R489">
        <f t="shared" si="53"/>
        <v>0.17757030094547571</v>
      </c>
      <c r="S489">
        <f t="shared" si="54"/>
        <v>0.37468994838513137</v>
      </c>
      <c r="T489">
        <f t="shared" si="55"/>
        <v>7.3282912223642166E-2</v>
      </c>
    </row>
    <row r="490" spans="2:20" x14ac:dyDescent="0.2">
      <c r="B490">
        <v>2791</v>
      </c>
      <c r="C490">
        <v>2.9237154483795198</v>
      </c>
      <c r="D490">
        <v>1.35536032915115</v>
      </c>
      <c r="E490">
        <v>0.28394766375422498</v>
      </c>
      <c r="F490" s="13">
        <v>1.3769910569999999</v>
      </c>
      <c r="G490">
        <v>2.1457426786422702</v>
      </c>
      <c r="H490">
        <v>2.7315936088561998</v>
      </c>
      <c r="I490">
        <v>1.92660441398621</v>
      </c>
      <c r="N490">
        <f t="shared" si="49"/>
        <v>9.8934065416832709E-2</v>
      </c>
      <c r="O490">
        <f t="shared" si="50"/>
        <v>0.23215098681593455</v>
      </c>
      <c r="P490">
        <f t="shared" si="51"/>
        <v>6.8912946959301932E-2</v>
      </c>
      <c r="Q490">
        <f t="shared" si="52"/>
        <v>0.27834516210652382</v>
      </c>
      <c r="R490">
        <f t="shared" si="53"/>
        <v>0.17841597617012067</v>
      </c>
      <c r="S490">
        <f t="shared" si="54"/>
        <v>0.37431560781175921</v>
      </c>
      <c r="T490">
        <f t="shared" si="55"/>
        <v>7.2880219468656554E-2</v>
      </c>
    </row>
    <row r="491" spans="2:20" x14ac:dyDescent="0.2">
      <c r="B491">
        <v>2793</v>
      </c>
      <c r="C491">
        <v>2.9409264087676998</v>
      </c>
      <c r="D491">
        <v>1.4207394838333101</v>
      </c>
      <c r="E491">
        <v>0.25079927742481201</v>
      </c>
      <c r="F491" s="13">
        <v>1.427757132</v>
      </c>
      <c r="G491">
        <v>2.2363674163818401</v>
      </c>
      <c r="H491">
        <v>2.7760201454162599</v>
      </c>
      <c r="I491">
        <v>1.8501688957214399</v>
      </c>
      <c r="N491">
        <f t="shared" si="49"/>
        <v>9.9457591287962638E-2</v>
      </c>
      <c r="O491">
        <f t="shared" si="50"/>
        <v>0.23563136795595496</v>
      </c>
      <c r="P491">
        <f t="shared" si="51"/>
        <v>6.553761531171233E-2</v>
      </c>
      <c r="Q491">
        <f t="shared" si="52"/>
        <v>0.28197089217209459</v>
      </c>
      <c r="R491">
        <f t="shared" si="53"/>
        <v>0.18130550246762484</v>
      </c>
      <c r="S491">
        <f t="shared" si="54"/>
        <v>0.37617483259298906</v>
      </c>
      <c r="T491">
        <f t="shared" si="55"/>
        <v>6.9988791780701082E-2</v>
      </c>
    </row>
    <row r="492" spans="2:20" x14ac:dyDescent="0.2">
      <c r="B492">
        <v>2795</v>
      </c>
      <c r="C492">
        <v>2.9509687423706099</v>
      </c>
      <c r="D492">
        <v>1.3576288223266599</v>
      </c>
      <c r="E492">
        <v>0.23618214121088399</v>
      </c>
      <c r="F492" s="13">
        <v>1.6333991999999999</v>
      </c>
      <c r="G492">
        <v>2.2003863573074298</v>
      </c>
      <c r="H492">
        <v>2.8365641117095901</v>
      </c>
      <c r="I492">
        <v>1.88577554225922</v>
      </c>
      <c r="N492">
        <f t="shared" si="49"/>
        <v>9.9763060670789855E-2</v>
      </c>
      <c r="O492">
        <f t="shared" si="50"/>
        <v>0.23227174733819417</v>
      </c>
      <c r="P492">
        <f t="shared" si="51"/>
        <v>6.4049226647187166E-2</v>
      </c>
      <c r="Q492">
        <f t="shared" si="52"/>
        <v>0.29665791748759801</v>
      </c>
      <c r="R492">
        <f t="shared" si="53"/>
        <v>0.18015826365622728</v>
      </c>
      <c r="S492">
        <f t="shared" si="54"/>
        <v>0.3787085624581189</v>
      </c>
      <c r="T492">
        <f t="shared" si="55"/>
        <v>7.1335731606737868E-2</v>
      </c>
    </row>
    <row r="493" spans="2:20" x14ac:dyDescent="0.2">
      <c r="B493">
        <v>2797</v>
      </c>
      <c r="C493">
        <v>2.9259764194488498</v>
      </c>
      <c r="D493">
        <v>1.2082715034484901</v>
      </c>
      <c r="E493">
        <v>0.273522534966469</v>
      </c>
      <c r="F493" s="13">
        <v>1.6715688710000001</v>
      </c>
      <c r="G493">
        <v>2.1718437433242799</v>
      </c>
      <c r="H493">
        <v>2.8475701808929399</v>
      </c>
      <c r="I493">
        <v>1.9097046852111801</v>
      </c>
      <c r="N493">
        <f t="shared" si="49"/>
        <v>9.9002840012902521E-2</v>
      </c>
      <c r="O493">
        <f t="shared" si="50"/>
        <v>0.2243208890214311</v>
      </c>
      <c r="P493">
        <f t="shared" si="51"/>
        <v>6.7851409098067125E-2</v>
      </c>
      <c r="Q493">
        <f t="shared" si="52"/>
        <v>0.29938400816405158</v>
      </c>
      <c r="R493">
        <f t="shared" si="53"/>
        <v>0.17924819609894693</v>
      </c>
      <c r="S493">
        <f t="shared" si="54"/>
        <v>0.37916916006833212</v>
      </c>
      <c r="T493">
        <f t="shared" si="55"/>
        <v>7.2240931022547042E-2</v>
      </c>
    </row>
    <row r="494" spans="2:20" x14ac:dyDescent="0.2">
      <c r="B494">
        <v>2799</v>
      </c>
      <c r="C494">
        <v>3.0228731155395501</v>
      </c>
      <c r="D494">
        <v>1.2195695638656601</v>
      </c>
      <c r="E494">
        <v>0.30251077711582203</v>
      </c>
      <c r="F494" s="13">
        <v>1.577539539</v>
      </c>
      <c r="G494">
        <v>2.1911430597305301</v>
      </c>
      <c r="H494">
        <v>2.8705168724060099</v>
      </c>
      <c r="I494">
        <v>2.0095987558364898</v>
      </c>
      <c r="N494">
        <f t="shared" si="49"/>
        <v>0.10195025991779838</v>
      </c>
      <c r="O494">
        <f t="shared" si="50"/>
        <v>0.22492232776113169</v>
      </c>
      <c r="P494">
        <f t="shared" si="51"/>
        <v>7.0803134414719512E-2</v>
      </c>
      <c r="Q494">
        <f t="shared" si="52"/>
        <v>0.29266840180531828</v>
      </c>
      <c r="R494">
        <f t="shared" si="53"/>
        <v>0.17986354554624651</v>
      </c>
      <c r="S494">
        <f t="shared" si="54"/>
        <v>0.38012946579575835</v>
      </c>
      <c r="T494">
        <f t="shared" si="55"/>
        <v>7.6019756472098909E-2</v>
      </c>
    </row>
    <row r="495" spans="2:20" x14ac:dyDescent="0.2">
      <c r="B495">
        <v>2801</v>
      </c>
      <c r="C495">
        <v>3.1321638107299798</v>
      </c>
      <c r="D495">
        <v>1.38825488090515</v>
      </c>
      <c r="E495">
        <v>0.32312415456399302</v>
      </c>
      <c r="F495" s="13">
        <v>1.58984108</v>
      </c>
      <c r="G495">
        <v>2.2539941310882599</v>
      </c>
      <c r="H495">
        <v>2.9440032482147198</v>
      </c>
      <c r="I495">
        <v>2.0580412149429299</v>
      </c>
      <c r="N495">
        <f t="shared" si="49"/>
        <v>0.10527468255985267</v>
      </c>
      <c r="O495">
        <f t="shared" si="50"/>
        <v>0.23390208895377371</v>
      </c>
      <c r="P495">
        <f t="shared" si="51"/>
        <v>7.2902089838163001E-2</v>
      </c>
      <c r="Q495">
        <f t="shared" si="52"/>
        <v>0.29354698198029833</v>
      </c>
      <c r="R495">
        <f t="shared" si="53"/>
        <v>0.18186752181193644</v>
      </c>
      <c r="S495">
        <f t="shared" si="54"/>
        <v>0.38320482799063982</v>
      </c>
      <c r="T495">
        <f t="shared" si="55"/>
        <v>7.7852253597948451E-2</v>
      </c>
    </row>
    <row r="496" spans="2:20" x14ac:dyDescent="0.2">
      <c r="B496">
        <v>2803</v>
      </c>
      <c r="C496">
        <v>3.1855576515197801</v>
      </c>
      <c r="D496">
        <v>1.46042170524597</v>
      </c>
      <c r="E496">
        <v>0.34460221002809699</v>
      </c>
      <c r="F496" s="13">
        <v>1.6252975460000001</v>
      </c>
      <c r="G496">
        <v>2.2748219013214102</v>
      </c>
      <c r="H496">
        <v>2.96101350784302</v>
      </c>
      <c r="I496">
        <v>2.0753227233886702</v>
      </c>
      <c r="N496">
        <f t="shared" si="49"/>
        <v>0.1068988253375939</v>
      </c>
      <c r="O496">
        <f t="shared" si="50"/>
        <v>0.23774380357354821</v>
      </c>
      <c r="P496">
        <f t="shared" si="51"/>
        <v>7.5089091027791016E-2</v>
      </c>
      <c r="Q496">
        <f t="shared" si="52"/>
        <v>0.29607929464766697</v>
      </c>
      <c r="R496">
        <f t="shared" si="53"/>
        <v>0.18253160527643161</v>
      </c>
      <c r="S496">
        <f t="shared" si="54"/>
        <v>0.38391669748767643</v>
      </c>
      <c r="T496">
        <f t="shared" si="55"/>
        <v>7.8505984129827122E-2</v>
      </c>
    </row>
    <row r="497" spans="2:20" x14ac:dyDescent="0.2">
      <c r="B497">
        <v>2805</v>
      </c>
      <c r="C497">
        <v>3.2486793518066399</v>
      </c>
      <c r="D497">
        <v>1.48174815177917</v>
      </c>
      <c r="E497">
        <v>0.35104067269712702</v>
      </c>
      <c r="F497" s="13">
        <v>1.6069039110000001</v>
      </c>
      <c r="G497">
        <v>2.3941617012023899</v>
      </c>
      <c r="H497">
        <v>3.0772449016571</v>
      </c>
      <c r="I497">
        <v>2.1169396162033101</v>
      </c>
      <c r="N497">
        <f t="shared" si="49"/>
        <v>0.10881887177222374</v>
      </c>
      <c r="O497">
        <f t="shared" si="50"/>
        <v>0.23887909145939873</v>
      </c>
      <c r="P497">
        <f t="shared" si="51"/>
        <v>7.5744686947080697E-2</v>
      </c>
      <c r="Q497">
        <f t="shared" si="52"/>
        <v>0.29476561508046317</v>
      </c>
      <c r="R497">
        <f t="shared" si="53"/>
        <v>0.18633669755803287</v>
      </c>
      <c r="S497">
        <f t="shared" si="54"/>
        <v>0.38878091388779756</v>
      </c>
      <c r="T497">
        <f t="shared" si="55"/>
        <v>8.008028151019024E-2</v>
      </c>
    </row>
    <row r="498" spans="2:20" x14ac:dyDescent="0.2">
      <c r="B498">
        <v>2807</v>
      </c>
      <c r="C498">
        <v>3.2789647102355999</v>
      </c>
      <c r="D498">
        <v>1.49037864208221</v>
      </c>
      <c r="E498">
        <v>0.30715089365839998</v>
      </c>
      <c r="F498" s="13">
        <v>1.645464802</v>
      </c>
      <c r="G498">
        <v>2.4645369529724102</v>
      </c>
      <c r="H498">
        <v>3.1217087745666499</v>
      </c>
      <c r="I498">
        <v>2.18450503349304</v>
      </c>
      <c r="N498">
        <f t="shared" si="49"/>
        <v>0.10974009686927831</v>
      </c>
      <c r="O498">
        <f t="shared" si="50"/>
        <v>0.23933852529310085</v>
      </c>
      <c r="P498">
        <f t="shared" si="51"/>
        <v>7.1275613891066458E-2</v>
      </c>
      <c r="Q498">
        <f t="shared" si="52"/>
        <v>0.29751964682024012</v>
      </c>
      <c r="R498">
        <f t="shared" si="53"/>
        <v>0.18858057870743078</v>
      </c>
      <c r="S498">
        <f t="shared" si="54"/>
        <v>0.39064170117359315</v>
      </c>
      <c r="T498">
        <f t="shared" si="55"/>
        <v>8.2636168128543089E-2</v>
      </c>
    </row>
    <row r="499" spans="2:20" x14ac:dyDescent="0.2">
      <c r="B499">
        <v>2809</v>
      </c>
      <c r="C499">
        <v>3.2944318771362302</v>
      </c>
      <c r="D499">
        <v>1.5658321142196701</v>
      </c>
      <c r="E499">
        <v>0.34060513582080598</v>
      </c>
      <c r="F499" s="13">
        <v>1.689573145</v>
      </c>
      <c r="G499">
        <v>2.49659581184387</v>
      </c>
      <c r="H499">
        <v>3.2129139900207502</v>
      </c>
      <c r="I499">
        <v>2.18481481075287</v>
      </c>
      <c r="N499">
        <f t="shared" si="49"/>
        <v>0.11021057973850422</v>
      </c>
      <c r="O499">
        <f t="shared" si="50"/>
        <v>0.24335520067920713</v>
      </c>
      <c r="P499">
        <f t="shared" si="51"/>
        <v>7.4682089283103908E-2</v>
      </c>
      <c r="Q499">
        <f t="shared" si="52"/>
        <v>0.30066987943833412</v>
      </c>
      <c r="R499">
        <f t="shared" si="53"/>
        <v>0.18960276004651794</v>
      </c>
      <c r="S499">
        <f t="shared" si="54"/>
        <v>0.39445858652814769</v>
      </c>
      <c r="T499">
        <f t="shared" si="55"/>
        <v>8.2647886483654759E-2</v>
      </c>
    </row>
    <row r="500" spans="2:20" x14ac:dyDescent="0.2">
      <c r="B500">
        <v>2811</v>
      </c>
      <c r="C500">
        <v>3.3509258270263702</v>
      </c>
      <c r="D500">
        <v>1.5198804855346699</v>
      </c>
      <c r="E500">
        <v>0.37560318363830397</v>
      </c>
      <c r="F500" s="13">
        <v>1.7286112309999999</v>
      </c>
      <c r="G500">
        <v>2.57864508628845</v>
      </c>
      <c r="H500">
        <v>3.2611667156219499</v>
      </c>
      <c r="I500">
        <v>2.20381455421448</v>
      </c>
      <c r="N500">
        <f t="shared" si="49"/>
        <v>0.11192902215326442</v>
      </c>
      <c r="O500">
        <f t="shared" si="50"/>
        <v>0.24090902066042308</v>
      </c>
      <c r="P500">
        <f t="shared" si="51"/>
        <v>7.8245762556014842E-2</v>
      </c>
      <c r="Q500">
        <f t="shared" si="52"/>
        <v>0.30345799260470629</v>
      </c>
      <c r="R500">
        <f t="shared" si="53"/>
        <v>0.19221886180981418</v>
      </c>
      <c r="S500">
        <f t="shared" si="54"/>
        <v>0.39647793510100693</v>
      </c>
      <c r="T500">
        <f t="shared" si="55"/>
        <v>8.3366614969522454E-2</v>
      </c>
    </row>
    <row r="501" spans="2:20" x14ac:dyDescent="0.2">
      <c r="B501">
        <v>2813</v>
      </c>
      <c r="C501">
        <v>3.4481123924255401</v>
      </c>
      <c r="D501">
        <v>1.48849456310272</v>
      </c>
      <c r="E501">
        <v>0.36039667334407599</v>
      </c>
      <c r="F501" s="13">
        <v>1.7429601669999999</v>
      </c>
      <c r="G501">
        <v>2.6195515632629398</v>
      </c>
      <c r="H501">
        <v>3.2939970970153798</v>
      </c>
      <c r="I501">
        <v>2.3410727262496902</v>
      </c>
      <c r="N501">
        <f t="shared" si="49"/>
        <v>0.11488525935125767</v>
      </c>
      <c r="O501">
        <f t="shared" si="50"/>
        <v>0.2392382286010068</v>
      </c>
      <c r="P501">
        <f t="shared" si="51"/>
        <v>7.6697360925376129E-2</v>
      </c>
      <c r="Q501">
        <f t="shared" si="52"/>
        <v>0.30448279841575532</v>
      </c>
      <c r="R501">
        <f t="shared" si="53"/>
        <v>0.19352314520863306</v>
      </c>
      <c r="S501">
        <f t="shared" si="54"/>
        <v>0.39785186751595836</v>
      </c>
      <c r="T501">
        <f t="shared" si="55"/>
        <v>8.8558861820600382E-2</v>
      </c>
    </row>
    <row r="502" spans="2:20" x14ac:dyDescent="0.2">
      <c r="B502">
        <v>2815</v>
      </c>
      <c r="C502">
        <v>3.5549907207489002</v>
      </c>
      <c r="D502">
        <v>1.59590976238251</v>
      </c>
      <c r="E502">
        <v>0.39398079812526698</v>
      </c>
      <c r="F502" s="13">
        <v>1.849284387</v>
      </c>
      <c r="G502">
        <v>2.88162455558777</v>
      </c>
      <c r="H502">
        <v>3.3595565319061298</v>
      </c>
      <c r="I502">
        <v>2.4573113679885901</v>
      </c>
      <c r="N502">
        <f t="shared" si="49"/>
        <v>0.11813630221454989</v>
      </c>
      <c r="O502">
        <f t="shared" si="50"/>
        <v>0.24495634832192331</v>
      </c>
      <c r="P502">
        <f t="shared" si="51"/>
        <v>8.0117061604137937E-2</v>
      </c>
      <c r="Q502">
        <f t="shared" si="52"/>
        <v>0.3120765097899823</v>
      </c>
      <c r="R502">
        <f t="shared" si="53"/>
        <v>0.20187921687379334</v>
      </c>
      <c r="S502">
        <f t="shared" si="54"/>
        <v>0.40059549183219395</v>
      </c>
      <c r="T502">
        <f t="shared" si="55"/>
        <v>9.2955975031371943E-2</v>
      </c>
    </row>
    <row r="503" spans="2:20" x14ac:dyDescent="0.2">
      <c r="B503">
        <v>2817</v>
      </c>
      <c r="C503">
        <v>3.6029411792755099</v>
      </c>
      <c r="D503">
        <v>1.6843767881393401</v>
      </c>
      <c r="E503">
        <v>0.43704586252570199</v>
      </c>
      <c r="F503" s="13">
        <v>1.8706377030000001</v>
      </c>
      <c r="G503">
        <v>3.0204588890075699</v>
      </c>
      <c r="H503">
        <v>3.43586020469666</v>
      </c>
      <c r="I503">
        <v>2.4213297843933099</v>
      </c>
      <c r="N503">
        <f t="shared" si="49"/>
        <v>0.11959486728035894</v>
      </c>
      <c r="O503">
        <f t="shared" si="50"/>
        <v>0.24966578467751122</v>
      </c>
      <c r="P503">
        <f t="shared" si="51"/>
        <v>8.4502158161531865E-2</v>
      </c>
      <c r="Q503">
        <f t="shared" si="52"/>
        <v>0.31360157076467521</v>
      </c>
      <c r="R503">
        <f t="shared" si="53"/>
        <v>0.20630588300733638</v>
      </c>
      <c r="S503">
        <f t="shared" si="54"/>
        <v>0.40378875627132532</v>
      </c>
      <c r="T503">
        <f t="shared" si="55"/>
        <v>9.1594851964167862E-2</v>
      </c>
    </row>
    <row r="504" spans="2:20" x14ac:dyDescent="0.2">
      <c r="B504">
        <v>2819</v>
      </c>
      <c r="C504">
        <v>3.7484949111938501</v>
      </c>
      <c r="D504">
        <v>1.7268305540084801</v>
      </c>
      <c r="E504">
        <v>0.38803769946098299</v>
      </c>
      <c r="F504" s="13">
        <v>1.890865684</v>
      </c>
      <c r="G504">
        <v>3.0174199104309101</v>
      </c>
      <c r="H504">
        <v>3.5139590740203901</v>
      </c>
      <c r="I504">
        <v>2.5182373523712198</v>
      </c>
      <c r="N504">
        <f t="shared" si="49"/>
        <v>0.12402234503756149</v>
      </c>
      <c r="O504">
        <f t="shared" si="50"/>
        <v>0.25192576015091872</v>
      </c>
      <c r="P504">
        <f t="shared" si="51"/>
        <v>7.9511906082932182E-2</v>
      </c>
      <c r="Q504">
        <f t="shared" si="52"/>
        <v>0.31504625993707025</v>
      </c>
      <c r="R504">
        <f t="shared" si="53"/>
        <v>0.20620898663297066</v>
      </c>
      <c r="S504">
        <f t="shared" si="54"/>
        <v>0.4070571486438978</v>
      </c>
      <c r="T504">
        <f t="shared" si="55"/>
        <v>9.526070301855788E-2</v>
      </c>
    </row>
    <row r="505" spans="2:20" x14ac:dyDescent="0.2">
      <c r="B505">
        <v>2821</v>
      </c>
      <c r="C505">
        <v>3.8517755985259998</v>
      </c>
      <c r="D505">
        <v>1.7219951391220101</v>
      </c>
      <c r="E505">
        <v>0.37310929000377702</v>
      </c>
      <c r="F505" s="13">
        <v>1.9704726459999999</v>
      </c>
      <c r="G505">
        <v>3.01026582717896</v>
      </c>
      <c r="H505">
        <v>3.6128975391387899</v>
      </c>
      <c r="I505">
        <v>2.6515085220336898</v>
      </c>
      <c r="N505">
        <f t="shared" si="49"/>
        <v>0.12716395425558022</v>
      </c>
      <c r="O505">
        <f t="shared" si="50"/>
        <v>0.25166835262008019</v>
      </c>
      <c r="P505">
        <f t="shared" si="51"/>
        <v>7.7991822046612966E-2</v>
      </c>
      <c r="Q505">
        <f t="shared" si="52"/>
        <v>0.32073181580389953</v>
      </c>
      <c r="R505">
        <f t="shared" si="53"/>
        <v>0.20598088211971455</v>
      </c>
      <c r="S505">
        <f t="shared" si="54"/>
        <v>0.41119766601050134</v>
      </c>
      <c r="T505">
        <f t="shared" si="55"/>
        <v>0.10030212824489648</v>
      </c>
    </row>
    <row r="506" spans="2:20" x14ac:dyDescent="0.2">
      <c r="B506">
        <v>2823</v>
      </c>
      <c r="C506">
        <v>3.9552377223968498</v>
      </c>
      <c r="D506">
        <v>1.7118989229202299</v>
      </c>
      <c r="E506">
        <v>0.40045906528830499</v>
      </c>
      <c r="F506" s="13">
        <v>1.9958219049999999</v>
      </c>
      <c r="G506">
        <v>3.12260961532593</v>
      </c>
      <c r="H506">
        <v>3.6991042137146</v>
      </c>
      <c r="I506">
        <v>2.6377502918243398</v>
      </c>
      <c r="N506">
        <f t="shared" si="49"/>
        <v>0.13031108244057321</v>
      </c>
      <c r="O506">
        <f t="shared" si="50"/>
        <v>0.25113089262040489</v>
      </c>
      <c r="P506">
        <f t="shared" si="51"/>
        <v>8.0776710612679284E-2</v>
      </c>
      <c r="Q506">
        <f t="shared" si="52"/>
        <v>0.32254226836491084</v>
      </c>
      <c r="R506">
        <f t="shared" si="53"/>
        <v>0.20956290992259519</v>
      </c>
      <c r="S506">
        <f t="shared" si="54"/>
        <v>0.41480536532917522</v>
      </c>
      <c r="T506">
        <f t="shared" si="55"/>
        <v>9.9781677430043889E-2</v>
      </c>
    </row>
    <row r="507" spans="2:20" x14ac:dyDescent="0.2">
      <c r="B507">
        <v>2825</v>
      </c>
      <c r="C507">
        <v>4.0452513217926001</v>
      </c>
      <c r="D507">
        <v>1.71590144634247</v>
      </c>
      <c r="E507">
        <v>0.42272261679172501</v>
      </c>
      <c r="F507" s="13">
        <v>2.1187685730000001</v>
      </c>
      <c r="G507">
        <v>3.2735834121704102</v>
      </c>
      <c r="H507">
        <v>3.84244341850281</v>
      </c>
      <c r="I507">
        <v>2.6979932308197001</v>
      </c>
      <c r="N507">
        <f t="shared" si="49"/>
        <v>0.13304913115920047</v>
      </c>
      <c r="O507">
        <f t="shared" si="50"/>
        <v>0.25134396216985039</v>
      </c>
      <c r="P507">
        <f t="shared" si="51"/>
        <v>8.3043694870388263E-2</v>
      </c>
      <c r="Q507">
        <f t="shared" si="52"/>
        <v>0.33132316053806676</v>
      </c>
      <c r="R507">
        <f t="shared" si="53"/>
        <v>0.21437663702512005</v>
      </c>
      <c r="S507">
        <f t="shared" si="54"/>
        <v>0.42080402789211757</v>
      </c>
      <c r="T507">
        <f t="shared" si="55"/>
        <v>0.10206056695378095</v>
      </c>
    </row>
    <row r="508" spans="2:20" x14ac:dyDescent="0.2">
      <c r="B508">
        <v>2827</v>
      </c>
      <c r="C508">
        <v>4.1797117233276397</v>
      </c>
      <c r="D508">
        <v>1.77869310379028</v>
      </c>
      <c r="E508">
        <v>0.43965836232528099</v>
      </c>
      <c r="F508" s="13">
        <v>2.1663802859999999</v>
      </c>
      <c r="G508">
        <v>3.4688153266906698</v>
      </c>
      <c r="H508">
        <v>3.97822518348694</v>
      </c>
      <c r="I508">
        <v>2.83238296508789</v>
      </c>
      <c r="N508">
        <f t="shared" si="49"/>
        <v>0.13713917013776067</v>
      </c>
      <c r="O508">
        <f t="shared" si="50"/>
        <v>0.25468660098790186</v>
      </c>
      <c r="P508">
        <f t="shared" si="51"/>
        <v>8.4768175733705986E-2</v>
      </c>
      <c r="Q508">
        <f t="shared" si="52"/>
        <v>0.33472360501397758</v>
      </c>
      <c r="R508">
        <f t="shared" si="53"/>
        <v>0.22060151298271477</v>
      </c>
      <c r="S508">
        <f t="shared" si="54"/>
        <v>0.42648641598366605</v>
      </c>
      <c r="T508">
        <f t="shared" si="55"/>
        <v>0.1071443056064581</v>
      </c>
    </row>
    <row r="509" spans="2:20" x14ac:dyDescent="0.2">
      <c r="B509">
        <v>2829</v>
      </c>
      <c r="C509">
        <v>4.3220755577087404</v>
      </c>
      <c r="D509">
        <v>1.9008956909179699</v>
      </c>
      <c r="E509">
        <v>0.470632083714008</v>
      </c>
      <c r="F509" s="13">
        <v>2.1698607679999999</v>
      </c>
      <c r="G509">
        <v>3.6559612751007098</v>
      </c>
      <c r="H509">
        <v>4.0571490764617897</v>
      </c>
      <c r="I509">
        <v>2.9676620483398399</v>
      </c>
      <c r="N509">
        <f t="shared" si="49"/>
        <v>0.14146961705825606</v>
      </c>
      <c r="O509">
        <f t="shared" si="50"/>
        <v>0.26119190962287203</v>
      </c>
      <c r="P509">
        <f t="shared" si="51"/>
        <v>8.7922072306771681E-2</v>
      </c>
      <c r="Q509">
        <f t="shared" si="52"/>
        <v>0.33497218220317482</v>
      </c>
      <c r="R509">
        <f t="shared" si="53"/>
        <v>0.22656857178906595</v>
      </c>
      <c r="S509">
        <f t="shared" si="54"/>
        <v>0.42978933511740502</v>
      </c>
      <c r="T509">
        <f t="shared" si="55"/>
        <v>0.11226168684224683</v>
      </c>
    </row>
    <row r="510" spans="2:20" x14ac:dyDescent="0.2">
      <c r="B510">
        <v>2831</v>
      </c>
      <c r="C510">
        <v>4.4348874092102104</v>
      </c>
      <c r="D510">
        <v>1.9546450138092</v>
      </c>
      <c r="E510">
        <v>0.51241357773542395</v>
      </c>
      <c r="F510" s="13">
        <v>2.319684267</v>
      </c>
      <c r="G510">
        <v>3.6218946933746299</v>
      </c>
      <c r="H510">
        <v>4.20452246665955</v>
      </c>
      <c r="I510">
        <v>3.0503519058227502</v>
      </c>
      <c r="N510">
        <f t="shared" si="49"/>
        <v>0.14490114682179256</v>
      </c>
      <c r="O510">
        <f t="shared" si="50"/>
        <v>0.26405319057073584</v>
      </c>
      <c r="P510">
        <f t="shared" si="51"/>
        <v>9.2176469418371848E-2</v>
      </c>
      <c r="Q510">
        <f t="shared" si="52"/>
        <v>0.34567262664079013</v>
      </c>
      <c r="R510">
        <f t="shared" si="53"/>
        <v>0.22548237516970071</v>
      </c>
      <c r="S510">
        <f t="shared" si="54"/>
        <v>0.43595682599932684</v>
      </c>
      <c r="T510">
        <f t="shared" si="55"/>
        <v>0.11538970571183796</v>
      </c>
    </row>
    <row r="511" spans="2:20" x14ac:dyDescent="0.2">
      <c r="B511">
        <v>2833</v>
      </c>
      <c r="C511">
        <v>4.5019118309020998</v>
      </c>
      <c r="D511">
        <v>2.0985576152801499</v>
      </c>
      <c r="E511">
        <v>0.48840371519327203</v>
      </c>
      <c r="F511" s="13">
        <v>2.4373403549999999</v>
      </c>
      <c r="G511">
        <v>3.5846570491790799</v>
      </c>
      <c r="H511">
        <v>4.3628117084503204</v>
      </c>
      <c r="I511">
        <v>3.15242719650269</v>
      </c>
      <c r="N511">
        <f t="shared" si="49"/>
        <v>0.14693990688873945</v>
      </c>
      <c r="O511">
        <f t="shared" si="50"/>
        <v>0.27171420586537737</v>
      </c>
      <c r="P511">
        <f t="shared" si="51"/>
        <v>8.9731667186146974E-2</v>
      </c>
      <c r="Q511">
        <f t="shared" si="52"/>
        <v>0.35407566381983213</v>
      </c>
      <c r="R511">
        <f t="shared" si="53"/>
        <v>0.22429507074439736</v>
      </c>
      <c r="S511">
        <f t="shared" si="54"/>
        <v>0.44258113893764539</v>
      </c>
      <c r="T511">
        <f t="shared" si="55"/>
        <v>0.11925104306426768</v>
      </c>
    </row>
    <row r="512" spans="2:20" x14ac:dyDescent="0.2">
      <c r="B512">
        <v>2835</v>
      </c>
      <c r="C512">
        <v>4.6339375495910602</v>
      </c>
      <c r="D512">
        <v>2.15816435813904</v>
      </c>
      <c r="E512">
        <v>0.49918349087238301</v>
      </c>
      <c r="F512" s="13">
        <v>2.4505285020000001</v>
      </c>
      <c r="G512">
        <v>3.8076719284057599</v>
      </c>
      <c r="H512">
        <v>4.48927927017212</v>
      </c>
      <c r="I512">
        <v>3.3104638576507601</v>
      </c>
      <c r="N512">
        <f t="shared" si="49"/>
        <v>0.15095588727735632</v>
      </c>
      <c r="O512">
        <f t="shared" si="50"/>
        <v>0.27488729956278996</v>
      </c>
      <c r="P512">
        <f t="shared" si="51"/>
        <v>9.0829316937240126E-2</v>
      </c>
      <c r="Q512">
        <f t="shared" si="52"/>
        <v>0.35501756569203852</v>
      </c>
      <c r="R512">
        <f t="shared" si="53"/>
        <v>0.2314057932064259</v>
      </c>
      <c r="S512">
        <f t="shared" si="54"/>
        <v>0.44787373302624861</v>
      </c>
      <c r="T512">
        <f t="shared" si="55"/>
        <v>0.12522930537123211</v>
      </c>
    </row>
    <row r="513" spans="2:20" x14ac:dyDescent="0.2">
      <c r="B513">
        <v>2837</v>
      </c>
      <c r="C513">
        <v>4.7967558860778796</v>
      </c>
      <c r="D513">
        <v>2.1213428258895899</v>
      </c>
      <c r="E513">
        <v>0.53183117806911495</v>
      </c>
      <c r="F513" s="13">
        <v>2.450588727</v>
      </c>
      <c r="G513">
        <v>3.9132916450500499</v>
      </c>
      <c r="H513">
        <v>4.5973608970642097</v>
      </c>
      <c r="I513">
        <v>3.3974554061889699</v>
      </c>
      <c r="N513">
        <f t="shared" si="49"/>
        <v>0.1559085226633356</v>
      </c>
      <c r="O513">
        <f t="shared" si="50"/>
        <v>0.27292714931290291</v>
      </c>
      <c r="P513">
        <f t="shared" si="51"/>
        <v>9.4153664937792911E-2</v>
      </c>
      <c r="Q513">
        <f t="shared" si="52"/>
        <v>0.35502186698169302</v>
      </c>
      <c r="R513">
        <f t="shared" si="53"/>
        <v>0.23477342721443428</v>
      </c>
      <c r="S513">
        <f t="shared" si="54"/>
        <v>0.45239688640872655</v>
      </c>
      <c r="T513">
        <f t="shared" si="55"/>
        <v>0.12852005001157341</v>
      </c>
    </row>
    <row r="514" spans="2:20" x14ac:dyDescent="0.2">
      <c r="B514">
        <v>2839</v>
      </c>
      <c r="C514">
        <v>4.9209977149963402</v>
      </c>
      <c r="D514">
        <v>2.2314498901367199</v>
      </c>
      <c r="E514">
        <v>0.52691137045621905</v>
      </c>
      <c r="F514" s="13">
        <v>2.441633296</v>
      </c>
      <c r="G514">
        <v>4.0418758869171096</v>
      </c>
      <c r="H514">
        <v>4.7273718833923297</v>
      </c>
      <c r="I514">
        <v>3.4951581954956099</v>
      </c>
      <c r="N514">
        <f t="shared" si="49"/>
        <v>0.15968773139127984</v>
      </c>
      <c r="O514">
        <f t="shared" si="50"/>
        <v>0.27878856724728457</v>
      </c>
      <c r="P514">
        <f t="shared" si="51"/>
        <v>9.3652705941754982E-2</v>
      </c>
      <c r="Q514">
        <f t="shared" si="52"/>
        <v>0.35438226710270215</v>
      </c>
      <c r="R514">
        <f t="shared" si="53"/>
        <v>0.23887327409495412</v>
      </c>
      <c r="S514">
        <f t="shared" si="54"/>
        <v>0.45783777076140614</v>
      </c>
      <c r="T514">
        <f t="shared" si="55"/>
        <v>0.13221598295747333</v>
      </c>
    </row>
    <row r="515" spans="2:20" x14ac:dyDescent="0.2">
      <c r="B515">
        <v>2841</v>
      </c>
      <c r="C515">
        <v>5.04593830108643</v>
      </c>
      <c r="D515">
        <v>2.24628877639771</v>
      </c>
      <c r="E515">
        <v>0.575317358504981</v>
      </c>
      <c r="F515" s="13">
        <v>2.530855775</v>
      </c>
      <c r="G515">
        <v>4.1868341445922796</v>
      </c>
      <c r="H515">
        <v>4.8198476314544703</v>
      </c>
      <c r="I515">
        <v>3.6348217010498001</v>
      </c>
      <c r="N515">
        <f t="shared" si="49"/>
        <v>0.16348819503171794</v>
      </c>
      <c r="O515">
        <f t="shared" si="50"/>
        <v>0.27957849761779374</v>
      </c>
      <c r="P515">
        <f t="shared" si="51"/>
        <v>9.8581641600045414E-2</v>
      </c>
      <c r="Q515">
        <f t="shared" si="52"/>
        <v>0.3607545664115428</v>
      </c>
      <c r="R515">
        <f t="shared" si="53"/>
        <v>0.24349519861623081</v>
      </c>
      <c r="S515">
        <f t="shared" si="54"/>
        <v>0.46170782716851466</v>
      </c>
      <c r="T515">
        <f t="shared" si="55"/>
        <v>0.13749921954857572</v>
      </c>
    </row>
    <row r="516" spans="2:20" x14ac:dyDescent="0.2">
      <c r="B516">
        <v>2843</v>
      </c>
      <c r="C516">
        <v>5.2025089263915998</v>
      </c>
      <c r="D516">
        <v>2.3266573905944798</v>
      </c>
      <c r="E516">
        <v>0.59666465856134898</v>
      </c>
      <c r="F516" s="13">
        <v>2.6450529340000002</v>
      </c>
      <c r="G516">
        <v>4.3534604072570797</v>
      </c>
      <c r="H516">
        <v>4.9857922077178998</v>
      </c>
      <c r="I516">
        <v>3.7889605998992901</v>
      </c>
      <c r="N516">
        <f t="shared" si="49"/>
        <v>0.16825078649422226</v>
      </c>
      <c r="O516">
        <f t="shared" si="50"/>
        <v>0.28385682471547247</v>
      </c>
      <c r="P516">
        <f t="shared" si="51"/>
        <v>0.10075532863128758</v>
      </c>
      <c r="Q516">
        <f t="shared" si="52"/>
        <v>0.36891056572386038</v>
      </c>
      <c r="R516">
        <f t="shared" si="53"/>
        <v>0.24880799708422074</v>
      </c>
      <c r="S516">
        <f t="shared" si="54"/>
        <v>0.46865251141331421</v>
      </c>
      <c r="T516">
        <f t="shared" si="55"/>
        <v>0.14333003603340097</v>
      </c>
    </row>
    <row r="517" spans="2:20" x14ac:dyDescent="0.2">
      <c r="B517">
        <v>2845</v>
      </c>
      <c r="C517">
        <v>5.4284871101379402</v>
      </c>
      <c r="D517">
        <v>2.44032917022705</v>
      </c>
      <c r="E517">
        <v>0.61384894810616997</v>
      </c>
      <c r="F517" s="13">
        <v>2.7693855049999998</v>
      </c>
      <c r="G517">
        <v>4.45248517990112</v>
      </c>
      <c r="H517">
        <v>5.1275510787963903</v>
      </c>
      <c r="I517">
        <v>3.8584798336029098</v>
      </c>
      <c r="N517">
        <f t="shared" si="49"/>
        <v>0.17512462867582479</v>
      </c>
      <c r="O517">
        <f t="shared" si="50"/>
        <v>0.28990800601185135</v>
      </c>
      <c r="P517">
        <f t="shared" si="51"/>
        <v>0.10250511746763014</v>
      </c>
      <c r="Q517">
        <f t="shared" si="52"/>
        <v>0.37779043955307429</v>
      </c>
      <c r="R517">
        <f t="shared" si="53"/>
        <v>0.25196535446583979</v>
      </c>
      <c r="S517">
        <f t="shared" si="54"/>
        <v>0.47458503792732676</v>
      </c>
      <c r="T517">
        <f t="shared" si="55"/>
        <v>0.14595983225562062</v>
      </c>
    </row>
    <row r="518" spans="2:20" x14ac:dyDescent="0.2">
      <c r="B518">
        <v>2847</v>
      </c>
      <c r="C518">
        <v>5.6513187408447303</v>
      </c>
      <c r="D518">
        <v>2.4493952274322499</v>
      </c>
      <c r="E518">
        <v>0.66787135396152697</v>
      </c>
      <c r="F518" s="13">
        <v>2.7950145239999999</v>
      </c>
      <c r="G518">
        <v>4.49494113922119</v>
      </c>
      <c r="H518">
        <v>5.2777720451355004</v>
      </c>
      <c r="I518">
        <v>3.9449926376342801</v>
      </c>
      <c r="N518">
        <f t="shared" ref="N518:N581" si="56">C518/$L$8+0.01</f>
        <v>0.18190275848089901</v>
      </c>
      <c r="O518">
        <f t="shared" ref="O518:O581" si="57">D518/$L$9+0.16</f>
        <v>0.29039062672887839</v>
      </c>
      <c r="P518">
        <f t="shared" ref="P518:P581" si="58">E518/$L$10+0.04</f>
        <v>0.10800594439629185</v>
      </c>
      <c r="Q518">
        <f t="shared" ref="Q518:Q581" si="59">F518/$L$11+0.18</f>
        <v>0.37962087266690836</v>
      </c>
      <c r="R518">
        <f t="shared" ref="R518:R581" si="60">G518/$L$12+0.11</f>
        <v>0.25331904236608677</v>
      </c>
      <c r="S518">
        <f t="shared" ref="S518:S581" si="61">H518/$L$13+0.26</f>
        <v>0.48087169821875853</v>
      </c>
      <c r="T518">
        <f t="shared" ref="T518:T581" si="62">I518/$L$14</f>
        <v>0.14923246679278007</v>
      </c>
    </row>
    <row r="519" spans="2:20" x14ac:dyDescent="0.2">
      <c r="B519">
        <v>2849</v>
      </c>
      <c r="C519">
        <v>5.8388038635253903</v>
      </c>
      <c r="D519">
        <v>2.5557741165161101</v>
      </c>
      <c r="E519">
        <v>0.66928166174329795</v>
      </c>
      <c r="F519" s="13">
        <v>2.834746075</v>
      </c>
      <c r="G519">
        <v>4.6404804229736296</v>
      </c>
      <c r="H519">
        <v>5.4553997993469201</v>
      </c>
      <c r="I519">
        <v>4.09575657844543</v>
      </c>
      <c r="N519">
        <f t="shared" si="56"/>
        <v>0.18760571229413903</v>
      </c>
      <c r="O519">
        <f t="shared" si="57"/>
        <v>0.29605357971540291</v>
      </c>
      <c r="P519">
        <f t="shared" si="58"/>
        <v>0.10814954886745218</v>
      </c>
      <c r="Q519">
        <f t="shared" si="59"/>
        <v>0.3824585133356514</v>
      </c>
      <c r="R519">
        <f t="shared" si="60"/>
        <v>0.25795949262516621</v>
      </c>
      <c r="S519">
        <f t="shared" si="61"/>
        <v>0.48830531668275062</v>
      </c>
      <c r="T519">
        <f t="shared" si="62"/>
        <v>0.15493561426535449</v>
      </c>
    </row>
    <row r="520" spans="2:20" x14ac:dyDescent="0.2">
      <c r="B520">
        <v>2851</v>
      </c>
      <c r="C520">
        <v>6.0024410247802704</v>
      </c>
      <c r="D520">
        <v>2.6462746143341098</v>
      </c>
      <c r="E520">
        <v>0.67330926507711397</v>
      </c>
      <c r="F520" s="13">
        <v>2.939826488</v>
      </c>
      <c r="G520">
        <v>4.8086655616760297</v>
      </c>
      <c r="H520">
        <v>5.5773343086242697</v>
      </c>
      <c r="I520">
        <v>4.19992995262146</v>
      </c>
      <c r="N520">
        <f t="shared" si="56"/>
        <v>0.19258325482883829</v>
      </c>
      <c r="O520">
        <f t="shared" si="57"/>
        <v>0.30087126552519156</v>
      </c>
      <c r="P520">
        <f t="shared" si="58"/>
        <v>0.10855965923787778</v>
      </c>
      <c r="Q520">
        <f t="shared" si="59"/>
        <v>0.38996339159769333</v>
      </c>
      <c r="R520">
        <f t="shared" si="60"/>
        <v>0.26332199510794885</v>
      </c>
      <c r="S520">
        <f t="shared" si="61"/>
        <v>0.49340820515637884</v>
      </c>
      <c r="T520">
        <f t="shared" si="62"/>
        <v>0.15887631860383936</v>
      </c>
    </row>
    <row r="521" spans="2:20" x14ac:dyDescent="0.2">
      <c r="B521">
        <v>2853</v>
      </c>
      <c r="C521">
        <v>6.1742424964904803</v>
      </c>
      <c r="D521">
        <v>2.6970840454101599</v>
      </c>
      <c r="E521">
        <v>0.68123887479305301</v>
      </c>
      <c r="F521" s="13">
        <v>2.9238831040000002</v>
      </c>
      <c r="G521">
        <v>4.8755431175231898</v>
      </c>
      <c r="H521">
        <v>5.7599850654602003</v>
      </c>
      <c r="I521">
        <v>4.3472652435302699</v>
      </c>
      <c r="N521">
        <f t="shared" si="56"/>
        <v>0.19780914072421582</v>
      </c>
      <c r="O521">
        <f t="shared" si="57"/>
        <v>0.30357604484685663</v>
      </c>
      <c r="P521">
        <f t="shared" si="58"/>
        <v>0.1093670910796955</v>
      </c>
      <c r="Q521">
        <f t="shared" si="59"/>
        <v>0.38882470977689587</v>
      </c>
      <c r="R521">
        <f t="shared" si="60"/>
        <v>0.26545435390040684</v>
      </c>
      <c r="S521">
        <f t="shared" si="61"/>
        <v>0.50105203336613957</v>
      </c>
      <c r="T521">
        <f t="shared" si="62"/>
        <v>0.16444976599083846</v>
      </c>
    </row>
    <row r="522" spans="2:20" x14ac:dyDescent="0.2">
      <c r="B522">
        <v>2855</v>
      </c>
      <c r="C522">
        <v>6.2620928764343304</v>
      </c>
      <c r="D522">
        <v>2.73932175636291</v>
      </c>
      <c r="E522">
        <v>0.72125073820352603</v>
      </c>
      <c r="F522" s="13">
        <v>2.9884727949999998</v>
      </c>
      <c r="G522">
        <v>4.99665794372559</v>
      </c>
      <c r="H522">
        <v>5.9876198768615696</v>
      </c>
      <c r="I522">
        <v>4.4814600467681904</v>
      </c>
      <c r="N522">
        <f t="shared" si="56"/>
        <v>0.20048138827181841</v>
      </c>
      <c r="O522">
        <f t="shared" si="57"/>
        <v>0.3058245188950795</v>
      </c>
      <c r="P522">
        <f t="shared" si="58"/>
        <v>0.11344129570330239</v>
      </c>
      <c r="Q522">
        <f t="shared" si="59"/>
        <v>0.39343772712331521</v>
      </c>
      <c r="R522">
        <f t="shared" si="60"/>
        <v>0.2693160420449307</v>
      </c>
      <c r="S522">
        <f t="shared" si="61"/>
        <v>0.51057841816221439</v>
      </c>
      <c r="T522">
        <f t="shared" si="62"/>
        <v>0.1695261307289932</v>
      </c>
    </row>
    <row r="523" spans="2:20" x14ac:dyDescent="0.2">
      <c r="B523">
        <v>2857</v>
      </c>
      <c r="C523">
        <v>6.3781403541564901</v>
      </c>
      <c r="D523">
        <v>2.7578607082366902</v>
      </c>
      <c r="E523">
        <v>0.73486525267362601</v>
      </c>
      <c r="F523" s="13">
        <v>3.1673876289999998</v>
      </c>
      <c r="G523">
        <v>5.2679200172424299</v>
      </c>
      <c r="H523">
        <v>6.1500669479370096</v>
      </c>
      <c r="I523">
        <v>4.5999871253967299</v>
      </c>
      <c r="N523">
        <f t="shared" si="56"/>
        <v>0.20401133985480202</v>
      </c>
      <c r="O523">
        <f t="shared" si="57"/>
        <v>0.30681141783513044</v>
      </c>
      <c r="P523">
        <f t="shared" si="58"/>
        <v>0.1148275924931621</v>
      </c>
      <c r="Q523">
        <f t="shared" si="59"/>
        <v>0.4062158844421625</v>
      </c>
      <c r="R523">
        <f t="shared" si="60"/>
        <v>0.27796510315664269</v>
      </c>
      <c r="S523">
        <f t="shared" si="61"/>
        <v>0.51737673384395477</v>
      </c>
      <c r="T523">
        <f t="shared" si="62"/>
        <v>0.17400981167600907</v>
      </c>
    </row>
    <row r="524" spans="2:20" x14ac:dyDescent="0.2">
      <c r="B524">
        <v>2859</v>
      </c>
      <c r="C524">
        <v>6.5471633911132798</v>
      </c>
      <c r="D524">
        <v>2.8764189720153799</v>
      </c>
      <c r="E524">
        <v>0.71461752876639395</v>
      </c>
      <c r="F524" s="13">
        <v>3.252999258</v>
      </c>
      <c r="G524">
        <v>5.4401488304138201</v>
      </c>
      <c r="H524">
        <v>6.3780439376831097</v>
      </c>
      <c r="I524">
        <v>4.7373491287231397</v>
      </c>
      <c r="N524">
        <f t="shared" si="56"/>
        <v>0.20915271085723605</v>
      </c>
      <c r="O524">
        <f t="shared" si="57"/>
        <v>0.31312272527333296</v>
      </c>
      <c r="P524">
        <f t="shared" si="58"/>
        <v>0.11276586971074432</v>
      </c>
      <c r="Q524">
        <f t="shared" si="59"/>
        <v>0.41233029563561774</v>
      </c>
      <c r="R524">
        <f t="shared" si="60"/>
        <v>0.28345653626044709</v>
      </c>
      <c r="S524">
        <f t="shared" si="61"/>
        <v>0.52691743860524365</v>
      </c>
      <c r="T524">
        <f t="shared" si="62"/>
        <v>0.17920598629099921</v>
      </c>
    </row>
    <row r="525" spans="2:20" x14ac:dyDescent="0.2">
      <c r="B525">
        <v>2861</v>
      </c>
      <c r="C525">
        <v>6.7147013664245598</v>
      </c>
      <c r="D525">
        <v>3.02965531349182</v>
      </c>
      <c r="E525">
        <v>0.69321346059441602</v>
      </c>
      <c r="F525" s="13">
        <v>3.3337129590000001</v>
      </c>
      <c r="G525">
        <v>5.5567258834838897</v>
      </c>
      <c r="H525">
        <v>6.5894696235656696</v>
      </c>
      <c r="I525">
        <v>4.9141583442687997</v>
      </c>
      <c r="N525">
        <f t="shared" si="56"/>
        <v>0.21424890900620278</v>
      </c>
      <c r="O525">
        <f t="shared" si="57"/>
        <v>0.32128007872082032</v>
      </c>
      <c r="P525">
        <f t="shared" si="58"/>
        <v>0.11058640227090888</v>
      </c>
      <c r="Q525">
        <f t="shared" si="59"/>
        <v>0.41809489517220177</v>
      </c>
      <c r="R525">
        <f t="shared" si="60"/>
        <v>0.28717353968504755</v>
      </c>
      <c r="S525">
        <f t="shared" si="61"/>
        <v>0.5357654809019905</v>
      </c>
      <c r="T525">
        <f t="shared" si="62"/>
        <v>0.18589438290189836</v>
      </c>
    </row>
    <row r="526" spans="2:20" x14ac:dyDescent="0.2">
      <c r="B526">
        <v>2863</v>
      </c>
      <c r="C526">
        <v>6.8742834091186502</v>
      </c>
      <c r="D526">
        <v>3.2643401622772199</v>
      </c>
      <c r="E526">
        <v>0.81852302625775297</v>
      </c>
      <c r="F526" s="13">
        <v>3.4633411879999998</v>
      </c>
      <c r="G526">
        <v>5.59048614501953</v>
      </c>
      <c r="H526">
        <v>6.7298616409301797</v>
      </c>
      <c r="I526">
        <v>5.0421508312225303</v>
      </c>
      <c r="N526">
        <f t="shared" si="56"/>
        <v>0.21910310226641699</v>
      </c>
      <c r="O526">
        <f t="shared" si="57"/>
        <v>0.33377324608482295</v>
      </c>
      <c r="P526">
        <f t="shared" si="58"/>
        <v>0.12334603824612586</v>
      </c>
      <c r="Q526">
        <f t="shared" si="59"/>
        <v>0.42735298666798882</v>
      </c>
      <c r="R526">
        <f t="shared" si="60"/>
        <v>0.28824996943205755</v>
      </c>
      <c r="S526">
        <f t="shared" si="61"/>
        <v>0.54164080538104553</v>
      </c>
      <c r="T526">
        <f t="shared" si="62"/>
        <v>0.19073612439891219</v>
      </c>
    </row>
    <row r="527" spans="2:20" x14ac:dyDescent="0.2">
      <c r="B527">
        <v>2865</v>
      </c>
      <c r="C527">
        <v>7.0306004524230996</v>
      </c>
      <c r="D527">
        <v>3.4955663204193099</v>
      </c>
      <c r="E527">
        <v>0.92172757275402595</v>
      </c>
      <c r="F527" s="13">
        <v>3.6250865939999999</v>
      </c>
      <c r="G527">
        <v>5.6693345069885304</v>
      </c>
      <c r="H527">
        <v>6.9224120140075698</v>
      </c>
      <c r="I527">
        <v>5.17663221359253</v>
      </c>
      <c r="N527">
        <f t="shared" si="56"/>
        <v>0.22385798022921907</v>
      </c>
      <c r="O527">
        <f t="shared" si="57"/>
        <v>0.34608229418722508</v>
      </c>
      <c r="P527">
        <f t="shared" si="58"/>
        <v>0.1338548325054382</v>
      </c>
      <c r="Q527">
        <f t="shared" si="59"/>
        <v>0.43890489769325813</v>
      </c>
      <c r="R527">
        <f t="shared" si="60"/>
        <v>0.29076401163628751</v>
      </c>
      <c r="S527">
        <f t="shared" si="61"/>
        <v>0.54969892678730381</v>
      </c>
      <c r="T527">
        <f t="shared" si="62"/>
        <v>0.19582332994584395</v>
      </c>
    </row>
    <row r="528" spans="2:20" x14ac:dyDescent="0.2">
      <c r="B528">
        <v>2867</v>
      </c>
      <c r="C528">
        <v>7.1202415466308597</v>
      </c>
      <c r="D528">
        <v>3.54452252388</v>
      </c>
      <c r="E528">
        <v>0.93178327530622496</v>
      </c>
      <c r="F528" s="13">
        <v>3.7630029199999999</v>
      </c>
      <c r="G528">
        <v>5.80971355438232</v>
      </c>
      <c r="H528">
        <v>7.1703708648681603</v>
      </c>
      <c r="I528">
        <v>5.3864663124084498</v>
      </c>
      <c r="N528">
        <f t="shared" si="56"/>
        <v>0.22658469802274717</v>
      </c>
      <c r="O528">
        <f t="shared" si="57"/>
        <v>0.34868841915228344</v>
      </c>
      <c r="P528">
        <f t="shared" si="58"/>
        <v>0.13487875357133539</v>
      </c>
      <c r="Q528">
        <f t="shared" si="59"/>
        <v>0.44875492785043014</v>
      </c>
      <c r="R528">
        <f t="shared" si="60"/>
        <v>0.29523993023401746</v>
      </c>
      <c r="S528">
        <f t="shared" si="61"/>
        <v>0.56007586084386829</v>
      </c>
      <c r="T528">
        <f t="shared" si="62"/>
        <v>0.20376100260074603</v>
      </c>
    </row>
    <row r="529" spans="2:20" x14ac:dyDescent="0.2">
      <c r="B529">
        <v>2869</v>
      </c>
      <c r="C529">
        <v>7.2171653747558597</v>
      </c>
      <c r="D529">
        <v>3.5100731849670401</v>
      </c>
      <c r="E529">
        <v>0.98292486555874303</v>
      </c>
      <c r="F529" s="13">
        <v>3.8092323779999999</v>
      </c>
      <c r="G529">
        <v>6.01207838058472</v>
      </c>
      <c r="H529">
        <v>7.3355882644653301</v>
      </c>
      <c r="I529">
        <v>5.5090526580810604</v>
      </c>
      <c r="N529">
        <f t="shared" si="56"/>
        <v>0.22953294323439941</v>
      </c>
      <c r="O529">
        <f t="shared" si="57"/>
        <v>0.3468545497787543</v>
      </c>
      <c r="P529">
        <f t="shared" si="58"/>
        <v>0.14008624169374262</v>
      </c>
      <c r="Q529">
        <f t="shared" si="59"/>
        <v>0.45205665121166383</v>
      </c>
      <c r="R529">
        <f t="shared" si="60"/>
        <v>0.30169223565951914</v>
      </c>
      <c r="S529">
        <f t="shared" si="61"/>
        <v>0.5669901131670525</v>
      </c>
      <c r="T529">
        <f t="shared" si="62"/>
        <v>0.20839823882403252</v>
      </c>
    </row>
    <row r="530" spans="2:20" x14ac:dyDescent="0.2">
      <c r="B530">
        <v>2871</v>
      </c>
      <c r="C530">
        <v>7.3078117370605504</v>
      </c>
      <c r="D530">
        <v>3.61358275413513</v>
      </c>
      <c r="E530">
        <v>0.95972303133457904</v>
      </c>
      <c r="F530" s="13">
        <v>3.950401974</v>
      </c>
      <c r="G530">
        <v>6.16506900787354</v>
      </c>
      <c r="H530">
        <v>7.4985946655273397</v>
      </c>
      <c r="I530">
        <v>5.6905502319335897</v>
      </c>
      <c r="N530">
        <f t="shared" si="56"/>
        <v>0.23229023944100233</v>
      </c>
      <c r="O530">
        <f t="shared" si="57"/>
        <v>0.3523647579497779</v>
      </c>
      <c r="P530">
        <f t="shared" si="58"/>
        <v>0.13772371687697774</v>
      </c>
      <c r="Q530">
        <f t="shared" si="59"/>
        <v>0.46213903100095571</v>
      </c>
      <c r="R530">
        <f t="shared" si="60"/>
        <v>0.30657026843345209</v>
      </c>
      <c r="S530">
        <f t="shared" si="61"/>
        <v>0.57381183648423861</v>
      </c>
      <c r="T530">
        <f t="shared" si="62"/>
        <v>0.21526398818045214</v>
      </c>
    </row>
    <row r="531" spans="2:20" x14ac:dyDescent="0.2">
      <c r="B531">
        <v>2873</v>
      </c>
      <c r="C531">
        <v>7.3806303024291999</v>
      </c>
      <c r="D531">
        <v>3.7477258682250998</v>
      </c>
      <c r="E531">
        <v>0.96308959275484096</v>
      </c>
      <c r="F531" s="13">
        <v>4.0631087780000001</v>
      </c>
      <c r="G531">
        <v>6.2843712806701699</v>
      </c>
      <c r="H531">
        <v>7.7073426246643102</v>
      </c>
      <c r="I531">
        <v>5.7137091636657704</v>
      </c>
      <c r="N531">
        <f t="shared" si="56"/>
        <v>0.23450524673921419</v>
      </c>
      <c r="O531">
        <f t="shared" si="57"/>
        <v>0.35950570626292161</v>
      </c>
      <c r="P531">
        <f t="shared" si="58"/>
        <v>0.13806651671020165</v>
      </c>
      <c r="Q531">
        <f t="shared" si="59"/>
        <v>0.47018858866042007</v>
      </c>
      <c r="R531">
        <f t="shared" si="60"/>
        <v>0.31037416418196756</v>
      </c>
      <c r="S531">
        <f t="shared" si="61"/>
        <v>0.58254781747015083</v>
      </c>
      <c r="T531">
        <f t="shared" si="62"/>
        <v>0.21614005179530124</v>
      </c>
    </row>
    <row r="532" spans="2:20" x14ac:dyDescent="0.2">
      <c r="B532">
        <v>2875</v>
      </c>
      <c r="C532">
        <v>7.49532480239868</v>
      </c>
      <c r="D532">
        <v>3.7908990859985301</v>
      </c>
      <c r="E532">
        <v>0.99149183779954897</v>
      </c>
      <c r="F532" s="13">
        <v>3.9509780879999998</v>
      </c>
      <c r="G532">
        <v>6.3434898376464801</v>
      </c>
      <c r="H532">
        <v>7.8453671455383303</v>
      </c>
      <c r="I532">
        <v>5.71054229736328</v>
      </c>
      <c r="N532">
        <f t="shared" si="56"/>
        <v>0.23799404321866988</v>
      </c>
      <c r="O532">
        <f t="shared" si="57"/>
        <v>0.36180398089836352</v>
      </c>
      <c r="P532">
        <f t="shared" si="58"/>
        <v>0.14095857292100228</v>
      </c>
      <c r="Q532">
        <f t="shared" si="59"/>
        <v>0.46218017725563459</v>
      </c>
      <c r="R532">
        <f t="shared" si="60"/>
        <v>0.3122591310167897</v>
      </c>
      <c r="S532">
        <f t="shared" si="61"/>
        <v>0.58832406359456879</v>
      </c>
      <c r="T532">
        <f t="shared" si="62"/>
        <v>0.21602025454503135</v>
      </c>
    </row>
    <row r="533" spans="2:20" x14ac:dyDescent="0.2">
      <c r="B533">
        <v>2877</v>
      </c>
      <c r="C533">
        <v>7.5612135887146001</v>
      </c>
      <c r="D533">
        <v>3.9416400909423799</v>
      </c>
      <c r="E533">
        <v>0.94337677508592599</v>
      </c>
      <c r="F533" s="13">
        <v>3.9872664449999999</v>
      </c>
      <c r="G533">
        <v>6.4623356819152802</v>
      </c>
      <c r="H533">
        <v>7.9570091247558601</v>
      </c>
      <c r="I533">
        <v>5.8923965454101603</v>
      </c>
      <c r="N533">
        <f t="shared" si="56"/>
        <v>0.23999825933884791</v>
      </c>
      <c r="O533">
        <f t="shared" si="57"/>
        <v>0.36982849808866375</v>
      </c>
      <c r="P533">
        <f t="shared" si="58"/>
        <v>0.13605926071047253</v>
      </c>
      <c r="Q533">
        <f t="shared" si="59"/>
        <v>0.46477190385661887</v>
      </c>
      <c r="R533">
        <f t="shared" si="60"/>
        <v>0.31604847376060696</v>
      </c>
      <c r="S533">
        <f t="shared" si="61"/>
        <v>0.59299621565634775</v>
      </c>
      <c r="T533">
        <f t="shared" si="62"/>
        <v>0.22289949628908093</v>
      </c>
    </row>
    <row r="534" spans="2:20" x14ac:dyDescent="0.2">
      <c r="B534">
        <v>2879</v>
      </c>
      <c r="C534">
        <v>7.6912137031555199</v>
      </c>
      <c r="D534">
        <v>3.9158807754516598</v>
      </c>
      <c r="E534">
        <v>0.95718081053346404</v>
      </c>
      <c r="F534" s="13">
        <v>4.0069139959999998</v>
      </c>
      <c r="G534">
        <v>6.3095197677612296</v>
      </c>
      <c r="H534">
        <v>8.1552290916442907</v>
      </c>
      <c r="I534">
        <v>5.97906045913696</v>
      </c>
      <c r="N534">
        <f t="shared" si="56"/>
        <v>0.24395262455872335</v>
      </c>
      <c r="O534">
        <f t="shared" si="57"/>
        <v>0.36845723172326672</v>
      </c>
      <c r="P534">
        <f t="shared" si="58"/>
        <v>0.13746485545790618</v>
      </c>
      <c r="Q534">
        <f t="shared" si="59"/>
        <v>0.4661751385241707</v>
      </c>
      <c r="R534">
        <f t="shared" si="60"/>
        <v>0.31117601163118042</v>
      </c>
      <c r="S534">
        <f t="shared" si="61"/>
        <v>0.6012916062744148</v>
      </c>
      <c r="T534">
        <f t="shared" si="62"/>
        <v>0.22617784705303132</v>
      </c>
    </row>
    <row r="535" spans="2:20" x14ac:dyDescent="0.2">
      <c r="B535">
        <v>2881</v>
      </c>
      <c r="C535">
        <v>7.6680181503295897</v>
      </c>
      <c r="D535">
        <v>3.8458299636840798</v>
      </c>
      <c r="E535">
        <v>0.97380453031510095</v>
      </c>
      <c r="F535" s="13">
        <v>4.1460441110000001</v>
      </c>
      <c r="G535">
        <v>6.30539398193359</v>
      </c>
      <c r="H535">
        <v>8.1450981140136705</v>
      </c>
      <c r="I535">
        <v>5.97057094573975</v>
      </c>
      <c r="N535">
        <f t="shared" si="56"/>
        <v>0.24324705835406951</v>
      </c>
      <c r="O535">
        <f t="shared" si="57"/>
        <v>0.36472816050317752</v>
      </c>
      <c r="P535">
        <f t="shared" si="58"/>
        <v>0.1391575643253008</v>
      </c>
      <c r="Q535">
        <f t="shared" si="59"/>
        <v>0.4761118578979221</v>
      </c>
      <c r="R535">
        <f t="shared" si="60"/>
        <v>0.31104446292887034</v>
      </c>
      <c r="S535">
        <f t="shared" si="61"/>
        <v>0.60086763073800376</v>
      </c>
      <c r="T535">
        <f t="shared" si="62"/>
        <v>0.22585670297432001</v>
      </c>
    </row>
    <row r="536" spans="2:20" x14ac:dyDescent="0.2">
      <c r="B536">
        <v>2883</v>
      </c>
      <c r="C536">
        <v>7.66619215011597</v>
      </c>
      <c r="D536">
        <v>3.9576035499572799</v>
      </c>
      <c r="E536">
        <v>0.96308378418907503</v>
      </c>
      <c r="F536" s="13">
        <v>4.3249175070000003</v>
      </c>
      <c r="G536">
        <v>6.5126274108886699</v>
      </c>
      <c r="H536">
        <v>8.1425713539123503</v>
      </c>
      <c r="I536">
        <v>6.0331993103027299</v>
      </c>
      <c r="N536">
        <f t="shared" si="56"/>
        <v>0.24319151477422518</v>
      </c>
      <c r="O536">
        <f t="shared" si="57"/>
        <v>0.37067829374532291</v>
      </c>
      <c r="P536">
        <f t="shared" si="58"/>
        <v>0.13806592525348149</v>
      </c>
      <c r="Q536">
        <f t="shared" si="59"/>
        <v>0.48888705570094199</v>
      </c>
      <c r="R536">
        <f t="shared" si="60"/>
        <v>0.3176520014180681</v>
      </c>
      <c r="S536">
        <f t="shared" si="61"/>
        <v>0.60076188729364932</v>
      </c>
      <c r="T536">
        <f t="shared" si="62"/>
        <v>0.22822582915361136</v>
      </c>
    </row>
    <row r="537" spans="2:20" x14ac:dyDescent="0.2">
      <c r="B537">
        <v>2885</v>
      </c>
      <c r="C537">
        <v>7.8104084968566898</v>
      </c>
      <c r="D537">
        <v>4.10429496765137</v>
      </c>
      <c r="E537">
        <v>0.99640874769538601</v>
      </c>
      <c r="F537" s="13">
        <v>4.2831407070000003</v>
      </c>
      <c r="G537">
        <v>6.5912542343139604</v>
      </c>
      <c r="H537">
        <v>8.3391945838928194</v>
      </c>
      <c r="I537">
        <v>6.1247309684753404</v>
      </c>
      <c r="N537">
        <f t="shared" si="56"/>
        <v>0.24757831172545533</v>
      </c>
      <c r="O537">
        <f t="shared" si="57"/>
        <v>0.37848723599958356</v>
      </c>
      <c r="P537">
        <f t="shared" si="58"/>
        <v>0.1414592368572446</v>
      </c>
      <c r="Q537">
        <f t="shared" si="59"/>
        <v>0.48590334266416818</v>
      </c>
      <c r="R537">
        <f t="shared" si="60"/>
        <v>0.32015897997208592</v>
      </c>
      <c r="S537">
        <f t="shared" si="61"/>
        <v>0.60899045539845631</v>
      </c>
      <c r="T537">
        <f t="shared" si="62"/>
        <v>0.2316883185403909</v>
      </c>
    </row>
    <row r="538" spans="2:20" x14ac:dyDescent="0.2">
      <c r="B538">
        <v>2887</v>
      </c>
      <c r="C538">
        <v>7.88820600509644</v>
      </c>
      <c r="D538">
        <v>4.1398702144622801</v>
      </c>
      <c r="E538">
        <v>0.96796516091562801</v>
      </c>
      <c r="F538" s="13">
        <v>4.3040291310000001</v>
      </c>
      <c r="G538">
        <v>6.5654345512390098</v>
      </c>
      <c r="H538">
        <v>8.3393990516662608</v>
      </c>
      <c r="I538">
        <v>6.08614253997803</v>
      </c>
      <c r="N538">
        <f t="shared" si="56"/>
        <v>0.24994476934050652</v>
      </c>
      <c r="O538">
        <f t="shared" si="57"/>
        <v>0.38038104173405946</v>
      </c>
      <c r="P538">
        <f t="shared" si="58"/>
        <v>0.13856297102775261</v>
      </c>
      <c r="Q538">
        <f t="shared" si="59"/>
        <v>0.48739520089664312</v>
      </c>
      <c r="R538">
        <f t="shared" si="60"/>
        <v>0.31933573176084484</v>
      </c>
      <c r="S538">
        <f t="shared" si="61"/>
        <v>0.60899901225615394</v>
      </c>
      <c r="T538">
        <f t="shared" si="62"/>
        <v>0.23022858289491102</v>
      </c>
    </row>
    <row r="539" spans="2:20" x14ac:dyDescent="0.2">
      <c r="B539">
        <v>2889</v>
      </c>
      <c r="C539">
        <v>7.8871982574462898</v>
      </c>
      <c r="D539">
        <v>4.1333608150482197</v>
      </c>
      <c r="E539">
        <v>1.03102683159523</v>
      </c>
      <c r="F539" s="13">
        <v>4.2845410350000002</v>
      </c>
      <c r="G539">
        <v>6.5903427124023404</v>
      </c>
      <c r="H539">
        <v>8.3671398162841797</v>
      </c>
      <c r="I539">
        <v>6.0923164367675797</v>
      </c>
      <c r="N539">
        <f t="shared" si="56"/>
        <v>0.24991411550396722</v>
      </c>
      <c r="O539">
        <f t="shared" si="57"/>
        <v>0.38003452163811002</v>
      </c>
      <c r="P539">
        <f t="shared" si="58"/>
        <v>0.14498422033622546</v>
      </c>
      <c r="Q539">
        <f t="shared" si="59"/>
        <v>0.48600335455855359</v>
      </c>
      <c r="R539">
        <f t="shared" si="60"/>
        <v>0.3201299165331169</v>
      </c>
      <c r="S539">
        <f t="shared" si="61"/>
        <v>0.61015994716176325</v>
      </c>
      <c r="T539">
        <f t="shared" si="62"/>
        <v>0.23046213107414948</v>
      </c>
    </row>
    <row r="540" spans="2:20" x14ac:dyDescent="0.2">
      <c r="B540">
        <v>2891</v>
      </c>
      <c r="C540">
        <v>7.8788586616516101</v>
      </c>
      <c r="D540">
        <v>4.1535246849060101</v>
      </c>
      <c r="E540">
        <v>1.0901018713600901</v>
      </c>
      <c r="F540" s="13">
        <v>4.3263993259999998</v>
      </c>
      <c r="G540">
        <v>6.8211730003356896</v>
      </c>
      <c r="H540">
        <v>8.4842717170715307</v>
      </c>
      <c r="I540">
        <v>6.2316308021545401</v>
      </c>
      <c r="N540">
        <f t="shared" si="56"/>
        <v>0.24966044028452508</v>
      </c>
      <c r="O540">
        <f t="shared" si="57"/>
        <v>0.38110792114448244</v>
      </c>
      <c r="P540">
        <f t="shared" si="58"/>
        <v>0.15099953128739591</v>
      </c>
      <c r="Q540">
        <f t="shared" si="59"/>
        <v>0.48899288770981864</v>
      </c>
      <c r="R540">
        <f t="shared" si="60"/>
        <v>0.32748982955334116</v>
      </c>
      <c r="S540">
        <f t="shared" si="61"/>
        <v>0.6150618492562917</v>
      </c>
      <c r="T540">
        <f t="shared" si="62"/>
        <v>0.23573216027725444</v>
      </c>
    </row>
    <row r="541" spans="2:20" x14ac:dyDescent="0.2">
      <c r="B541">
        <v>2893</v>
      </c>
      <c r="C541">
        <v>7.9605943679809599</v>
      </c>
      <c r="D541">
        <v>4.2029269218444796</v>
      </c>
      <c r="E541">
        <v>1.0892357081174899</v>
      </c>
      <c r="F541" s="13">
        <v>4.3541563989999998</v>
      </c>
      <c r="G541">
        <v>6.8218470573425298</v>
      </c>
      <c r="H541">
        <v>8.6153123855590792</v>
      </c>
      <c r="I541">
        <v>6.2809567451477104</v>
      </c>
      <c r="N541">
        <f t="shared" si="56"/>
        <v>0.25214669066761702</v>
      </c>
      <c r="O541">
        <f t="shared" si="57"/>
        <v>0.38373779016850618</v>
      </c>
      <c r="P541">
        <f t="shared" si="58"/>
        <v>0.15091133428813103</v>
      </c>
      <c r="Q541">
        <f t="shared" si="59"/>
        <v>0.49097530715249454</v>
      </c>
      <c r="R541">
        <f t="shared" si="60"/>
        <v>0.3275113215377139</v>
      </c>
      <c r="S541">
        <f t="shared" si="61"/>
        <v>0.62054582520997903</v>
      </c>
      <c r="T541">
        <f t="shared" si="62"/>
        <v>0.23759807811941425</v>
      </c>
    </row>
    <row r="542" spans="2:20" x14ac:dyDescent="0.2">
      <c r="B542">
        <v>2895</v>
      </c>
      <c r="C542">
        <v>8.1180500984191895</v>
      </c>
      <c r="D542">
        <v>4.21554718017578</v>
      </c>
      <c r="E542">
        <v>1.0332861237227899</v>
      </c>
      <c r="F542" s="13">
        <v>4.257232857</v>
      </c>
      <c r="G542">
        <v>6.8752099037170398</v>
      </c>
      <c r="H542">
        <v>8.6375097274780295</v>
      </c>
      <c r="I542">
        <v>6.4001093864440897</v>
      </c>
      <c r="N542">
        <f t="shared" si="56"/>
        <v>0.25693620540606738</v>
      </c>
      <c r="O542">
        <f t="shared" si="57"/>
        <v>0.38440961453350408</v>
      </c>
      <c r="P542">
        <f t="shared" si="58"/>
        <v>0.14521427256692895</v>
      </c>
      <c r="Q542">
        <f t="shared" si="59"/>
        <v>0.48405299534700219</v>
      </c>
      <c r="R542">
        <f t="shared" si="60"/>
        <v>0.3292127703005443</v>
      </c>
      <c r="S542">
        <f t="shared" si="61"/>
        <v>0.62147477109162241</v>
      </c>
      <c r="T542">
        <f t="shared" si="62"/>
        <v>0.24210542305484031</v>
      </c>
    </row>
    <row r="543" spans="2:20" x14ac:dyDescent="0.2">
      <c r="B543">
        <v>2897</v>
      </c>
      <c r="C543">
        <v>8.1124828338623107</v>
      </c>
      <c r="D543">
        <v>4.29556827545166</v>
      </c>
      <c r="E543">
        <v>0.94637317284941702</v>
      </c>
      <c r="F543" s="13">
        <v>4.3033882139999999</v>
      </c>
      <c r="G543">
        <v>6.9373875617980998</v>
      </c>
      <c r="H543">
        <v>8.7565731048584006</v>
      </c>
      <c r="I543">
        <v>6.5263389587402303</v>
      </c>
      <c r="N543">
        <f t="shared" si="56"/>
        <v>0.25676685942181005</v>
      </c>
      <c r="O543">
        <f t="shared" si="57"/>
        <v>0.38866944187688124</v>
      </c>
      <c r="P543">
        <f t="shared" si="58"/>
        <v>0.1363643686605058</v>
      </c>
      <c r="Q543">
        <f t="shared" si="59"/>
        <v>0.48734942639001766</v>
      </c>
      <c r="R543">
        <f t="shared" si="60"/>
        <v>0.33119527510688923</v>
      </c>
      <c r="S543">
        <f t="shared" si="61"/>
        <v>0.6264575043610332</v>
      </c>
      <c r="T543">
        <f t="shared" si="62"/>
        <v>0.24688047644182129</v>
      </c>
    </row>
    <row r="544" spans="2:20" x14ac:dyDescent="0.2">
      <c r="B544">
        <v>2899</v>
      </c>
      <c r="C544">
        <v>8.1583064079284693</v>
      </c>
      <c r="D544">
        <v>4.4029619216918903</v>
      </c>
      <c r="E544">
        <v>0.939000616967678</v>
      </c>
      <c r="F544" s="13">
        <v>4.2800279620000001</v>
      </c>
      <c r="G544">
        <v>6.9552576065063496</v>
      </c>
      <c r="H544">
        <v>8.8575813293457006</v>
      </c>
      <c r="I544">
        <v>6.5144218444824196</v>
      </c>
      <c r="N544">
        <f t="shared" si="56"/>
        <v>0.25816072856044031</v>
      </c>
      <c r="O544">
        <f t="shared" si="57"/>
        <v>0.39438641424750298</v>
      </c>
      <c r="P544">
        <f t="shared" si="58"/>
        <v>0.13561365877846318</v>
      </c>
      <c r="Q544">
        <f t="shared" si="59"/>
        <v>0.48568102937457558</v>
      </c>
      <c r="R544">
        <f t="shared" si="60"/>
        <v>0.33176505291160352</v>
      </c>
      <c r="S544">
        <f t="shared" si="61"/>
        <v>0.63068463995646584</v>
      </c>
      <c r="T544">
        <f t="shared" si="62"/>
        <v>0.24642967196102739</v>
      </c>
    </row>
    <row r="545" spans="2:20" x14ac:dyDescent="0.2">
      <c r="B545">
        <v>2901</v>
      </c>
      <c r="C545">
        <v>8.1741415977478002</v>
      </c>
      <c r="D545">
        <v>4.3686948776245096</v>
      </c>
      <c r="E545">
        <v>0.97500942945480396</v>
      </c>
      <c r="F545" s="13">
        <v>4.302436352</v>
      </c>
      <c r="G545">
        <v>6.7605767250061</v>
      </c>
      <c r="H545">
        <v>8.8822088241577095</v>
      </c>
      <c r="I545">
        <v>6.6188519477844201</v>
      </c>
      <c r="N545">
        <f t="shared" si="56"/>
        <v>0.25864240601234861</v>
      </c>
      <c r="O545">
        <f t="shared" si="57"/>
        <v>0.39256224912214843</v>
      </c>
      <c r="P545">
        <f t="shared" si="58"/>
        <v>0.13928025307877367</v>
      </c>
      <c r="Q545">
        <f t="shared" si="59"/>
        <v>0.48728144408743324</v>
      </c>
      <c r="R545">
        <f t="shared" si="60"/>
        <v>0.32555774637756607</v>
      </c>
      <c r="S545">
        <f t="shared" si="61"/>
        <v>0.63171528632684404</v>
      </c>
      <c r="T545">
        <f t="shared" si="62"/>
        <v>0.25038008793253297</v>
      </c>
    </row>
    <row r="546" spans="2:20" x14ac:dyDescent="0.2">
      <c r="B546">
        <v>2903</v>
      </c>
      <c r="C546">
        <v>8.1154512405395494</v>
      </c>
      <c r="D546">
        <v>4.2513912200927697</v>
      </c>
      <c r="E546">
        <v>0.92775746566185302</v>
      </c>
      <c r="F546" s="13">
        <v>4.3449007990000004</v>
      </c>
      <c r="G546">
        <v>6.8112092018127397</v>
      </c>
      <c r="H546">
        <v>8.8122241020202594</v>
      </c>
      <c r="I546">
        <v>6.6967982292175297</v>
      </c>
      <c r="N546">
        <f t="shared" si="56"/>
        <v>0.25685715291249961</v>
      </c>
      <c r="O546">
        <f t="shared" si="57"/>
        <v>0.38631772914764534</v>
      </c>
      <c r="P546">
        <f t="shared" si="58"/>
        <v>0.13446882584318645</v>
      </c>
      <c r="Q546">
        <f t="shared" si="59"/>
        <v>0.49031426910307085</v>
      </c>
      <c r="R546">
        <f t="shared" si="60"/>
        <v>0.32717213861626132</v>
      </c>
      <c r="S546">
        <f t="shared" si="61"/>
        <v>0.62878646630663992</v>
      </c>
      <c r="T546">
        <f t="shared" si="62"/>
        <v>0.25332866526183384</v>
      </c>
    </row>
    <row r="547" spans="2:20" x14ac:dyDescent="0.2">
      <c r="B547">
        <v>2905</v>
      </c>
      <c r="C547">
        <v>7.9849366188049302</v>
      </c>
      <c r="D547">
        <v>4.1427436828613304</v>
      </c>
      <c r="E547">
        <v>0.88990083113312701</v>
      </c>
      <c r="F547" s="13">
        <v>4.3201506140000001</v>
      </c>
      <c r="G547">
        <v>6.7825115203857402</v>
      </c>
      <c r="H547">
        <v>8.8112904548644995</v>
      </c>
      <c r="I547">
        <v>6.5984578132629403</v>
      </c>
      <c r="N547">
        <f t="shared" si="56"/>
        <v>0.25288713732372775</v>
      </c>
      <c r="O547">
        <f t="shared" si="57"/>
        <v>0.38053400738910836</v>
      </c>
      <c r="P547">
        <f t="shared" si="58"/>
        <v>0.13061407721903812</v>
      </c>
      <c r="Q547">
        <f t="shared" si="59"/>
        <v>0.48854660260762212</v>
      </c>
      <c r="R547">
        <f t="shared" si="60"/>
        <v>0.32625712680790714</v>
      </c>
      <c r="S547">
        <f t="shared" si="61"/>
        <v>0.62874739371482158</v>
      </c>
      <c r="T547">
        <f t="shared" si="62"/>
        <v>0.24960861196735365</v>
      </c>
    </row>
    <row r="548" spans="2:20" x14ac:dyDescent="0.2">
      <c r="B548">
        <v>2907</v>
      </c>
      <c r="C548">
        <v>7.8492075920105</v>
      </c>
      <c r="D548">
        <v>4.1054259777069104</v>
      </c>
      <c r="E548">
        <v>0.90723648071289098</v>
      </c>
      <c r="F548" s="13">
        <v>4.231701374</v>
      </c>
      <c r="G548">
        <v>6.8092462539672898</v>
      </c>
      <c r="H548">
        <v>8.7767763137817401</v>
      </c>
      <c r="I548">
        <v>6.55194845199585</v>
      </c>
      <c r="N548">
        <f t="shared" si="56"/>
        <v>0.24875850908988606</v>
      </c>
      <c r="O548">
        <f t="shared" si="57"/>
        <v>0.37854744396779016</v>
      </c>
      <c r="P548">
        <f t="shared" si="58"/>
        <v>0.1323792782781974</v>
      </c>
      <c r="Q548">
        <f t="shared" si="59"/>
        <v>0.48222952828692894</v>
      </c>
      <c r="R548">
        <f t="shared" si="60"/>
        <v>0.32710955096567573</v>
      </c>
      <c r="S548">
        <f t="shared" si="61"/>
        <v>0.62730299693369551</v>
      </c>
      <c r="T548">
        <f t="shared" si="62"/>
        <v>0.24784924069638301</v>
      </c>
    </row>
    <row r="549" spans="2:20" x14ac:dyDescent="0.2">
      <c r="B549">
        <v>2909</v>
      </c>
      <c r="C549">
        <v>7.8208428382873496</v>
      </c>
      <c r="D549">
        <v>3.98824591636658</v>
      </c>
      <c r="E549">
        <v>0.86435135751962699</v>
      </c>
      <c r="F549" s="13">
        <v>4.2291643140000001</v>
      </c>
      <c r="G549">
        <v>6.8838874816894497</v>
      </c>
      <c r="H549">
        <v>8.6932275772094698</v>
      </c>
      <c r="I549">
        <v>6.6310390472412104</v>
      </c>
      <c r="N549">
        <f t="shared" si="56"/>
        <v>0.24789570526793916</v>
      </c>
      <c r="O549">
        <f t="shared" si="57"/>
        <v>0.37230950348877989</v>
      </c>
      <c r="P549">
        <f t="shared" si="58"/>
        <v>0.12801250421907637</v>
      </c>
      <c r="Q549">
        <f t="shared" si="59"/>
        <v>0.48204833061269164</v>
      </c>
      <c r="R549">
        <f t="shared" si="60"/>
        <v>0.32948945071226565</v>
      </c>
      <c r="S549">
        <f t="shared" si="61"/>
        <v>0.62380653077848192</v>
      </c>
      <c r="T549">
        <f t="shared" si="62"/>
        <v>0.25084110550139627</v>
      </c>
    </row>
    <row r="550" spans="2:20" x14ac:dyDescent="0.2">
      <c r="B550">
        <v>2911</v>
      </c>
      <c r="C550">
        <v>7.7780742645263699</v>
      </c>
      <c r="D550">
        <v>3.9090095996856702</v>
      </c>
      <c r="E550">
        <v>0.85815712660551102</v>
      </c>
      <c r="F550" s="13">
        <v>4.1818668839999997</v>
      </c>
      <c r="G550">
        <v>6.8551264762878397</v>
      </c>
      <c r="H550">
        <v>8.5418171882629395</v>
      </c>
      <c r="I550">
        <v>6.6873932838439902</v>
      </c>
      <c r="N550">
        <f t="shared" si="56"/>
        <v>0.24659476363945348</v>
      </c>
      <c r="O550">
        <f t="shared" si="57"/>
        <v>0.36809145289571876</v>
      </c>
      <c r="P550">
        <f t="shared" si="58"/>
        <v>0.12738177717767157</v>
      </c>
      <c r="Q550">
        <f t="shared" si="59"/>
        <v>0.47867033233381684</v>
      </c>
      <c r="R550">
        <f t="shared" si="60"/>
        <v>0.32857241984935232</v>
      </c>
      <c r="S550">
        <f t="shared" si="61"/>
        <v>0.61747009384096641</v>
      </c>
      <c r="T550">
        <f t="shared" si="62"/>
        <v>0.25297289192407008</v>
      </c>
    </row>
    <row r="551" spans="2:20" x14ac:dyDescent="0.2">
      <c r="B551">
        <v>2913</v>
      </c>
      <c r="C551">
        <v>7.6564307212829599</v>
      </c>
      <c r="D551">
        <v>3.9089838504791299</v>
      </c>
      <c r="E551">
        <v>0.82237739916890895</v>
      </c>
      <c r="F551" s="13">
        <v>3.9573148250000001</v>
      </c>
      <c r="G551">
        <v>6.7299476623535197</v>
      </c>
      <c r="H551">
        <v>8.3307878494262706</v>
      </c>
      <c r="I551">
        <v>6.6595776557922397</v>
      </c>
      <c r="N551">
        <f t="shared" si="56"/>
        <v>0.2428945899996621</v>
      </c>
      <c r="O551">
        <f t="shared" si="57"/>
        <v>0.36809008216749128</v>
      </c>
      <c r="P551">
        <f t="shared" si="58"/>
        <v>0.12373850944334649</v>
      </c>
      <c r="Q551">
        <f t="shared" si="59"/>
        <v>0.46263274913278907</v>
      </c>
      <c r="R551">
        <f t="shared" si="60"/>
        <v>0.32458115340516086</v>
      </c>
      <c r="S551">
        <f t="shared" si="61"/>
        <v>0.60863863843815158</v>
      </c>
      <c r="T551">
        <f t="shared" si="62"/>
        <v>0.25192067328367168</v>
      </c>
    </row>
    <row r="552" spans="2:20" x14ac:dyDescent="0.2">
      <c r="B552">
        <v>2915</v>
      </c>
      <c r="C552">
        <v>7.4982725143432596</v>
      </c>
      <c r="D552">
        <v>3.7471598148345899</v>
      </c>
      <c r="E552">
        <v>0.80575477145612195</v>
      </c>
      <c r="F552" s="13">
        <v>3.794068432</v>
      </c>
      <c r="G552">
        <v>6.46825037002563</v>
      </c>
      <c r="H552">
        <v>8.2323570251464808</v>
      </c>
      <c r="I552">
        <v>6.5591565132141101</v>
      </c>
      <c r="N552">
        <f t="shared" si="56"/>
        <v>0.23808370721352085</v>
      </c>
      <c r="O552">
        <f t="shared" si="57"/>
        <v>0.35947557308738343</v>
      </c>
      <c r="P552">
        <f t="shared" si="58"/>
        <v>0.12204591177577057</v>
      </c>
      <c r="Q552">
        <f t="shared" si="59"/>
        <v>0.45097363711366845</v>
      </c>
      <c r="R552">
        <f t="shared" si="60"/>
        <v>0.31623706075421026</v>
      </c>
      <c r="S552">
        <f t="shared" si="61"/>
        <v>0.60451936554613883</v>
      </c>
      <c r="T552">
        <f t="shared" si="62"/>
        <v>0.24812190958456612</v>
      </c>
    </row>
    <row r="553" spans="2:20" x14ac:dyDescent="0.2">
      <c r="B553">
        <v>2917</v>
      </c>
      <c r="C553">
        <v>7.3967898368835403</v>
      </c>
      <c r="D553">
        <v>3.58047380447388</v>
      </c>
      <c r="E553">
        <v>0.86930459737777699</v>
      </c>
      <c r="F553" s="13">
        <v>3.8460671419999999</v>
      </c>
      <c r="G553">
        <v>6.3915228843689</v>
      </c>
      <c r="H553">
        <v>8.1738133430480993</v>
      </c>
      <c r="I553">
        <v>6.5149514198303198</v>
      </c>
      <c r="N553">
        <f t="shared" si="56"/>
        <v>0.23499679016046759</v>
      </c>
      <c r="O553">
        <f t="shared" si="57"/>
        <v>0.35060224259565476</v>
      </c>
      <c r="P553">
        <f t="shared" si="58"/>
        <v>0.12851686745067298</v>
      </c>
      <c r="Q553">
        <f t="shared" si="59"/>
        <v>0.4546874023834454</v>
      </c>
      <c r="R553">
        <f t="shared" si="60"/>
        <v>0.31379064167398496</v>
      </c>
      <c r="S553">
        <f t="shared" si="61"/>
        <v>0.6020693464141138</v>
      </c>
      <c r="T553">
        <f t="shared" si="62"/>
        <v>0.24644970490982579</v>
      </c>
    </row>
    <row r="554" spans="2:20" x14ac:dyDescent="0.2">
      <c r="B554">
        <v>2919</v>
      </c>
      <c r="C554">
        <v>7.2577960968017603</v>
      </c>
      <c r="D554">
        <v>3.57226843833923</v>
      </c>
      <c r="E554">
        <v>0.88015523105859805</v>
      </c>
      <c r="F554" s="13">
        <v>3.7293263909999999</v>
      </c>
      <c r="G554">
        <v>6.6102283477783201</v>
      </c>
      <c r="H554">
        <v>7.8929112434387196</v>
      </c>
      <c r="I554">
        <v>6.4745332717895501</v>
      </c>
      <c r="N554">
        <f t="shared" si="56"/>
        <v>0.23076885533192107</v>
      </c>
      <c r="O554">
        <f t="shared" si="57"/>
        <v>0.35016543973882935</v>
      </c>
      <c r="P554">
        <f t="shared" si="58"/>
        <v>0.1296217323118255</v>
      </c>
      <c r="Q554">
        <f t="shared" si="59"/>
        <v>0.44634973887926455</v>
      </c>
      <c r="R554">
        <f t="shared" si="60"/>
        <v>0.32076396047955674</v>
      </c>
      <c r="S554">
        <f t="shared" si="61"/>
        <v>0.59031375650925555</v>
      </c>
      <c r="T554">
        <f t="shared" si="62"/>
        <v>0.24492075403732508</v>
      </c>
    </row>
    <row r="555" spans="2:20" x14ac:dyDescent="0.2">
      <c r="B555">
        <v>2921</v>
      </c>
      <c r="C555">
        <v>7.0510684013366696</v>
      </c>
      <c r="D555">
        <v>3.5794865608215298</v>
      </c>
      <c r="E555">
        <v>0.87260610498487901</v>
      </c>
      <c r="F555" s="13">
        <v>3.673265362</v>
      </c>
      <c r="G555">
        <v>6.44497480392456</v>
      </c>
      <c r="H555">
        <v>7.7498402595520002</v>
      </c>
      <c r="I555">
        <v>6.3730338096618704</v>
      </c>
      <c r="N555">
        <f t="shared" si="56"/>
        <v>0.22448057772195273</v>
      </c>
      <c r="O555">
        <f t="shared" si="57"/>
        <v>0.35054968786005214</v>
      </c>
      <c r="P555">
        <f t="shared" si="58"/>
        <v>0.12885304318484805</v>
      </c>
      <c r="Q555">
        <f t="shared" si="59"/>
        <v>0.4423458414270362</v>
      </c>
      <c r="R555">
        <f t="shared" si="60"/>
        <v>0.31549493049247518</v>
      </c>
      <c r="S555">
        <f t="shared" si="61"/>
        <v>0.58432631883543351</v>
      </c>
      <c r="T555">
        <f t="shared" si="62"/>
        <v>0.24108119931497779</v>
      </c>
    </row>
    <row r="556" spans="2:20" x14ac:dyDescent="0.2">
      <c r="B556">
        <v>2923</v>
      </c>
      <c r="C556">
        <v>6.9083356857299796</v>
      </c>
      <c r="D556">
        <v>3.5496018409729002</v>
      </c>
      <c r="E556">
        <v>0.835318776592612</v>
      </c>
      <c r="F556" s="13">
        <v>3.5699157239999999</v>
      </c>
      <c r="G556">
        <v>6.27726860046387</v>
      </c>
      <c r="H556">
        <v>7.7024839401245098</v>
      </c>
      <c r="I556">
        <v>6.1993162155151396</v>
      </c>
      <c r="N556">
        <f t="shared" si="56"/>
        <v>0.22013891011065248</v>
      </c>
      <c r="O556">
        <f t="shared" si="57"/>
        <v>0.34895881052550093</v>
      </c>
      <c r="P556">
        <f t="shared" si="58"/>
        <v>0.12505626411012094</v>
      </c>
      <c r="Q556">
        <f t="shared" si="59"/>
        <v>0.43496457569470504</v>
      </c>
      <c r="R556">
        <f t="shared" si="60"/>
        <v>0.31014769863016817</v>
      </c>
      <c r="S556">
        <f t="shared" si="61"/>
        <v>0.58234448434089903</v>
      </c>
      <c r="T556">
        <f t="shared" si="62"/>
        <v>0.23450975356562148</v>
      </c>
    </row>
    <row r="557" spans="2:20" x14ac:dyDescent="0.2">
      <c r="B557">
        <v>2925</v>
      </c>
      <c r="C557">
        <v>6.6432479858398397</v>
      </c>
      <c r="D557">
        <v>3.3381211757659899</v>
      </c>
      <c r="E557">
        <v>0.77156976833939594</v>
      </c>
      <c r="F557" s="13">
        <v>3.5143632889999998</v>
      </c>
      <c r="G557">
        <v>6.2743051528930698</v>
      </c>
      <c r="H557">
        <v>7.61163330078125</v>
      </c>
      <c r="I557">
        <v>5.9760776519775396</v>
      </c>
      <c r="N557">
        <f t="shared" si="56"/>
        <v>0.2120754281270367</v>
      </c>
      <c r="O557">
        <f t="shared" si="57"/>
        <v>0.33770089013415738</v>
      </c>
      <c r="P557">
        <f t="shared" si="58"/>
        <v>0.11856502671107433</v>
      </c>
      <c r="Q557">
        <f t="shared" si="59"/>
        <v>0.43099700219615972</v>
      </c>
      <c r="R557">
        <f t="shared" si="60"/>
        <v>0.31005321052569818</v>
      </c>
      <c r="S557">
        <f t="shared" si="61"/>
        <v>0.57854243779087788</v>
      </c>
      <c r="T557">
        <f t="shared" si="62"/>
        <v>0.22606501245199276</v>
      </c>
    </row>
    <row r="558" spans="2:20" x14ac:dyDescent="0.2">
      <c r="B558">
        <v>2927</v>
      </c>
      <c r="C558">
        <v>6.5598514556884799</v>
      </c>
      <c r="D558">
        <v>3.1994922161102299</v>
      </c>
      <c r="E558">
        <v>0.81354568600654598</v>
      </c>
      <c r="F558" s="13">
        <v>3.5255305770000001</v>
      </c>
      <c r="G558">
        <v>6.2049870491027797</v>
      </c>
      <c r="H558">
        <v>7.4699059486389201</v>
      </c>
      <c r="I558">
        <v>5.9132715225219696</v>
      </c>
      <c r="N558">
        <f t="shared" si="56"/>
        <v>0.20953865852720144</v>
      </c>
      <c r="O558">
        <f t="shared" si="57"/>
        <v>0.33032114319505834</v>
      </c>
      <c r="P558">
        <f t="shared" si="58"/>
        <v>0.12283922099403496</v>
      </c>
      <c r="Q558">
        <f t="shared" si="59"/>
        <v>0.43179457364229745</v>
      </c>
      <c r="R558">
        <f t="shared" si="60"/>
        <v>0.30784303603260599</v>
      </c>
      <c r="S558">
        <f t="shared" si="61"/>
        <v>0.57261123032605821</v>
      </c>
      <c r="T558">
        <f t="shared" si="62"/>
        <v>0.2236891617244279</v>
      </c>
    </row>
    <row r="559" spans="2:20" x14ac:dyDescent="0.2">
      <c r="B559">
        <v>2929</v>
      </c>
      <c r="C559">
        <v>6.5088309288024897</v>
      </c>
      <c r="D559">
        <v>3.0709613323211702</v>
      </c>
      <c r="E559">
        <v>0.76924108862876905</v>
      </c>
      <c r="F559" s="13">
        <v>3.6314393520000001</v>
      </c>
      <c r="G559">
        <v>6.27305994033813</v>
      </c>
      <c r="H559">
        <v>7.3622121810913104</v>
      </c>
      <c r="I559">
        <v>5.99875812530518</v>
      </c>
      <c r="N559">
        <f t="shared" si="56"/>
        <v>0.20798670760865537</v>
      </c>
      <c r="O559">
        <f t="shared" si="57"/>
        <v>0.32347895525267345</v>
      </c>
      <c r="P559">
        <f t="shared" si="58"/>
        <v>0.11832790909556601</v>
      </c>
      <c r="Q559">
        <f t="shared" si="59"/>
        <v>0.4393586137955941</v>
      </c>
      <c r="R559">
        <f t="shared" si="60"/>
        <v>0.31001350752061119</v>
      </c>
      <c r="S559">
        <f t="shared" si="61"/>
        <v>0.56810430863213224</v>
      </c>
      <c r="T559">
        <f t="shared" si="62"/>
        <v>0.226922976786431</v>
      </c>
    </row>
    <row r="560" spans="2:20" x14ac:dyDescent="0.2">
      <c r="B560">
        <v>2931</v>
      </c>
      <c r="C560">
        <v>6.3993684768676804</v>
      </c>
      <c r="D560">
        <v>2.9985723018646202</v>
      </c>
      <c r="E560">
        <v>0.73394942432641996</v>
      </c>
      <c r="F560" s="13">
        <v>3.5146279809999998</v>
      </c>
      <c r="G560">
        <v>6.3762498855590799</v>
      </c>
      <c r="H560">
        <v>7.2552369117736797</v>
      </c>
      <c r="I560">
        <v>5.9240564346313498</v>
      </c>
      <c r="N560">
        <f t="shared" si="56"/>
        <v>0.20465706044122911</v>
      </c>
      <c r="O560">
        <f t="shared" si="57"/>
        <v>0.31962541175597103</v>
      </c>
      <c r="P560">
        <f t="shared" si="58"/>
        <v>0.11473433834880151</v>
      </c>
      <c r="Q560">
        <f t="shared" si="59"/>
        <v>0.43101590658737993</v>
      </c>
      <c r="R560">
        <f t="shared" si="60"/>
        <v>0.31330366943215021</v>
      </c>
      <c r="S560">
        <f t="shared" si="61"/>
        <v>0.56362745567229822</v>
      </c>
      <c r="T560">
        <f t="shared" si="62"/>
        <v>0.22409713689347444</v>
      </c>
    </row>
    <row r="561" spans="2:20" x14ac:dyDescent="0.2">
      <c r="B561">
        <v>2933</v>
      </c>
      <c r="C561">
        <v>6.2372121810913104</v>
      </c>
      <c r="D561">
        <v>3.0435731410980198</v>
      </c>
      <c r="E561">
        <v>0.71624936461448696</v>
      </c>
      <c r="F561" s="13">
        <v>3.2634010309999999</v>
      </c>
      <c r="G561">
        <v>6.2678717613220201</v>
      </c>
      <c r="H561">
        <v>7.2407745361328102</v>
      </c>
      <c r="I561">
        <v>5.84611902236938</v>
      </c>
      <c r="N561">
        <f t="shared" si="56"/>
        <v>0.19972456312028772</v>
      </c>
      <c r="O561">
        <f t="shared" si="57"/>
        <v>0.32202097763494913</v>
      </c>
      <c r="P561">
        <f t="shared" si="58"/>
        <v>0.11293203125860984</v>
      </c>
      <c r="Q561">
        <f t="shared" si="59"/>
        <v>0.41307319374427282</v>
      </c>
      <c r="R561">
        <f t="shared" si="60"/>
        <v>0.30984808492103039</v>
      </c>
      <c r="S561">
        <f t="shared" si="61"/>
        <v>0.56302221364199478</v>
      </c>
      <c r="T561">
        <f t="shared" si="62"/>
        <v>0.22114889507006907</v>
      </c>
    </row>
    <row r="562" spans="2:20" x14ac:dyDescent="0.2">
      <c r="B562">
        <v>2935</v>
      </c>
      <c r="C562">
        <v>6.2875728607177699</v>
      </c>
      <c r="D562">
        <v>2.9747064113616899</v>
      </c>
      <c r="E562">
        <v>0.68202876001596402</v>
      </c>
      <c r="F562" s="13">
        <v>3.2595801350000002</v>
      </c>
      <c r="G562">
        <v>6.2524834632873496</v>
      </c>
      <c r="H562">
        <v>7.1609284400939899</v>
      </c>
      <c r="I562">
        <v>5.9095438003540002</v>
      </c>
      <c r="N562">
        <f t="shared" si="56"/>
        <v>0.20125644269455276</v>
      </c>
      <c r="O562">
        <f t="shared" si="57"/>
        <v>0.31835493960624694</v>
      </c>
      <c r="P562">
        <f t="shared" si="58"/>
        <v>0.10944752107602654</v>
      </c>
      <c r="Q562">
        <f t="shared" si="59"/>
        <v>0.41280030407327467</v>
      </c>
      <c r="R562">
        <f t="shared" si="60"/>
        <v>0.30935743641871094</v>
      </c>
      <c r="S562">
        <f t="shared" si="61"/>
        <v>0.55968070084503974</v>
      </c>
      <c r="T562">
        <f t="shared" si="62"/>
        <v>0.22354814823574931</v>
      </c>
    </row>
    <row r="563" spans="2:20" x14ac:dyDescent="0.2">
      <c r="B563">
        <v>2937</v>
      </c>
      <c r="C563">
        <v>6.2671147346496596</v>
      </c>
      <c r="D563">
        <v>3.0149273395538301</v>
      </c>
      <c r="E563">
        <v>0.65890169292688405</v>
      </c>
      <c r="F563" s="13">
        <v>3.269760561</v>
      </c>
      <c r="G563">
        <v>6.24407253265381</v>
      </c>
      <c r="H563">
        <v>6.9962159156799304</v>
      </c>
      <c r="I563">
        <v>5.8287753105163604</v>
      </c>
      <c r="N563">
        <f t="shared" si="56"/>
        <v>0.20063414399477486</v>
      </c>
      <c r="O563">
        <f t="shared" si="57"/>
        <v>0.32049605263523251</v>
      </c>
      <c r="P563">
        <f t="shared" si="58"/>
        <v>0.10709260941649776</v>
      </c>
      <c r="Q563">
        <f t="shared" si="59"/>
        <v>0.41352739350511508</v>
      </c>
      <c r="R563">
        <f t="shared" si="60"/>
        <v>0.30908925792950043</v>
      </c>
      <c r="S563">
        <f t="shared" si="61"/>
        <v>0.5527875772553682</v>
      </c>
      <c r="T563">
        <f t="shared" si="62"/>
        <v>0.22049281148743369</v>
      </c>
    </row>
    <row r="564" spans="2:20" x14ac:dyDescent="0.2">
      <c r="B564">
        <v>2939</v>
      </c>
      <c r="C564">
        <v>6.30741167068481</v>
      </c>
      <c r="D564">
        <v>3.1000032424926798</v>
      </c>
      <c r="E564">
        <v>0.67361096888780603</v>
      </c>
      <c r="F564" s="13">
        <v>3.084481764</v>
      </c>
      <c r="G564">
        <v>5.9996357917785597</v>
      </c>
      <c r="H564">
        <v>6.9443030357360804</v>
      </c>
      <c r="I564">
        <v>5.7288826942443896</v>
      </c>
      <c r="N564">
        <f t="shared" si="56"/>
        <v>0.20185990293360534</v>
      </c>
      <c r="O564">
        <f t="shared" si="57"/>
        <v>0.32502496662162539</v>
      </c>
      <c r="P564">
        <f t="shared" si="58"/>
        <v>0.10859038020300432</v>
      </c>
      <c r="Q564">
        <f t="shared" si="59"/>
        <v>0.40029471981908205</v>
      </c>
      <c r="R564">
        <f t="shared" si="60"/>
        <v>0.3012955096831334</v>
      </c>
      <c r="S564">
        <f t="shared" si="61"/>
        <v>0.55061505334668737</v>
      </c>
      <c r="T564">
        <f t="shared" si="62"/>
        <v>0.21671404105363376</v>
      </c>
    </row>
    <row r="565" spans="2:20" x14ac:dyDescent="0.2">
      <c r="B565">
        <v>2941</v>
      </c>
      <c r="C565">
        <v>6.2650781631469696</v>
      </c>
      <c r="D565">
        <v>3.0276803016662601</v>
      </c>
      <c r="E565">
        <v>0.72567344754934304</v>
      </c>
      <c r="F565" s="13">
        <v>2.9862040040000002</v>
      </c>
      <c r="G565">
        <v>5.7185099601745604</v>
      </c>
      <c r="H565">
        <v>6.7995033264160201</v>
      </c>
      <c r="I565">
        <v>5.8011845588684103</v>
      </c>
      <c r="N565">
        <f t="shared" si="56"/>
        <v>0.20057219522224753</v>
      </c>
      <c r="O565">
        <f t="shared" si="57"/>
        <v>0.32117494132737412</v>
      </c>
      <c r="P565">
        <f t="shared" si="58"/>
        <v>0.1138916377101403</v>
      </c>
      <c r="Q565">
        <f t="shared" si="59"/>
        <v>0.39327568931083523</v>
      </c>
      <c r="R565">
        <f t="shared" si="60"/>
        <v>0.29233194737565549</v>
      </c>
      <c r="S565">
        <f t="shared" si="61"/>
        <v>0.54455526951639055</v>
      </c>
      <c r="T565">
        <f t="shared" si="62"/>
        <v>0.21944909954490402</v>
      </c>
    </row>
    <row r="566" spans="2:20" x14ac:dyDescent="0.2">
      <c r="B566">
        <v>2943</v>
      </c>
      <c r="C566">
        <v>6.1937677383422898</v>
      </c>
      <c r="D566">
        <v>2.94482164382935</v>
      </c>
      <c r="E566">
        <v>0.73508344590663899</v>
      </c>
      <c r="F566" s="13">
        <v>3.1224235770000002</v>
      </c>
      <c r="G566">
        <v>5.9210920333862296</v>
      </c>
      <c r="H566">
        <v>6.63299512863159</v>
      </c>
      <c r="I566">
        <v>5.8207514762878398</v>
      </c>
      <c r="N566">
        <f t="shared" si="56"/>
        <v>0.198403062795904</v>
      </c>
      <c r="O566">
        <f t="shared" si="57"/>
        <v>0.31676405973331045</v>
      </c>
      <c r="P566">
        <f t="shared" si="58"/>
        <v>0.11484981000074634</v>
      </c>
      <c r="Q566">
        <f t="shared" si="59"/>
        <v>0.40300453680092208</v>
      </c>
      <c r="R566">
        <f t="shared" si="60"/>
        <v>0.29879117961785195</v>
      </c>
      <c r="S566">
        <f t="shared" si="61"/>
        <v>0.53758699803791909</v>
      </c>
      <c r="T566">
        <f t="shared" si="62"/>
        <v>0.22018928327203593</v>
      </c>
    </row>
    <row r="567" spans="2:20" x14ac:dyDescent="0.2">
      <c r="B567">
        <v>2945</v>
      </c>
      <c r="C567">
        <v>5.9983426094055199</v>
      </c>
      <c r="D567">
        <v>2.7407863616943402</v>
      </c>
      <c r="E567">
        <v>0.51920156385749605</v>
      </c>
      <c r="F567" s="13">
        <v>2.8171360490000001</v>
      </c>
      <c r="G567">
        <v>5.8744680404663097</v>
      </c>
      <c r="H567">
        <v>6.3411181449890099</v>
      </c>
      <c r="I567">
        <v>5.5154514312744096</v>
      </c>
      <c r="N567">
        <f t="shared" si="56"/>
        <v>0.19245858854462602</v>
      </c>
      <c r="O567">
        <f t="shared" si="57"/>
        <v>0.30590248540899151</v>
      </c>
      <c r="P567">
        <f t="shared" si="58"/>
        <v>9.2867655533844962E-2</v>
      </c>
      <c r="Q567">
        <f t="shared" si="59"/>
        <v>0.38120079938546553</v>
      </c>
      <c r="R567">
        <f t="shared" si="60"/>
        <v>0.29730459596534081</v>
      </c>
      <c r="S567">
        <f t="shared" si="61"/>
        <v>0.52537211560328934</v>
      </c>
      <c r="T567">
        <f t="shared" si="62"/>
        <v>0.20864029370113962</v>
      </c>
    </row>
    <row r="568" spans="2:20" x14ac:dyDescent="0.2">
      <c r="B568">
        <v>2947</v>
      </c>
      <c r="C568">
        <v>5.7752091407775898</v>
      </c>
      <c r="D568">
        <v>2.5747020959854101</v>
      </c>
      <c r="E568">
        <v>0.38096225261688199</v>
      </c>
      <c r="F568" s="13">
        <v>2.5303364749999999</v>
      </c>
      <c r="G568">
        <v>5.3931261062622102</v>
      </c>
      <c r="H568">
        <v>5.95017032623291</v>
      </c>
      <c r="I568">
        <v>5.3825748443603496</v>
      </c>
      <c r="N568">
        <f t="shared" si="56"/>
        <v>0.18567127738319278</v>
      </c>
      <c r="O568">
        <f t="shared" si="57"/>
        <v>0.2970611880744265</v>
      </c>
      <c r="P568">
        <f t="shared" si="58"/>
        <v>7.8791449303636685E-2</v>
      </c>
      <c r="Q568">
        <f t="shared" si="59"/>
        <v>0.36071747783175701</v>
      </c>
      <c r="R568">
        <f t="shared" si="60"/>
        <v>0.28195723925385241</v>
      </c>
      <c r="S568">
        <f t="shared" si="61"/>
        <v>0.50901117619455394</v>
      </c>
      <c r="T568">
        <f t="shared" si="62"/>
        <v>0.20361379487956471</v>
      </c>
    </row>
    <row r="569" spans="2:20" x14ac:dyDescent="0.2">
      <c r="B569">
        <v>2949</v>
      </c>
      <c r="C569">
        <v>5.4724982261657704</v>
      </c>
      <c r="D569">
        <v>2.28703699111938</v>
      </c>
      <c r="E569">
        <v>0.447822466492653</v>
      </c>
      <c r="F569" s="13">
        <v>2.6628433230000002</v>
      </c>
      <c r="G569">
        <v>5.0163546562194803</v>
      </c>
      <c r="H569">
        <v>5.6422210693359398</v>
      </c>
      <c r="I569">
        <v>5.2326821327209503</v>
      </c>
      <c r="N569">
        <f t="shared" si="56"/>
        <v>0.17646336616276329</v>
      </c>
      <c r="O569">
        <f t="shared" si="57"/>
        <v>0.28174768011481832</v>
      </c>
      <c r="P569">
        <f t="shared" si="58"/>
        <v>8.559948495330133E-2</v>
      </c>
      <c r="Q569">
        <f t="shared" si="59"/>
        <v>0.3701811612598655</v>
      </c>
      <c r="R569">
        <f t="shared" si="60"/>
        <v>0.26994406227588608</v>
      </c>
      <c r="S569">
        <f t="shared" si="61"/>
        <v>0.49612367844846811</v>
      </c>
      <c r="T569">
        <f t="shared" si="62"/>
        <v>0.19794360454794968</v>
      </c>
    </row>
    <row r="570" spans="2:20" x14ac:dyDescent="0.2">
      <c r="B570">
        <v>2951</v>
      </c>
      <c r="C570">
        <v>5.0819627761840804</v>
      </c>
      <c r="D570">
        <v>2.0563425540924101</v>
      </c>
      <c r="E570">
        <v>0.16570072174072301</v>
      </c>
      <c r="F570" s="13">
        <v>2.548841763</v>
      </c>
      <c r="G570">
        <v>4.5955372810363802</v>
      </c>
      <c r="H570">
        <v>5.4613044738769503</v>
      </c>
      <c r="I570">
        <v>5.0491167068481397</v>
      </c>
      <c r="N570">
        <f t="shared" si="56"/>
        <v>0.16458399353930431</v>
      </c>
      <c r="O570">
        <f t="shared" si="57"/>
        <v>0.26946693755031748</v>
      </c>
      <c r="P570">
        <f t="shared" si="58"/>
        <v>5.687246204270377E-2</v>
      </c>
      <c r="Q570">
        <f t="shared" si="59"/>
        <v>0.36203913169358587</v>
      </c>
      <c r="R570">
        <f t="shared" si="60"/>
        <v>0.25652650210006983</v>
      </c>
      <c r="S570">
        <f t="shared" si="61"/>
        <v>0.48855242388626818</v>
      </c>
      <c r="T570">
        <f t="shared" si="62"/>
        <v>0.19099963181159135</v>
      </c>
    </row>
    <row r="571" spans="2:20" x14ac:dyDescent="0.2">
      <c r="B571">
        <v>2953</v>
      </c>
      <c r="C571">
        <v>4.8384801864623999</v>
      </c>
      <c r="D571">
        <v>2.0405497074127199</v>
      </c>
      <c r="E571">
        <v>0.175950971245766</v>
      </c>
      <c r="F571" s="13">
        <v>2.3913270710000001</v>
      </c>
      <c r="G571">
        <v>4.3982333183288604</v>
      </c>
      <c r="H571">
        <v>5.3073372840881303</v>
      </c>
      <c r="I571">
        <v>4.9806344985961903</v>
      </c>
      <c r="N571">
        <f t="shared" si="56"/>
        <v>0.15717769940963119</v>
      </c>
      <c r="O571">
        <f t="shared" si="57"/>
        <v>0.26862622423735955</v>
      </c>
      <c r="P571">
        <f t="shared" si="58"/>
        <v>5.7916192835697516E-2</v>
      </c>
      <c r="Q571">
        <f t="shared" si="59"/>
        <v>0.35078937967802204</v>
      </c>
      <c r="R571">
        <f t="shared" si="60"/>
        <v>0.25023555987981749</v>
      </c>
      <c r="S571">
        <f t="shared" si="61"/>
        <v>0.48210898631681681</v>
      </c>
      <c r="T571">
        <f t="shared" si="62"/>
        <v>0.18840906452602504</v>
      </c>
    </row>
    <row r="572" spans="2:20" x14ac:dyDescent="0.2">
      <c r="B572">
        <v>2955</v>
      </c>
      <c r="C572">
        <v>4.6586493492126504</v>
      </c>
      <c r="D572">
        <v>1.8006467103958099</v>
      </c>
      <c r="E572">
        <v>0.372340171039104</v>
      </c>
      <c r="F572" s="13">
        <v>2.377087307</v>
      </c>
      <c r="G572">
        <v>4.15264468193054</v>
      </c>
      <c r="H572">
        <v>5.3840865135192901</v>
      </c>
      <c r="I572">
        <v>5.0441966056823704</v>
      </c>
      <c r="N572">
        <f t="shared" si="56"/>
        <v>0.15170757493058956</v>
      </c>
      <c r="O572">
        <f t="shared" si="57"/>
        <v>0.25585527499044536</v>
      </c>
      <c r="P572">
        <f t="shared" si="58"/>
        <v>7.7913506572778901E-2</v>
      </c>
      <c r="Q572">
        <f t="shared" si="59"/>
        <v>0.34977237096774783</v>
      </c>
      <c r="R572">
        <f t="shared" si="60"/>
        <v>0.24240508399716804</v>
      </c>
      <c r="S572">
        <f t="shared" si="61"/>
        <v>0.48532089704287129</v>
      </c>
      <c r="T572">
        <f t="shared" si="62"/>
        <v>0.19081351262170154</v>
      </c>
    </row>
    <row r="573" spans="2:20" x14ac:dyDescent="0.2">
      <c r="B573">
        <v>2957</v>
      </c>
      <c r="C573">
        <v>4.4670212745666502</v>
      </c>
      <c r="D573">
        <v>1.5531172394752499</v>
      </c>
      <c r="E573">
        <v>0.45510841272771402</v>
      </c>
      <c r="F573" s="13">
        <v>1.7131479979999999</v>
      </c>
      <c r="G573">
        <v>3.9523509025573702</v>
      </c>
      <c r="H573">
        <v>5.0270394325256396</v>
      </c>
      <c r="I573">
        <v>4.7256725788116496</v>
      </c>
      <c r="N573">
        <f t="shared" si="56"/>
        <v>0.14587860011167728</v>
      </c>
      <c r="O573">
        <f t="shared" si="57"/>
        <v>0.24267833952256884</v>
      </c>
      <c r="P573">
        <f t="shared" si="58"/>
        <v>8.6341375815361665E-2</v>
      </c>
      <c r="Q573">
        <f t="shared" si="59"/>
        <v>0.30235360332901334</v>
      </c>
      <c r="R573">
        <f t="shared" si="60"/>
        <v>0.23601881290650351</v>
      </c>
      <c r="S573">
        <f t="shared" si="61"/>
        <v>0.47037868384216958</v>
      </c>
      <c r="T573">
        <f t="shared" si="62"/>
        <v>0.17876428195667485</v>
      </c>
    </row>
    <row r="574" spans="2:20" x14ac:dyDescent="0.2">
      <c r="B574">
        <v>2959</v>
      </c>
      <c r="C574">
        <v>4.2179419994354204</v>
      </c>
      <c r="D574">
        <v>1.4267056643962901</v>
      </c>
      <c r="E574">
        <v>0.24831817150116001</v>
      </c>
      <c r="F574" s="13">
        <v>1.6067996259999999</v>
      </c>
      <c r="G574">
        <v>4.2424459457397496</v>
      </c>
      <c r="H574">
        <v>4.9790178298950201</v>
      </c>
      <c r="I574">
        <v>4.4919014453887902</v>
      </c>
      <c r="N574">
        <f t="shared" si="56"/>
        <v>0.13830206506933049</v>
      </c>
      <c r="O574">
        <f t="shared" si="57"/>
        <v>0.23594897044577451</v>
      </c>
      <c r="P574">
        <f t="shared" si="58"/>
        <v>6.5284976909893849E-2</v>
      </c>
      <c r="Q574">
        <f t="shared" si="59"/>
        <v>0.29475816701086377</v>
      </c>
      <c r="R574">
        <f t="shared" si="60"/>
        <v>0.24526835422335619</v>
      </c>
      <c r="S574">
        <f t="shared" si="61"/>
        <v>0.46836900763154443</v>
      </c>
      <c r="T574">
        <f t="shared" si="62"/>
        <v>0.16992111135786789</v>
      </c>
    </row>
    <row r="575" spans="2:20" x14ac:dyDescent="0.2">
      <c r="B575">
        <v>2961</v>
      </c>
      <c r="C575">
        <v>4.1769604682922399</v>
      </c>
      <c r="D575">
        <v>1.2742991745472001</v>
      </c>
      <c r="E575">
        <v>0.34913592040538799</v>
      </c>
      <c r="F575" s="13">
        <v>1.9036522389999999</v>
      </c>
      <c r="G575">
        <v>4.6569775581359902</v>
      </c>
      <c r="H575">
        <v>4.9149400711059599</v>
      </c>
      <c r="I575">
        <v>4.43537764549255</v>
      </c>
      <c r="N575">
        <f t="shared" si="56"/>
        <v>0.13705548200202491</v>
      </c>
      <c r="O575">
        <f t="shared" si="57"/>
        <v>0.227835793157598</v>
      </c>
      <c r="P575">
        <f t="shared" si="58"/>
        <v>7.5550735705314787E-2</v>
      </c>
      <c r="Q575">
        <f t="shared" si="59"/>
        <v>0.31595947997424217</v>
      </c>
      <c r="R575">
        <f t="shared" si="60"/>
        <v>0.25848549586748298</v>
      </c>
      <c r="S575">
        <f t="shared" si="61"/>
        <v>0.4656873906005784</v>
      </c>
      <c r="T575">
        <f t="shared" si="62"/>
        <v>0.16778291063968459</v>
      </c>
    </row>
    <row r="576" spans="2:20" x14ac:dyDescent="0.2">
      <c r="B576">
        <v>2963</v>
      </c>
      <c r="C576">
        <v>4.3268330574035598</v>
      </c>
      <c r="D576">
        <v>1.0900705337524399</v>
      </c>
      <c r="E576">
        <v>0.19296044968068601</v>
      </c>
      <c r="F576" s="13">
        <v>2.1194929359999999</v>
      </c>
      <c r="G576">
        <v>4.5347223281860396</v>
      </c>
      <c r="H576">
        <v>4.6153252601623498</v>
      </c>
      <c r="I576">
        <v>4.5517250061035197</v>
      </c>
      <c r="N576">
        <f t="shared" si="56"/>
        <v>0.14161433147952923</v>
      </c>
      <c r="O576">
        <f t="shared" si="57"/>
        <v>0.21802860170657984</v>
      </c>
      <c r="P576">
        <f t="shared" si="58"/>
        <v>5.964818154548987E-2</v>
      </c>
      <c r="Q576">
        <f t="shared" si="59"/>
        <v>0.33137489478593773</v>
      </c>
      <c r="R576">
        <f t="shared" si="60"/>
        <v>0.25458744649642745</v>
      </c>
      <c r="S576">
        <f t="shared" si="61"/>
        <v>0.45314868458245816</v>
      </c>
      <c r="T576">
        <f t="shared" si="62"/>
        <v>0.17218413650336992</v>
      </c>
    </row>
    <row r="577" spans="2:20" x14ac:dyDescent="0.2">
      <c r="B577">
        <v>2965</v>
      </c>
      <c r="C577">
        <v>4.3883213996887198</v>
      </c>
      <c r="D577">
        <v>0.841515669226646</v>
      </c>
      <c r="E577">
        <v>0.38802401721477497</v>
      </c>
      <c r="F577" s="13">
        <v>2.098506403</v>
      </c>
      <c r="G577">
        <v>3.7078196287155101</v>
      </c>
      <c r="H577">
        <v>4.1513633251190196</v>
      </c>
      <c r="I577">
        <v>4.4992894649505599</v>
      </c>
      <c r="N577">
        <f t="shared" si="56"/>
        <v>0.14348469415733081</v>
      </c>
      <c r="O577">
        <f t="shared" si="57"/>
        <v>0.20479708063596644</v>
      </c>
      <c r="P577">
        <f t="shared" si="58"/>
        <v>7.9510512889363824E-2</v>
      </c>
      <c r="Q577">
        <f t="shared" si="59"/>
        <v>0.32987602957585022</v>
      </c>
      <c r="R577">
        <f t="shared" si="60"/>
        <v>0.22822205052183592</v>
      </c>
      <c r="S577">
        <f t="shared" si="61"/>
        <v>0.43373214676583655</v>
      </c>
      <c r="T577">
        <f t="shared" si="62"/>
        <v>0.17020058776890054</v>
      </c>
    </row>
    <row r="578" spans="2:20" x14ac:dyDescent="0.2">
      <c r="B578">
        <v>2967</v>
      </c>
      <c r="C578">
        <v>4.2673029899597203</v>
      </c>
      <c r="D578">
        <v>0.68549140095710803</v>
      </c>
      <c r="E578">
        <v>5.9593594074249301E-2</v>
      </c>
      <c r="F578" s="13">
        <v>1.391936469</v>
      </c>
      <c r="G578">
        <v>3.5544551134109499</v>
      </c>
      <c r="H578">
        <v>3.8468495368957498</v>
      </c>
      <c r="I578">
        <v>4.2705836296081499</v>
      </c>
      <c r="N578">
        <f t="shared" si="56"/>
        <v>0.13980353593331654</v>
      </c>
      <c r="O578">
        <f t="shared" si="57"/>
        <v>0.19649131523855984</v>
      </c>
      <c r="P578">
        <f t="shared" si="58"/>
        <v>4.6068112700072543E-2</v>
      </c>
      <c r="Q578">
        <f t="shared" si="59"/>
        <v>0.27941256843310597</v>
      </c>
      <c r="R578">
        <f t="shared" si="60"/>
        <v>0.22333209650784477</v>
      </c>
      <c r="S578">
        <f t="shared" si="61"/>
        <v>0.42098842139067699</v>
      </c>
      <c r="T578">
        <f t="shared" si="62"/>
        <v>0.1615490289161777</v>
      </c>
    </row>
    <row r="579" spans="2:20" x14ac:dyDescent="0.2">
      <c r="B579">
        <v>2969</v>
      </c>
      <c r="C579">
        <v>3.83816423416138</v>
      </c>
      <c r="D579">
        <v>1.1134506583213799</v>
      </c>
      <c r="E579">
        <v>-0.372543804347515</v>
      </c>
      <c r="F579" s="13">
        <v>1.387604976</v>
      </c>
      <c r="G579">
        <v>3.4327228546142599</v>
      </c>
      <c r="H579">
        <v>3.79072079658508</v>
      </c>
      <c r="I579">
        <v>4.2433485984802202</v>
      </c>
      <c r="N579">
        <f t="shared" si="56"/>
        <v>0.12674992149822473</v>
      </c>
      <c r="O579">
        <f t="shared" si="57"/>
        <v>0.21927321468753155</v>
      </c>
      <c r="P579">
        <f t="shared" si="58"/>
        <v>2.0657584827338191E-3</v>
      </c>
      <c r="Q579">
        <f t="shared" si="59"/>
        <v>0.27910321175349445</v>
      </c>
      <c r="R579">
        <f t="shared" si="60"/>
        <v>0.21945072182118422</v>
      </c>
      <c r="S579">
        <f t="shared" si="61"/>
        <v>0.41863946617145265</v>
      </c>
      <c r="T579">
        <f t="shared" si="62"/>
        <v>0.1605187732853747</v>
      </c>
    </row>
    <row r="580" spans="2:20" x14ac:dyDescent="0.2">
      <c r="B580">
        <v>2971</v>
      </c>
      <c r="C580">
        <v>3.4388204097747801</v>
      </c>
      <c r="D580">
        <v>1.12087844014168</v>
      </c>
      <c r="E580">
        <v>-0.27464053779840503</v>
      </c>
      <c r="F580" s="13">
        <v>1.3100503269999999</v>
      </c>
      <c r="G580">
        <v>2.5289844244718598</v>
      </c>
      <c r="H580">
        <v>3.6037852764129599</v>
      </c>
      <c r="I580">
        <v>3.8070579528808599</v>
      </c>
      <c r="N580">
        <f t="shared" si="56"/>
        <v>0.11460261426916776</v>
      </c>
      <c r="O580">
        <f t="shared" si="57"/>
        <v>0.2196686237729692</v>
      </c>
      <c r="P580">
        <f t="shared" si="58"/>
        <v>1.2034750357683512E-2</v>
      </c>
      <c r="Q580">
        <f t="shared" si="59"/>
        <v>0.27356423276793984</v>
      </c>
      <c r="R580">
        <f t="shared" si="60"/>
        <v>0.19063545542597599</v>
      </c>
      <c r="S580">
        <f t="shared" si="61"/>
        <v>0.41081632310185401</v>
      </c>
      <c r="T580">
        <f t="shared" si="62"/>
        <v>0.14401462859818681</v>
      </c>
    </row>
    <row r="581" spans="2:20" x14ac:dyDescent="0.2">
      <c r="B581">
        <v>2973</v>
      </c>
      <c r="C581">
        <v>2.7045098304748501</v>
      </c>
      <c r="D581">
        <v>0.86124033927917498</v>
      </c>
      <c r="E581">
        <v>0.121787719428539</v>
      </c>
      <c r="F581" s="13">
        <v>1.274196874</v>
      </c>
      <c r="G581">
        <v>2.1608468890190098</v>
      </c>
      <c r="H581">
        <v>3.1096381187438999</v>
      </c>
      <c r="I581">
        <v>3.2176801681518601</v>
      </c>
      <c r="N581">
        <f t="shared" si="56"/>
        <v>9.226623227552061E-2</v>
      </c>
      <c r="O581">
        <f t="shared" si="57"/>
        <v>0.20584709986576047</v>
      </c>
      <c r="P581">
        <f t="shared" si="58"/>
        <v>5.240102427882469E-2</v>
      </c>
      <c r="Q581">
        <f t="shared" si="59"/>
        <v>0.2710035671561779</v>
      </c>
      <c r="R581">
        <f t="shared" si="60"/>
        <v>0.17889756667372075</v>
      </c>
      <c r="S581">
        <f t="shared" si="61"/>
        <v>0.39013655123013502</v>
      </c>
      <c r="T581">
        <f t="shared" si="62"/>
        <v>0.12171945373552423</v>
      </c>
    </row>
    <row r="582" spans="2:20" x14ac:dyDescent="0.2">
      <c r="B582">
        <v>2975</v>
      </c>
      <c r="C582">
        <v>2.5673463582992602</v>
      </c>
      <c r="D582">
        <v>1.5549355089664501</v>
      </c>
      <c r="E582">
        <v>0.42670701928436799</v>
      </c>
      <c r="F582" s="13">
        <v>2.1506226270000002</v>
      </c>
      <c r="G582">
        <v>2.2849900007247901</v>
      </c>
      <c r="H582">
        <v>3.0652234554290798</v>
      </c>
      <c r="I582">
        <v>2.83931951522827</v>
      </c>
      <c r="N582">
        <f t="shared" ref="N582:N591" si="63">C582/$L$8+0.01</f>
        <v>8.8093970842204689E-2</v>
      </c>
      <c r="O582">
        <f t="shared" ref="O582:O591" si="64">D582/$L$9+0.16</f>
        <v>0.24277513292522773</v>
      </c>
      <c r="P582">
        <f t="shared" ref="P582:P591" si="65">E582/$L$10+0.04</f>
        <v>8.344940631879802E-2</v>
      </c>
      <c r="Q582">
        <f t="shared" ref="Q582:Q591" si="66">F582/$L$11+0.18</f>
        <v>0.33359818773483374</v>
      </c>
      <c r="R582">
        <f t="shared" ref="R582:R591" si="67">G582/$L$12+0.11</f>
        <v>0.18285581024909742</v>
      </c>
      <c r="S582">
        <f t="shared" ref="S582:S591" si="68">H582/$L$13+0.26</f>
        <v>0.3882778233373303</v>
      </c>
      <c r="T582">
        <f t="shared" ref="T582:T591" si="69">I582/$L$14</f>
        <v>0.10740670368512764</v>
      </c>
    </row>
    <row r="583" spans="2:20" x14ac:dyDescent="0.2">
      <c r="B583">
        <v>2977</v>
      </c>
      <c r="C583">
        <v>2.06255334615707</v>
      </c>
      <c r="D583">
        <v>1.40071783065796</v>
      </c>
      <c r="E583">
        <v>-4.6096336841583201E-2</v>
      </c>
      <c r="F583" s="13">
        <v>1.6370626930000001</v>
      </c>
      <c r="G583">
        <v>0.99834601283073399</v>
      </c>
      <c r="H583">
        <v>2.66110467910767</v>
      </c>
      <c r="I583">
        <v>2.6817397117614701</v>
      </c>
      <c r="N583">
        <f t="shared" si="63"/>
        <v>7.2739092586628945E-2</v>
      </c>
      <c r="O583">
        <f t="shared" si="64"/>
        <v>0.23456553918465498</v>
      </c>
      <c r="P583">
        <f t="shared" si="65"/>
        <v>3.5306244381456089E-2</v>
      </c>
      <c r="Q583">
        <f t="shared" si="66"/>
        <v>0.29691956538366066</v>
      </c>
      <c r="R583">
        <f t="shared" si="67"/>
        <v>0.14183178379365668</v>
      </c>
      <c r="S583">
        <f t="shared" si="68"/>
        <v>0.37136568699554462</v>
      </c>
      <c r="T583">
        <f t="shared" si="69"/>
        <v>0.10144572353937659</v>
      </c>
    </row>
    <row r="584" spans="2:20" x14ac:dyDescent="0.2">
      <c r="B584">
        <v>2979</v>
      </c>
      <c r="C584">
        <v>1.1005731344223</v>
      </c>
      <c r="D584">
        <v>2.04694167971611</v>
      </c>
      <c r="E584">
        <v>-7.1023614704608898E-2</v>
      </c>
      <c r="F584" s="13">
        <v>0.99841220100000005</v>
      </c>
      <c r="G584">
        <v>0.99479059576988205</v>
      </c>
      <c r="H584">
        <v>2.8854825496673602</v>
      </c>
      <c r="I584">
        <v>2.6762538433074901</v>
      </c>
      <c r="N584">
        <f t="shared" si="63"/>
        <v>4.3477417642325954E-2</v>
      </c>
      <c r="O584">
        <f t="shared" si="64"/>
        <v>0.26896649324145427</v>
      </c>
      <c r="P584">
        <f t="shared" si="65"/>
        <v>3.2768026411410474E-2</v>
      </c>
      <c r="Q584">
        <f t="shared" si="66"/>
        <v>0.25130693351807021</v>
      </c>
      <c r="R584">
        <f t="shared" si="67"/>
        <v>0.14171842102591603</v>
      </c>
      <c r="S584">
        <f t="shared" si="68"/>
        <v>0.38075577070689126</v>
      </c>
      <c r="T584">
        <f t="shared" si="69"/>
        <v>0.1012382023201788</v>
      </c>
    </row>
    <row r="585" spans="2:20" x14ac:dyDescent="0.2">
      <c r="B585">
        <v>2981</v>
      </c>
      <c r="C585">
        <v>1.36921508312225</v>
      </c>
      <c r="D585">
        <v>2.1206965088844298</v>
      </c>
      <c r="E585">
        <v>-7.2625360131496605E-2</v>
      </c>
      <c r="F585" s="13">
        <v>0.73816907399999998</v>
      </c>
      <c r="G585">
        <v>1.08231985569</v>
      </c>
      <c r="H585">
        <v>2.7977287530899</v>
      </c>
      <c r="I585">
        <v>2.4736042499542199</v>
      </c>
      <c r="N585">
        <f t="shared" si="63"/>
        <v>5.1649013360585291E-2</v>
      </c>
      <c r="O585">
        <f t="shared" si="64"/>
        <v>0.27289274339979241</v>
      </c>
      <c r="P585">
        <f t="shared" si="65"/>
        <v>3.2604928818151198E-2</v>
      </c>
      <c r="Q585">
        <f t="shared" si="66"/>
        <v>0.2327202822963233</v>
      </c>
      <c r="R585">
        <f t="shared" si="67"/>
        <v>0.14450924949779614</v>
      </c>
      <c r="S585">
        <f t="shared" si="68"/>
        <v>0.37708332523000265</v>
      </c>
      <c r="T585">
        <f t="shared" si="69"/>
        <v>9.3572307478662034E-2</v>
      </c>
    </row>
    <row r="586" spans="2:20" x14ac:dyDescent="0.2">
      <c r="B586">
        <v>2983</v>
      </c>
      <c r="C586">
        <v>1.47734071016312</v>
      </c>
      <c r="D586">
        <v>1.57982415556908</v>
      </c>
      <c r="E586">
        <v>9.1926932334899902E-2</v>
      </c>
      <c r="F586" s="13">
        <v>0.57339195600000004</v>
      </c>
      <c r="G586">
        <v>1.3595404028892499</v>
      </c>
      <c r="H586">
        <v>2.4995358943939201</v>
      </c>
      <c r="I586">
        <v>2.4522107839584399</v>
      </c>
      <c r="N586">
        <f t="shared" si="63"/>
        <v>5.4937996764841859E-2</v>
      </c>
      <c r="O586">
        <f t="shared" si="64"/>
        <v>0.2441000502732347</v>
      </c>
      <c r="P586">
        <f t="shared" si="65"/>
        <v>4.9360452146670467E-2</v>
      </c>
      <c r="Q586">
        <f t="shared" si="66"/>
        <v>0.22095184538543941</v>
      </c>
      <c r="R586">
        <f t="shared" si="67"/>
        <v>0.15334829368507619</v>
      </c>
      <c r="S586">
        <f t="shared" si="68"/>
        <v>0.36460412708850798</v>
      </c>
      <c r="T586">
        <f t="shared" si="69"/>
        <v>9.2763028476886195E-2</v>
      </c>
    </row>
    <row r="587" spans="2:20" x14ac:dyDescent="0.2">
      <c r="B587">
        <v>2985</v>
      </c>
      <c r="C587">
        <v>1.52260478883982</v>
      </c>
      <c r="D587">
        <v>2.5291704654693601</v>
      </c>
      <c r="E587">
        <v>0.306936052441597</v>
      </c>
      <c r="F587" s="13">
        <v>-1.0457567329999999</v>
      </c>
      <c r="G587">
        <v>-1.8953992962837201</v>
      </c>
      <c r="H587">
        <v>1.37660961747169</v>
      </c>
      <c r="I587">
        <v>2.47954545021057</v>
      </c>
      <c r="N587">
        <f t="shared" si="63"/>
        <v>5.6314847079155947E-2</v>
      </c>
      <c r="O587">
        <f t="shared" si="64"/>
        <v>0.294637366156067</v>
      </c>
      <c r="P587">
        <f t="shared" si="65"/>
        <v>7.1253737702250658E-2</v>
      </c>
      <c r="Q587">
        <f t="shared" si="66"/>
        <v>0.1053117041624521</v>
      </c>
      <c r="R587">
        <f t="shared" si="67"/>
        <v>4.9566102507005459E-2</v>
      </c>
      <c r="S587">
        <f t="shared" si="68"/>
        <v>0.31761031385876037</v>
      </c>
      <c r="T587">
        <f t="shared" si="69"/>
        <v>9.3797053137629025E-2</v>
      </c>
    </row>
    <row r="588" spans="2:20" x14ac:dyDescent="0.2">
      <c r="B588">
        <v>2987</v>
      </c>
      <c r="C588">
        <v>1.62288540005684</v>
      </c>
      <c r="D588">
        <v>0.73063551783561698</v>
      </c>
      <c r="E588">
        <v>-0.32396814823150599</v>
      </c>
      <c r="F588" s="13">
        <v>-2.0497866450000002</v>
      </c>
      <c r="G588">
        <v>2.0835061192512501</v>
      </c>
      <c r="H588">
        <v>0.59998188018798804</v>
      </c>
      <c r="I588">
        <v>2.58292912244797</v>
      </c>
      <c r="N588">
        <f t="shared" si="63"/>
        <v>5.936519948022749E-2</v>
      </c>
      <c r="O588">
        <f t="shared" si="64"/>
        <v>0.19889450833168973</v>
      </c>
      <c r="P588">
        <f t="shared" si="65"/>
        <v>7.0119705776891597E-3</v>
      </c>
      <c r="Q588">
        <f t="shared" si="66"/>
        <v>3.3603551844772317E-2</v>
      </c>
      <c r="R588">
        <f t="shared" si="67"/>
        <v>0.17643159332375785</v>
      </c>
      <c r="S588">
        <f t="shared" si="68"/>
        <v>0.2851088936097092</v>
      </c>
      <c r="T588">
        <f t="shared" si="69"/>
        <v>9.7707884373890941E-2</v>
      </c>
    </row>
    <row r="589" spans="2:20" x14ac:dyDescent="0.2">
      <c r="B589">
        <v>2989</v>
      </c>
      <c r="C589">
        <v>1.2909509778022801</v>
      </c>
      <c r="D589">
        <v>0.117570042610168</v>
      </c>
      <c r="E589">
        <v>-1.2173136472702</v>
      </c>
      <c r="F589" s="13">
        <v>-2.1406180140000002</v>
      </c>
      <c r="G589">
        <v>-1.0032444238662701</v>
      </c>
      <c r="H589">
        <v>2.8378613822162202</v>
      </c>
      <c r="I589">
        <v>2.4509753227233899</v>
      </c>
      <c r="N589">
        <f t="shared" si="63"/>
        <v>4.9268362717522919E-2</v>
      </c>
      <c r="O589">
        <f t="shared" si="64"/>
        <v>0.16625870066569515</v>
      </c>
      <c r="P589">
        <f t="shared" si="65"/>
        <v>-8.3952859660864104E-2</v>
      </c>
      <c r="Q589">
        <f t="shared" si="66"/>
        <v>2.7116345073710107E-2</v>
      </c>
      <c r="R589">
        <f t="shared" si="67"/>
        <v>7.8012032719844956E-2</v>
      </c>
      <c r="S589">
        <f t="shared" si="68"/>
        <v>0.3787628524762171</v>
      </c>
      <c r="T589">
        <f t="shared" si="69"/>
        <v>9.2716293046767886E-2</v>
      </c>
    </row>
    <row r="590" spans="2:20" x14ac:dyDescent="0.2">
      <c r="B590">
        <v>2991</v>
      </c>
      <c r="C590">
        <v>-0.36116633415222199</v>
      </c>
      <c r="D590">
        <v>6.4196332454681402</v>
      </c>
      <c r="E590">
        <v>-0.37878089398145698</v>
      </c>
      <c r="F590" s="13">
        <v>-1.446720225</v>
      </c>
      <c r="G590">
        <v>-1.2284309148788499</v>
      </c>
      <c r="H590">
        <v>3.5156031608581499</v>
      </c>
      <c r="I590">
        <v>1.2763296015560599</v>
      </c>
      <c r="N590">
        <f t="shared" si="63"/>
        <v>-9.8601794701122514E-4</v>
      </c>
      <c r="O590">
        <f t="shared" si="64"/>
        <v>0.50174150127810979</v>
      </c>
      <c r="P590">
        <f t="shared" si="65"/>
        <v>1.4306673557905603E-3</v>
      </c>
      <c r="Q590">
        <f t="shared" si="66"/>
        <v>7.6674757379770211E-2</v>
      </c>
      <c r="R590">
        <f t="shared" si="67"/>
        <v>7.0832069457568703E-2</v>
      </c>
      <c r="S590">
        <f t="shared" si="68"/>
        <v>0.40712595272425023</v>
      </c>
      <c r="T590">
        <f t="shared" si="69"/>
        <v>4.8281412001589245E-2</v>
      </c>
    </row>
    <row r="591" spans="2:20" x14ac:dyDescent="0.2">
      <c r="B591">
        <v>2993</v>
      </c>
      <c r="C591">
        <v>-0.467623591423035</v>
      </c>
      <c r="D591">
        <v>7.6332903861999499</v>
      </c>
      <c r="E591">
        <v>1.29010959863663</v>
      </c>
      <c r="F591" s="13">
        <v>0.623712873</v>
      </c>
      <c r="G591">
        <v>-1.0212649345397899</v>
      </c>
      <c r="H591">
        <v>1.9135247945785501</v>
      </c>
      <c r="I591">
        <v>-4.8003463074564899E-2</v>
      </c>
      <c r="N591">
        <f t="shared" si="63"/>
        <v>-4.2242526006149375E-3</v>
      </c>
      <c r="O591">
        <f t="shared" si="64"/>
        <v>0.56634908826189567</v>
      </c>
      <c r="P591">
        <f t="shared" si="65"/>
        <v>0.17136530128084979</v>
      </c>
      <c r="Q591">
        <f t="shared" si="66"/>
        <v>0.22454578211767623</v>
      </c>
      <c r="R591">
        <f t="shared" si="67"/>
        <v>7.7437457379994301E-2</v>
      </c>
      <c r="S591">
        <f t="shared" si="68"/>
        <v>0.34007990253232218</v>
      </c>
      <c r="T591">
        <f t="shared" si="69"/>
        <v>-1.8158906409288865E-3</v>
      </c>
    </row>
    <row r="593" spans="2:9" x14ac:dyDescent="0.2">
      <c r="B593" t="s">
        <v>62</v>
      </c>
      <c r="C593" s="6">
        <f>MAX(C5:C591)</f>
        <v>31.993394088745099</v>
      </c>
      <c r="D593">
        <f>MAX(D5:D591)</f>
        <v>17.7751777648926</v>
      </c>
      <c r="E593">
        <f t="shared" ref="E593:I593" si="70">MAX(E5:E591)</f>
        <v>8.6034654021263108</v>
      </c>
      <c r="F593">
        <f t="shared" si="70"/>
        <v>11.86099658</v>
      </c>
      <c r="G593">
        <f t="shared" si="70"/>
        <v>29.4677822113037</v>
      </c>
      <c r="H593">
        <f t="shared" si="70"/>
        <v>23.787072372436501</v>
      </c>
      <c r="I593">
        <f t="shared" si="70"/>
        <v>25.384904098510699</v>
      </c>
    </row>
    <row r="594" spans="2:9" x14ac:dyDescent="0.2">
      <c r="B594" t="s">
        <v>57</v>
      </c>
      <c r="C594">
        <f>MIN(C5:C591)</f>
        <v>-0.88169640302658103</v>
      </c>
      <c r="D594">
        <f t="shared" ref="D594:I594" si="71">MIN(D5:D591)</f>
        <v>-1.0098782539367701</v>
      </c>
      <c r="E594">
        <f t="shared" si="71"/>
        <v>-1.2173136472702</v>
      </c>
      <c r="F594">
        <f t="shared" si="71"/>
        <v>-2.1406180140000002</v>
      </c>
      <c r="G594">
        <f t="shared" si="71"/>
        <v>-1.8953992962837201</v>
      </c>
      <c r="H594">
        <f t="shared" si="71"/>
        <v>-0.108121478557587</v>
      </c>
      <c r="I594">
        <f t="shared" si="71"/>
        <v>-1.0503128647804301</v>
      </c>
    </row>
    <row r="595" spans="2:9" x14ac:dyDescent="0.2">
      <c r="B595" t="s">
        <v>58</v>
      </c>
      <c r="C595" s="6">
        <f>C593-C594</f>
        <v>32.87509049177168</v>
      </c>
      <c r="D595" s="6">
        <f t="shared" ref="D595:I595" si="72">D593-D594</f>
        <v>18.785056018829369</v>
      </c>
      <c r="E595" s="6">
        <f t="shared" si="72"/>
        <v>9.8207790493965099</v>
      </c>
      <c r="F595" s="6">
        <f t="shared" si="72"/>
        <v>14.001614593999999</v>
      </c>
      <c r="G595" s="6">
        <f t="shared" si="72"/>
        <v>31.36318150758742</v>
      </c>
      <c r="H595" s="6">
        <f t="shared" si="72"/>
        <v>23.895193850994087</v>
      </c>
      <c r="I595" s="6">
        <f t="shared" si="72"/>
        <v>26.435216963291129</v>
      </c>
    </row>
    <row r="598" spans="2:9" x14ac:dyDescent="0.2">
      <c r="F598" s="13"/>
    </row>
  </sheetData>
  <mergeCells count="2">
    <mergeCell ref="C2:I2"/>
    <mergeCell ref="N2:T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 2a</vt:lpstr>
      <vt:lpstr>Fig 2b</vt:lpstr>
      <vt:lpstr>Fig 2c, Fig S1</vt:lpstr>
      <vt:lpstr>Fig 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Armstrong</dc:creator>
  <cp:lastModifiedBy>Owen Armstrong</cp:lastModifiedBy>
  <dcterms:created xsi:type="dcterms:W3CDTF">2024-10-29T20:10:55Z</dcterms:created>
  <dcterms:modified xsi:type="dcterms:W3CDTF">2026-04-13T15:42:49Z</dcterms:modified>
</cp:coreProperties>
</file>