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/Library/CloudStorage/OneDrive-McGillUniversity/GRAD SCHOOL/Projects/Armstrong et al_/Armstrong Data Feb 2026/"/>
    </mc:Choice>
  </mc:AlternateContent>
  <xr:revisionPtr revIDLastSave="0" documentId="13_ncr:1_{8A3FB000-C608-8641-9FF3-A192D37F9848}" xr6:coauthVersionLast="47" xr6:coauthVersionMax="47" xr10:uidLastSave="{00000000-0000-0000-0000-000000000000}"/>
  <bookViews>
    <workbookView xWindow="0" yWindow="0" windowWidth="38400" windowHeight="21600" activeTab="6" xr2:uid="{27D3C898-72C3-4F47-9363-19319BF5B86E}"/>
  </bookViews>
  <sheets>
    <sheet name="Fig 9a, Fig S10" sheetId="1" r:id="rId1"/>
    <sheet name="conc factors" sheetId="2" r:id="rId2"/>
    <sheet name="Fig 9b, Fig S11" sheetId="3" r:id="rId3"/>
    <sheet name="Fig 9c" sheetId="4" r:id="rId4"/>
    <sheet name="Fig 9d" sheetId="5" r:id="rId5"/>
    <sheet name="Fig 9e" sheetId="6" r:id="rId6"/>
    <sheet name="Fig 9f" sheetId="7" r:id="rId7"/>
  </sheets>
  <externalReferences>
    <externalReference r:id="rId8"/>
  </externalReferences>
  <definedNames>
    <definedName name="__xlchart.v1.0" hidden="1">'Fig 9e'!$A$4:$A$402</definedName>
    <definedName name="__xlchart.v1.1" hidden="1">'Fig 9e'!$C$4:$C$402</definedName>
    <definedName name="__xlchart.v1.10" hidden="1">'Fig 9e'!$M$2</definedName>
    <definedName name="__xlchart.v1.11" hidden="1">'Fig 9e'!$M$4:$M$402</definedName>
    <definedName name="__xlchart.v1.12" hidden="1">'Fig 9e'!$N$2</definedName>
    <definedName name="__xlchart.v1.13" hidden="1">'Fig 9e'!$N$4:$N$402</definedName>
    <definedName name="__xlchart.v1.14" hidden="1">'Fig 9e'!$A$4:$A$402</definedName>
    <definedName name="__xlchart.v1.15" hidden="1">'Fig 9e'!$E$4:$E$402</definedName>
    <definedName name="__xlchart.v1.16" hidden="1">'Fig 9e'!$A$4:$A$402</definedName>
    <definedName name="__xlchart.v1.17" hidden="1">'Fig 9e'!$E$4:$E$402</definedName>
    <definedName name="__xlchart.v1.18" hidden="1">'Fig 9e'!$A$4:$A$402</definedName>
    <definedName name="__xlchart.v1.19" hidden="1">'Fig 9e'!$E$4:$E$402</definedName>
    <definedName name="__xlchart.v1.2" hidden="1">'Fig 9e'!$H$2</definedName>
    <definedName name="__xlchart.v1.20" hidden="1">'Fig 9e'!$A$4:$A$402</definedName>
    <definedName name="__xlchart.v1.21" hidden="1">'Fig 9e'!$E$4:$E$402</definedName>
    <definedName name="__xlchart.v1.22" hidden="1">'Fig 9e'!$A$4:$A$402</definedName>
    <definedName name="__xlchart.v1.23" hidden="1">'Fig 9e'!$E$2</definedName>
    <definedName name="__xlchart.v1.24" hidden="1">'Fig 9e'!$E$4:$E$402</definedName>
    <definedName name="__xlchart.v1.25" hidden="1">'Fig 9e'!$F$2</definedName>
    <definedName name="__xlchart.v1.26" hidden="1">'Fig 9e'!$F$4:$F$402</definedName>
    <definedName name="__xlchart.v1.27" hidden="1">'Fig 9e'!$G$2</definedName>
    <definedName name="__xlchart.v1.28" hidden="1">'Fig 9e'!$G$4:$G$402</definedName>
    <definedName name="__xlchart.v1.29" hidden="1">'Fig 9e'!$H$2</definedName>
    <definedName name="__xlchart.v1.3" hidden="1">'Fig 9e'!$H$4:$H$402</definedName>
    <definedName name="__xlchart.v1.30" hidden="1">'Fig 9e'!$H$4:$H$402</definedName>
    <definedName name="__xlchart.v1.31" hidden="1">'Fig 9e'!$I$4:$I$402</definedName>
    <definedName name="__xlchart.v1.4" hidden="1">'Fig 9e'!$I$2</definedName>
    <definedName name="__xlchart.v1.5" hidden="1">'Fig 9e'!$I$4:$I$402</definedName>
    <definedName name="__xlchart.v1.6" hidden="1">'Fig 9e'!$K$2</definedName>
    <definedName name="__xlchart.v1.7" hidden="1">'Fig 9e'!$K$4:$K$402</definedName>
    <definedName name="__xlchart.v1.8" hidden="1">'Fig 9e'!$L$2</definedName>
    <definedName name="__xlchart.v1.9" hidden="1">'Fig 9e'!$L$4:$L$402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" i="1" l="1"/>
  <c r="Y32" i="1"/>
  <c r="S25" i="1"/>
  <c r="S26" i="1"/>
  <c r="S27" i="1"/>
  <c r="T27" i="1"/>
  <c r="I45" i="3"/>
  <c r="AF32" i="1"/>
  <c r="AF11" i="1"/>
  <c r="AF15" i="1"/>
  <c r="AF14" i="1"/>
  <c r="AF18" i="1"/>
  <c r="AF20" i="1"/>
  <c r="AG32" i="1" s="1"/>
  <c r="AF24" i="1"/>
  <c r="AF23" i="1"/>
  <c r="AF26" i="1"/>
  <c r="AF46" i="1" s="1"/>
  <c r="AF17" i="1"/>
  <c r="X24" i="1"/>
  <c r="AF27" i="1"/>
  <c r="AG26" i="1"/>
  <c r="AJ26" i="1"/>
  <c r="AF36" i="1" s="1"/>
  <c r="AF5" i="1"/>
  <c r="X4" i="1"/>
  <c r="M4" i="1"/>
  <c r="G3" i="2"/>
  <c r="S29" i="1"/>
  <c r="I14" i="3" l="1"/>
  <c r="I15" i="3"/>
  <c r="I16" i="3"/>
  <c r="I17" i="3"/>
  <c r="X27" i="1"/>
  <c r="I73" i="3"/>
  <c r="I72" i="3"/>
  <c r="I71" i="3"/>
  <c r="I70" i="3"/>
  <c r="I69" i="3"/>
  <c r="I68" i="3"/>
  <c r="I67" i="3"/>
  <c r="I66" i="3"/>
  <c r="I62" i="3"/>
  <c r="I61" i="3"/>
  <c r="I60" i="3"/>
  <c r="I59" i="3"/>
  <c r="I58" i="3"/>
  <c r="I57" i="3"/>
  <c r="I56" i="3"/>
  <c r="I55" i="3"/>
  <c r="I52" i="3"/>
  <c r="I51" i="3"/>
  <c r="I50" i="3"/>
  <c r="I49" i="3"/>
  <c r="I48" i="3"/>
  <c r="I47" i="3"/>
  <c r="I46" i="3"/>
  <c r="I42" i="3"/>
  <c r="I41" i="3"/>
  <c r="I40" i="3"/>
  <c r="I39" i="3"/>
  <c r="I38" i="3"/>
  <c r="I37" i="3"/>
  <c r="I36" i="3"/>
  <c r="I35" i="3"/>
  <c r="I32" i="3"/>
  <c r="I31" i="3"/>
  <c r="I30" i="3"/>
  <c r="I29" i="3"/>
  <c r="I28" i="3"/>
  <c r="I27" i="3"/>
  <c r="I26" i="3"/>
  <c r="I25" i="3"/>
  <c r="I21" i="3"/>
  <c r="I20" i="3"/>
  <c r="I19" i="3"/>
  <c r="I18" i="3"/>
  <c r="I7" i="3"/>
  <c r="I8" i="3"/>
  <c r="I9" i="3"/>
  <c r="I10" i="3"/>
  <c r="I4" i="3"/>
  <c r="I5" i="3"/>
  <c r="I6" i="3"/>
  <c r="I3" i="3"/>
  <c r="E3" i="3"/>
  <c r="E7" i="3" l="1"/>
  <c r="N6" i="1"/>
  <c r="E73" i="3"/>
  <c r="E72" i="3"/>
  <c r="E71" i="3"/>
  <c r="E70" i="3"/>
  <c r="E69" i="3"/>
  <c r="E68" i="3"/>
  <c r="E67" i="3"/>
  <c r="E66" i="3"/>
  <c r="E62" i="3"/>
  <c r="E61" i="3"/>
  <c r="E60" i="3"/>
  <c r="E59" i="3"/>
  <c r="E58" i="3"/>
  <c r="E57" i="3"/>
  <c r="E56" i="3"/>
  <c r="E55" i="3"/>
  <c r="E52" i="3"/>
  <c r="E51" i="3"/>
  <c r="E50" i="3"/>
  <c r="E49" i="3"/>
  <c r="E48" i="3"/>
  <c r="E47" i="3"/>
  <c r="E46" i="3"/>
  <c r="E45" i="3"/>
  <c r="E42" i="3"/>
  <c r="E41" i="3"/>
  <c r="E40" i="3"/>
  <c r="E39" i="3"/>
  <c r="E38" i="3"/>
  <c r="E37" i="3"/>
  <c r="E36" i="3"/>
  <c r="E35" i="3"/>
  <c r="E32" i="3"/>
  <c r="E31" i="3"/>
  <c r="E30" i="3"/>
  <c r="E29" i="3"/>
  <c r="E28" i="3"/>
  <c r="E27" i="3"/>
  <c r="E26" i="3"/>
  <c r="E25" i="3"/>
  <c r="E21" i="3"/>
  <c r="E20" i="3"/>
  <c r="E19" i="3"/>
  <c r="E18" i="3"/>
  <c r="E17" i="3"/>
  <c r="E16" i="3"/>
  <c r="E15" i="3"/>
  <c r="E14" i="3"/>
  <c r="E4" i="3"/>
  <c r="E5" i="3"/>
  <c r="E6" i="3"/>
  <c r="E8" i="3"/>
  <c r="E9" i="3"/>
  <c r="E10" i="3"/>
  <c r="N5" i="1" l="1"/>
  <c r="Y5" i="1" s="1"/>
  <c r="M5" i="1"/>
  <c r="X5" i="1" s="1"/>
  <c r="M25" i="1"/>
  <c r="O23" i="1"/>
  <c r="Z23" i="1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O5" i="1"/>
  <c r="Z5" i="1" s="1"/>
  <c r="P5" i="1"/>
  <c r="AA5" i="1" s="1"/>
  <c r="Q5" i="1"/>
  <c r="AB5" i="1" s="1"/>
  <c r="R5" i="1"/>
  <c r="AC5" i="1" s="1"/>
  <c r="M6" i="1"/>
  <c r="X6" i="1" s="1"/>
  <c r="Y6" i="1"/>
  <c r="O6" i="1"/>
  <c r="Z6" i="1" s="1"/>
  <c r="P6" i="1"/>
  <c r="AA6" i="1" s="1"/>
  <c r="Q6" i="1"/>
  <c r="AB6" i="1" s="1"/>
  <c r="R6" i="1"/>
  <c r="AC6" i="1" s="1"/>
  <c r="M7" i="1"/>
  <c r="X7" i="1" s="1"/>
  <c r="N7" i="1"/>
  <c r="Y7" i="1" s="1"/>
  <c r="O7" i="1"/>
  <c r="Z7" i="1" s="1"/>
  <c r="P7" i="1"/>
  <c r="AA7" i="1" s="1"/>
  <c r="Q7" i="1"/>
  <c r="AB7" i="1" s="1"/>
  <c r="R7" i="1"/>
  <c r="AC7" i="1" s="1"/>
  <c r="M8" i="1"/>
  <c r="X8" i="1" s="1"/>
  <c r="N8" i="1"/>
  <c r="Y8" i="1" s="1"/>
  <c r="O8" i="1"/>
  <c r="Z8" i="1" s="1"/>
  <c r="P8" i="1"/>
  <c r="AA8" i="1" s="1"/>
  <c r="Q8" i="1"/>
  <c r="AB8" i="1" s="1"/>
  <c r="R8" i="1"/>
  <c r="AC8" i="1" s="1"/>
  <c r="M9" i="1"/>
  <c r="X9" i="1" s="1"/>
  <c r="N9" i="1"/>
  <c r="Y9" i="1" s="1"/>
  <c r="O9" i="1"/>
  <c r="Z9" i="1" s="1"/>
  <c r="P9" i="1"/>
  <c r="AA9" i="1" s="1"/>
  <c r="Q9" i="1"/>
  <c r="AB9" i="1" s="1"/>
  <c r="R9" i="1"/>
  <c r="AC9" i="1" s="1"/>
  <c r="M10" i="1"/>
  <c r="X10" i="1" s="1"/>
  <c r="N10" i="1"/>
  <c r="Y10" i="1" s="1"/>
  <c r="O10" i="1"/>
  <c r="Z10" i="1" s="1"/>
  <c r="P10" i="1"/>
  <c r="AA10" i="1" s="1"/>
  <c r="Q10" i="1"/>
  <c r="AB10" i="1" s="1"/>
  <c r="R10" i="1"/>
  <c r="AC10" i="1" s="1"/>
  <c r="M11" i="1"/>
  <c r="X11" i="1" s="1"/>
  <c r="N11" i="1"/>
  <c r="Y11" i="1" s="1"/>
  <c r="O11" i="1"/>
  <c r="Z11" i="1" s="1"/>
  <c r="P11" i="1"/>
  <c r="AA11" i="1" s="1"/>
  <c r="Q11" i="1"/>
  <c r="AB11" i="1" s="1"/>
  <c r="R11" i="1"/>
  <c r="AC11" i="1" s="1"/>
  <c r="M12" i="1"/>
  <c r="X12" i="1" s="1"/>
  <c r="N12" i="1"/>
  <c r="Y12" i="1" s="1"/>
  <c r="O12" i="1"/>
  <c r="Z12" i="1" s="1"/>
  <c r="P12" i="1"/>
  <c r="AA12" i="1" s="1"/>
  <c r="Q12" i="1"/>
  <c r="AB12" i="1" s="1"/>
  <c r="R12" i="1"/>
  <c r="AC12" i="1" s="1"/>
  <c r="M13" i="1"/>
  <c r="X13" i="1" s="1"/>
  <c r="N13" i="1"/>
  <c r="Y13" i="1" s="1"/>
  <c r="O13" i="1"/>
  <c r="Z13" i="1" s="1"/>
  <c r="P13" i="1"/>
  <c r="AA13" i="1" s="1"/>
  <c r="Q13" i="1"/>
  <c r="AB13" i="1" s="1"/>
  <c r="R13" i="1"/>
  <c r="AC13" i="1" s="1"/>
  <c r="M14" i="1"/>
  <c r="X14" i="1" s="1"/>
  <c r="N14" i="1"/>
  <c r="Y14" i="1" s="1"/>
  <c r="O14" i="1"/>
  <c r="Z14" i="1" s="1"/>
  <c r="P14" i="1"/>
  <c r="AA14" i="1" s="1"/>
  <c r="Q14" i="1"/>
  <c r="AB14" i="1" s="1"/>
  <c r="R14" i="1"/>
  <c r="AC14" i="1" s="1"/>
  <c r="M15" i="1"/>
  <c r="X15" i="1" s="1"/>
  <c r="N15" i="1"/>
  <c r="Y15" i="1" s="1"/>
  <c r="O15" i="1"/>
  <c r="Z15" i="1" s="1"/>
  <c r="P15" i="1"/>
  <c r="AA15" i="1" s="1"/>
  <c r="Q15" i="1"/>
  <c r="AB15" i="1" s="1"/>
  <c r="R15" i="1"/>
  <c r="AC15" i="1" s="1"/>
  <c r="M16" i="1"/>
  <c r="X16" i="1" s="1"/>
  <c r="N16" i="1"/>
  <c r="Y16" i="1" s="1"/>
  <c r="O16" i="1"/>
  <c r="Z16" i="1" s="1"/>
  <c r="P16" i="1"/>
  <c r="AA16" i="1" s="1"/>
  <c r="Q16" i="1"/>
  <c r="AB16" i="1" s="1"/>
  <c r="R16" i="1"/>
  <c r="AC16" i="1" s="1"/>
  <c r="M17" i="1"/>
  <c r="X17" i="1" s="1"/>
  <c r="N17" i="1"/>
  <c r="Y17" i="1" s="1"/>
  <c r="O17" i="1"/>
  <c r="Z17" i="1" s="1"/>
  <c r="P17" i="1"/>
  <c r="AA17" i="1" s="1"/>
  <c r="Q17" i="1"/>
  <c r="AB17" i="1" s="1"/>
  <c r="R17" i="1"/>
  <c r="AC17" i="1" s="1"/>
  <c r="M18" i="1"/>
  <c r="X18" i="1" s="1"/>
  <c r="N18" i="1"/>
  <c r="Y18" i="1" s="1"/>
  <c r="O18" i="1"/>
  <c r="Z18" i="1" s="1"/>
  <c r="P18" i="1"/>
  <c r="AA18" i="1" s="1"/>
  <c r="Q18" i="1"/>
  <c r="AB18" i="1" s="1"/>
  <c r="R18" i="1"/>
  <c r="AC18" i="1" s="1"/>
  <c r="M19" i="1"/>
  <c r="X19" i="1" s="1"/>
  <c r="N19" i="1"/>
  <c r="Y19" i="1" s="1"/>
  <c r="O19" i="1"/>
  <c r="Z19" i="1" s="1"/>
  <c r="P19" i="1"/>
  <c r="AA19" i="1" s="1"/>
  <c r="Q19" i="1"/>
  <c r="AB19" i="1" s="1"/>
  <c r="R19" i="1"/>
  <c r="AC19" i="1" s="1"/>
  <c r="M20" i="1"/>
  <c r="X20" i="1" s="1"/>
  <c r="N20" i="1"/>
  <c r="Y20" i="1" s="1"/>
  <c r="O20" i="1"/>
  <c r="Z20" i="1" s="1"/>
  <c r="P20" i="1"/>
  <c r="AA20" i="1" s="1"/>
  <c r="Q20" i="1"/>
  <c r="AB20" i="1" s="1"/>
  <c r="R20" i="1"/>
  <c r="AC20" i="1" s="1"/>
  <c r="M21" i="1"/>
  <c r="X21" i="1" s="1"/>
  <c r="N21" i="1"/>
  <c r="Y21" i="1" s="1"/>
  <c r="O21" i="1"/>
  <c r="Z21" i="1" s="1"/>
  <c r="P21" i="1"/>
  <c r="AA21" i="1" s="1"/>
  <c r="Q21" i="1"/>
  <c r="AB21" i="1" s="1"/>
  <c r="R21" i="1"/>
  <c r="AC21" i="1" s="1"/>
  <c r="M22" i="1"/>
  <c r="X22" i="1" s="1"/>
  <c r="N22" i="1"/>
  <c r="Y22" i="1" s="1"/>
  <c r="O22" i="1"/>
  <c r="Z22" i="1" s="1"/>
  <c r="P22" i="1"/>
  <c r="AA22" i="1" s="1"/>
  <c r="Q22" i="1"/>
  <c r="AB22" i="1" s="1"/>
  <c r="R22" i="1"/>
  <c r="AC22" i="1" s="1"/>
  <c r="M23" i="1"/>
  <c r="X23" i="1" s="1"/>
  <c r="N23" i="1"/>
  <c r="Y23" i="1" s="1"/>
  <c r="M24" i="1"/>
  <c r="N24" i="1"/>
  <c r="Y24" i="1" s="1"/>
  <c r="O24" i="1"/>
  <c r="Z24" i="1" s="1"/>
  <c r="P24" i="1"/>
  <c r="AA24" i="1" s="1"/>
  <c r="Q24" i="1"/>
  <c r="AB24" i="1" s="1"/>
  <c r="R24" i="1"/>
  <c r="AC24" i="1" s="1"/>
  <c r="N25" i="1"/>
  <c r="Y25" i="1" s="1"/>
  <c r="O25" i="1"/>
  <c r="Z25" i="1" s="1"/>
  <c r="P25" i="1"/>
  <c r="AA25" i="1" s="1"/>
  <c r="Q25" i="1"/>
  <c r="AB25" i="1" s="1"/>
  <c r="R25" i="1"/>
  <c r="AC25" i="1" s="1"/>
  <c r="M26" i="1"/>
  <c r="X26" i="1" s="1"/>
  <c r="N26" i="1"/>
  <c r="Y26" i="1" s="1"/>
  <c r="O26" i="1"/>
  <c r="Z26" i="1" s="1"/>
  <c r="P26" i="1"/>
  <c r="AA26" i="1" s="1"/>
  <c r="Q26" i="1"/>
  <c r="AB26" i="1" s="1"/>
  <c r="R26" i="1"/>
  <c r="AC26" i="1" s="1"/>
  <c r="M27" i="1"/>
  <c r="N27" i="1"/>
  <c r="Y27" i="1" s="1"/>
  <c r="O27" i="1"/>
  <c r="Z27" i="1" s="1"/>
  <c r="P27" i="1"/>
  <c r="AA27" i="1" s="1"/>
  <c r="Q27" i="1"/>
  <c r="AB27" i="1" s="1"/>
  <c r="R27" i="1"/>
  <c r="AC27" i="1" s="1"/>
  <c r="R4" i="1"/>
  <c r="AC4" i="1" s="1"/>
  <c r="N4" i="1"/>
  <c r="Y4" i="1" s="1"/>
  <c r="O4" i="1"/>
  <c r="Z4" i="1" s="1"/>
  <c r="P4" i="1"/>
  <c r="AA4" i="1" s="1"/>
  <c r="Q4" i="1"/>
  <c r="AB4" i="1" s="1"/>
  <c r="AG5" i="1" l="1"/>
  <c r="AP33" i="1" s="1"/>
  <c r="AJ15" i="1"/>
  <c r="AH43" i="1" s="1"/>
  <c r="AH57" i="1" s="1"/>
  <c r="AJ14" i="1"/>
  <c r="S24" i="1"/>
  <c r="AG6" i="1"/>
  <c r="AP40" i="1" s="1"/>
  <c r="AP54" i="1" s="1"/>
  <c r="AP47" i="1"/>
  <c r="X25" i="1"/>
  <c r="T25" i="1"/>
  <c r="AH5" i="1"/>
  <c r="AP34" i="1" s="1"/>
  <c r="AP48" i="1" s="1"/>
  <c r="AH6" i="1"/>
  <c r="AP41" i="1" s="1"/>
  <c r="AP55" i="1" s="1"/>
  <c r="AH24" i="1"/>
  <c r="AM41" i="1" s="1"/>
  <c r="AM55" i="1" s="1"/>
  <c r="AH23" i="1"/>
  <c r="AM34" i="1" s="1"/>
  <c r="AM48" i="1" s="1"/>
  <c r="AH26" i="1"/>
  <c r="AP32" i="1"/>
  <c r="AP46" i="1" s="1"/>
  <c r="AI26" i="1"/>
  <c r="AK8" i="1"/>
  <c r="S10" i="1"/>
  <c r="T10" i="1" s="1"/>
  <c r="S19" i="1"/>
  <c r="T19" i="1" s="1"/>
  <c r="S9" i="1"/>
  <c r="T9" i="1" s="1"/>
  <c r="T26" i="1"/>
  <c r="S16" i="1"/>
  <c r="T16" i="1" s="1"/>
  <c r="S8" i="1"/>
  <c r="T8" i="1" s="1"/>
  <c r="S11" i="1"/>
  <c r="T11" i="1" s="1"/>
  <c r="S15" i="1"/>
  <c r="T15" i="1" s="1"/>
  <c r="S7" i="1"/>
  <c r="T7" i="1" s="1"/>
  <c r="AG21" i="1"/>
  <c r="AG40" i="1" s="1"/>
  <c r="AG54" i="1" s="1"/>
  <c r="T24" i="1"/>
  <c r="S22" i="1"/>
  <c r="T22" i="1" s="1"/>
  <c r="S14" i="1"/>
  <c r="T14" i="1" s="1"/>
  <c r="S6" i="1"/>
  <c r="T6" i="1" s="1"/>
  <c r="S21" i="1"/>
  <c r="T21" i="1" s="1"/>
  <c r="S13" i="1"/>
  <c r="T13" i="1" s="1"/>
  <c r="S5" i="1"/>
  <c r="T5" i="1" s="1"/>
  <c r="S18" i="1"/>
  <c r="T18" i="1" s="1"/>
  <c r="S17" i="1"/>
  <c r="T17" i="1" s="1"/>
  <c r="S4" i="1"/>
  <c r="T4" i="1" s="1"/>
  <c r="S20" i="1"/>
  <c r="T20" i="1" s="1"/>
  <c r="S12" i="1"/>
  <c r="T12" i="1" s="1"/>
  <c r="AH20" i="1"/>
  <c r="AK26" i="1"/>
  <c r="AJ17" i="1"/>
  <c r="AN36" i="1" s="1"/>
  <c r="AN50" i="1" s="1"/>
  <c r="AF39" i="1"/>
  <c r="AF53" i="1" s="1"/>
  <c r="AK20" i="1"/>
  <c r="AH17" i="1"/>
  <c r="AN34" i="1" s="1"/>
  <c r="AN48" i="1" s="1"/>
  <c r="AJ20" i="1"/>
  <c r="AG18" i="1"/>
  <c r="AN40" i="1" s="1"/>
  <c r="AN54" i="1" s="1"/>
  <c r="AK27" i="1"/>
  <c r="AF44" i="1" s="1"/>
  <c r="AF58" i="1" s="1"/>
  <c r="AF8" i="1"/>
  <c r="AH11" i="1"/>
  <c r="AO34" i="1" s="1"/>
  <c r="AO48" i="1" s="1"/>
  <c r="AG20" i="1"/>
  <c r="AH14" i="1"/>
  <c r="AM32" i="1"/>
  <c r="AM46" i="1" s="1"/>
  <c r="R23" i="1"/>
  <c r="AC23" i="1" s="1"/>
  <c r="AK23" i="1" s="1"/>
  <c r="AM37" i="1" s="1"/>
  <c r="AM51" i="1" s="1"/>
  <c r="Q23" i="1"/>
  <c r="AB23" i="1" s="1"/>
  <c r="AJ23" i="1" s="1"/>
  <c r="AM36" i="1" s="1"/>
  <c r="AM50" i="1" s="1"/>
  <c r="P23" i="1"/>
  <c r="AA23" i="1" s="1"/>
  <c r="AI23" i="1" s="1"/>
  <c r="AM35" i="1" s="1"/>
  <c r="AM49" i="1" s="1"/>
  <c r="AI20" i="1"/>
  <c r="AI21" i="1"/>
  <c r="AG42" i="1" s="1"/>
  <c r="AG56" i="1" s="1"/>
  <c r="AN39" i="1"/>
  <c r="AN53" i="1" s="1"/>
  <c r="AN32" i="1"/>
  <c r="AN46" i="1" s="1"/>
  <c r="AK17" i="1"/>
  <c r="AN37" i="1" s="1"/>
  <c r="AN51" i="1" s="1"/>
  <c r="AK18" i="1"/>
  <c r="AN44" i="1" s="1"/>
  <c r="AN58" i="1" s="1"/>
  <c r="AG23" i="1"/>
  <c r="AM33" i="1" s="1"/>
  <c r="AM47" i="1" s="1"/>
  <c r="AG24" i="1"/>
  <c r="AM40" i="1" s="1"/>
  <c r="AM54" i="1" s="1"/>
  <c r="AI17" i="1"/>
  <c r="AN35" i="1" s="1"/>
  <c r="AN49" i="1" s="1"/>
  <c r="AI18" i="1"/>
  <c r="AN42" i="1" s="1"/>
  <c r="AN56" i="1" s="1"/>
  <c r="AG11" i="1"/>
  <c r="AO33" i="1" s="1"/>
  <c r="AO47" i="1" s="1"/>
  <c r="AI14" i="1"/>
  <c r="AO32" i="1"/>
  <c r="AO46" i="1" s="1"/>
  <c r="AG17" i="1"/>
  <c r="AN33" i="1" s="1"/>
  <c r="AN47" i="1" s="1"/>
  <c r="AH18" i="1"/>
  <c r="AN41" i="1" s="1"/>
  <c r="AN55" i="1" s="1"/>
  <c r="AJ21" i="1"/>
  <c r="AG43" i="1" s="1"/>
  <c r="AG57" i="1" s="1"/>
  <c r="AK21" i="1"/>
  <c r="AG44" i="1" s="1"/>
  <c r="AG58" i="1" s="1"/>
  <c r="AM39" i="1"/>
  <c r="AM53" i="1" s="1"/>
  <c r="AG27" i="1"/>
  <c r="AF40" i="1" s="1"/>
  <c r="AF54" i="1" s="1"/>
  <c r="AK5" i="1"/>
  <c r="AP37" i="1" s="1"/>
  <c r="AP51" i="1" s="1"/>
  <c r="AJ18" i="1"/>
  <c r="AN43" i="1" s="1"/>
  <c r="AN57" i="1" s="1"/>
  <c r="AH27" i="1"/>
  <c r="AF41" i="1" s="1"/>
  <c r="AF55" i="1" s="1"/>
  <c r="AK14" i="1"/>
  <c r="AF21" i="1"/>
  <c r="AG39" i="1" s="1"/>
  <c r="AG53" i="1" s="1"/>
  <c r="AI27" i="1"/>
  <c r="AF42" i="1" s="1"/>
  <c r="AF56" i="1" s="1"/>
  <c r="AF12" i="1"/>
  <c r="AO39" i="1" s="1"/>
  <c r="AO53" i="1" s="1"/>
  <c r="AJ27" i="1"/>
  <c r="AF43" i="1" s="1"/>
  <c r="AF57" i="1" s="1"/>
  <c r="AH21" i="1"/>
  <c r="AG41" i="1" s="1"/>
  <c r="AG55" i="1" s="1"/>
  <c r="AH39" i="1"/>
  <c r="AH53" i="1" s="1"/>
  <c r="AJ12" i="1"/>
  <c r="AO43" i="1" s="1"/>
  <c r="AO57" i="1" s="1"/>
  <c r="AJ11" i="1"/>
  <c r="AO36" i="1" s="1"/>
  <c r="AO50" i="1" s="1"/>
  <c r="AH9" i="1"/>
  <c r="AI41" i="1" s="1"/>
  <c r="AI55" i="1" s="1"/>
  <c r="AH8" i="1"/>
  <c r="AI5" i="1"/>
  <c r="AP35" i="1" s="1"/>
  <c r="AP49" i="1" s="1"/>
  <c r="AI6" i="1"/>
  <c r="AP42" i="1" s="1"/>
  <c r="AP56" i="1" s="1"/>
  <c r="AK12" i="1"/>
  <c r="AO44" i="1" s="1"/>
  <c r="AO58" i="1" s="1"/>
  <c r="AK11" i="1"/>
  <c r="AO37" i="1" s="1"/>
  <c r="AO51" i="1" s="1"/>
  <c r="AG8" i="1"/>
  <c r="AG9" i="1"/>
  <c r="AI40" i="1" s="1"/>
  <c r="AI54" i="1" s="1"/>
  <c r="AF6" i="1"/>
  <c r="AP39" i="1" s="1"/>
  <c r="AP53" i="1" s="1"/>
  <c r="AI11" i="1"/>
  <c r="AO35" i="1" s="1"/>
  <c r="AO49" i="1" s="1"/>
  <c r="AI12" i="1"/>
  <c r="AO42" i="1" s="1"/>
  <c r="AO56" i="1" s="1"/>
  <c r="AJ5" i="1"/>
  <c r="AP36" i="1" s="1"/>
  <c r="AP50" i="1" s="1"/>
  <c r="AJ6" i="1"/>
  <c r="AP43" i="1" s="1"/>
  <c r="AP57" i="1" s="1"/>
  <c r="AG14" i="1"/>
  <c r="AG15" i="1"/>
  <c r="AH40" i="1" s="1"/>
  <c r="AH54" i="1" s="1"/>
  <c r="AJ8" i="1"/>
  <c r="AJ9" i="1"/>
  <c r="AI43" i="1" s="1"/>
  <c r="AI57" i="1" s="1"/>
  <c r="AI9" i="1"/>
  <c r="AI42" i="1" s="1"/>
  <c r="AI56" i="1" s="1"/>
  <c r="AI8" i="1"/>
  <c r="AK9" i="1"/>
  <c r="AI44" i="1" s="1"/>
  <c r="AI58" i="1" s="1"/>
  <c r="AH15" i="1"/>
  <c r="AH41" i="1" s="1"/>
  <c r="AH55" i="1" s="1"/>
  <c r="AK6" i="1"/>
  <c r="AP44" i="1" s="1"/>
  <c r="AP58" i="1" s="1"/>
  <c r="AF9" i="1"/>
  <c r="AI39" i="1" s="1"/>
  <c r="AI53" i="1" s="1"/>
  <c r="AG12" i="1"/>
  <c r="AO40" i="1" s="1"/>
  <c r="AO54" i="1" s="1"/>
  <c r="AI15" i="1"/>
  <c r="AH42" i="1" s="1"/>
  <c r="AH56" i="1" s="1"/>
  <c r="AH12" i="1"/>
  <c r="AO41" i="1" s="1"/>
  <c r="AO55" i="1" s="1"/>
  <c r="AK15" i="1"/>
  <c r="AH44" i="1" s="1"/>
  <c r="AH58" i="1" s="1"/>
  <c r="U27" i="1" l="1"/>
  <c r="V27" i="1"/>
  <c r="Y41" i="1" s="1"/>
  <c r="AF34" i="1"/>
  <c r="AF48" i="1" s="1"/>
  <c r="AG35" i="1"/>
  <c r="AG49" i="1" s="1"/>
  <c r="AH34" i="1"/>
  <c r="AH48" i="1" s="1"/>
  <c r="AG33" i="1"/>
  <c r="AG47" i="1" s="1"/>
  <c r="AI34" i="1"/>
  <c r="AI48" i="1" s="1"/>
  <c r="AF33" i="1"/>
  <c r="AF47" i="1" s="1"/>
  <c r="AI36" i="1"/>
  <c r="AI50" i="1" s="1"/>
  <c r="AI32" i="1"/>
  <c r="AI46" i="1" s="1"/>
  <c r="AI33" i="1"/>
  <c r="AI47" i="1" s="1"/>
  <c r="AH37" i="1"/>
  <c r="AH51" i="1" s="1"/>
  <c r="AG46" i="1"/>
  <c r="AH36" i="1"/>
  <c r="AH50" i="1" s="1"/>
  <c r="AH35" i="1"/>
  <c r="AH49" i="1" s="1"/>
  <c r="AI35" i="1"/>
  <c r="AI49" i="1" s="1"/>
  <c r="AG37" i="1"/>
  <c r="AG51" i="1" s="1"/>
  <c r="AF50" i="1"/>
  <c r="AH33" i="1"/>
  <c r="AH47" i="1" s="1"/>
  <c r="AF37" i="1"/>
  <c r="AF51" i="1" s="1"/>
  <c r="AI37" i="1"/>
  <c r="AI51" i="1" s="1"/>
  <c r="AH32" i="1"/>
  <c r="AH46" i="1" s="1"/>
  <c r="AG36" i="1"/>
  <c r="AG50" i="1" s="1"/>
  <c r="AG34" i="1"/>
  <c r="AG48" i="1" s="1"/>
  <c r="AF35" i="1"/>
  <c r="AF49" i="1" s="1"/>
  <c r="U6" i="1"/>
  <c r="AB33" i="1" s="1"/>
  <c r="AB39" i="1" s="1"/>
  <c r="U21" i="1"/>
  <c r="Z32" i="1" s="1"/>
  <c r="Z38" i="1" s="1"/>
  <c r="Y38" i="1"/>
  <c r="AJ24" i="1"/>
  <c r="AM43" i="1" s="1"/>
  <c r="AM57" i="1" s="1"/>
  <c r="V15" i="1"/>
  <c r="AA35" i="1" s="1"/>
  <c r="AA41" i="1" s="1"/>
  <c r="S23" i="1"/>
  <c r="T23" i="1" s="1"/>
  <c r="U24" i="1" s="1"/>
  <c r="V9" i="1"/>
  <c r="AB35" i="1" s="1"/>
  <c r="AB41" i="1" s="1"/>
  <c r="V21" i="1"/>
  <c r="Z35" i="1" s="1"/>
  <c r="Z41" i="1" s="1"/>
  <c r="V12" i="1"/>
  <c r="AA36" i="1" s="1"/>
  <c r="AA42" i="1" s="1"/>
  <c r="V18" i="1"/>
  <c r="Z36" i="1" s="1"/>
  <c r="Z42" i="1" s="1"/>
  <c r="V6" i="1"/>
  <c r="AB36" i="1" s="1"/>
  <c r="AB42" i="1" s="1"/>
  <c r="U18" i="1"/>
  <c r="Z33" i="1" s="1"/>
  <c r="Z39" i="1" s="1"/>
  <c r="U15" i="1"/>
  <c r="AA32" i="1" s="1"/>
  <c r="AA38" i="1" s="1"/>
  <c r="U9" i="1"/>
  <c r="AB32" i="1" s="1"/>
  <c r="AB38" i="1" s="1"/>
  <c r="U12" i="1"/>
  <c r="AA33" i="1" s="1"/>
  <c r="AA39" i="1" s="1"/>
  <c r="AK24" i="1"/>
  <c r="AM44" i="1" s="1"/>
  <c r="AM58" i="1" s="1"/>
  <c r="AI24" i="1"/>
  <c r="AM42" i="1" s="1"/>
  <c r="AM56" i="1" s="1"/>
  <c r="Y33" i="1" l="1"/>
  <c r="Y39" i="1" s="1"/>
  <c r="V24" i="1"/>
  <c r="Y36" i="1" s="1"/>
  <c r="Y42" i="1" s="1"/>
</calcChain>
</file>

<file path=xl/sharedStrings.xml><?xml version="1.0" encoding="utf-8"?>
<sst xmlns="http://schemas.openxmlformats.org/spreadsheetml/2006/main" count="512" uniqueCount="234">
  <si>
    <t>150 N 180s R1</t>
  </si>
  <si>
    <t>150 N 180s R2</t>
  </si>
  <si>
    <t>150 N 180s R3</t>
  </si>
  <si>
    <t>150 N 30s R1</t>
  </si>
  <si>
    <t>150 N 30s R2</t>
  </si>
  <si>
    <t>150 N 30s R3</t>
  </si>
  <si>
    <t>50 N 180s R1</t>
  </si>
  <si>
    <t>50 N 180s R2</t>
  </si>
  <si>
    <t>50 N 180s R3</t>
  </si>
  <si>
    <t>50 N 30s R1</t>
  </si>
  <si>
    <t>50 N 30s R2</t>
  </si>
  <si>
    <t>50 N 30s R3</t>
  </si>
  <si>
    <t>pristine 180s R1</t>
  </si>
  <si>
    <t>pristine 180s R2</t>
  </si>
  <si>
    <t>pristine 180s R3</t>
  </si>
  <si>
    <t>pristine 30s R1</t>
  </si>
  <si>
    <t>pristine 30s R2</t>
  </si>
  <si>
    <t>pristine 30s R3</t>
  </si>
  <si>
    <t>conv 180s R1</t>
  </si>
  <si>
    <t>conv 180s R2</t>
  </si>
  <si>
    <t>conv 180s R3</t>
  </si>
  <si>
    <t>conv 30s R1</t>
  </si>
  <si>
    <t>conv 30s R2</t>
  </si>
  <si>
    <t>conv 30s R3</t>
  </si>
  <si>
    <t xml:space="preserve"> .0050</t>
  </si>
  <si>
    <t xml:space="preserve"> .0043</t>
  </si>
  <si>
    <t xml:space="preserve"> .0051</t>
  </si>
  <si>
    <t xml:space="preserve"> .0102</t>
  </si>
  <si>
    <t xml:space="preserve"> .0078</t>
  </si>
  <si>
    <t xml:space="preserve"> .0085</t>
  </si>
  <si>
    <t xml:space="preserve"> .0069</t>
  </si>
  <si>
    <t xml:space="preserve"> .0062</t>
  </si>
  <si>
    <t xml:space="preserve"> .0118</t>
  </si>
  <si>
    <t xml:space="preserve"> .0163</t>
  </si>
  <si>
    <t xml:space="preserve"> .0123</t>
  </si>
  <si>
    <t xml:space="preserve"> .0149</t>
  </si>
  <si>
    <t xml:space="preserve"> .0103</t>
  </si>
  <si>
    <t xml:space="preserve"> .0138</t>
  </si>
  <si>
    <t xml:space="preserve"> .0161</t>
  </si>
  <si>
    <t xml:space="preserve"> .0136</t>
  </si>
  <si>
    <t xml:space="preserve"> .0107</t>
  </si>
  <si>
    <t xml:space="preserve"> .0188</t>
  </si>
  <si>
    <t xml:space="preserve"> .0174</t>
  </si>
  <si>
    <t xml:space="preserve"> .0312</t>
  </si>
  <si>
    <t xml:space="preserve"> .0309</t>
  </si>
  <si>
    <t xml:space="preserve"> .0332</t>
  </si>
  <si>
    <t xml:space="preserve"> .0447</t>
  </si>
  <si>
    <t xml:space="preserve"> .0658</t>
  </si>
  <si>
    <t xml:space="preserve"> .0490</t>
  </si>
  <si>
    <t xml:space="preserve"> .0793</t>
  </si>
  <si>
    <t xml:space="preserve"> .0709</t>
  </si>
  <si>
    <t xml:space="preserve"> .0641</t>
  </si>
  <si>
    <t xml:space="preserve"> .0562</t>
  </si>
  <si>
    <t xml:space="preserve"> .0644</t>
  </si>
  <si>
    <t xml:space="preserve"> .0918</t>
  </si>
  <si>
    <t xml:space="preserve"> .1209</t>
  </si>
  <si>
    <t xml:space="preserve"> .1283</t>
  </si>
  <si>
    <t xml:space="preserve"> .1214</t>
  </si>
  <si>
    <t xml:space="preserve"> .0952</t>
  </si>
  <si>
    <t xml:space="preserve"> .0896</t>
  </si>
  <si>
    <t xml:space="preserve"> .1508</t>
  </si>
  <si>
    <t xml:space="preserve"> .1140</t>
  </si>
  <si>
    <t xml:space="preserve"> .1084</t>
  </si>
  <si>
    <t xml:space="preserve"> .1752</t>
  </si>
  <si>
    <t xml:space="preserve"> .1727</t>
  </si>
  <si>
    <t xml:space="preserve"> .1735</t>
  </si>
  <si>
    <t xml:space="preserve"> .3064</t>
  </si>
  <si>
    <t xml:space="preserve"> .2952</t>
  </si>
  <si>
    <t xml:space="preserve"> .3422</t>
  </si>
  <si>
    <t xml:space="preserve"> .0316</t>
  </si>
  <si>
    <t xml:space="preserve"> .0339</t>
  </si>
  <si>
    <t xml:space="preserve"> .0388</t>
  </si>
  <si>
    <t xml:space="preserve"> .0304</t>
  </si>
  <si>
    <t xml:space="preserve"> .0354</t>
  </si>
  <si>
    <t xml:space="preserve"> .0303</t>
  </si>
  <si>
    <t xml:space="preserve"> .0330</t>
  </si>
  <si>
    <t xml:space="preserve"> .0313</t>
  </si>
  <si>
    <t xml:space="preserve"> .0321</t>
  </si>
  <si>
    <t xml:space="preserve"> .0325</t>
  </si>
  <si>
    <t xml:space="preserve"> .0331</t>
  </si>
  <si>
    <t xml:space="preserve"> .0319</t>
  </si>
  <si>
    <t xml:space="preserve"> .0338</t>
  </si>
  <si>
    <t xml:space="preserve"> .0329</t>
  </si>
  <si>
    <t xml:space="preserve"> .0323</t>
  </si>
  <si>
    <t xml:space="preserve"> .0393</t>
  </si>
  <si>
    <t xml:space="preserve"> .0333</t>
  </si>
  <si>
    <t xml:space="preserve"> .0324</t>
  </si>
  <si>
    <t xml:space="preserve"> .0552</t>
  </si>
  <si>
    <t xml:space="preserve"> .0379</t>
  </si>
  <si>
    <t xml:space="preserve"> .0343</t>
  </si>
  <si>
    <t xml:space="preserve"> .0346</t>
  </si>
  <si>
    <t xml:space="preserve"> .3450</t>
  </si>
  <si>
    <t xml:space="preserve"> .3409</t>
  </si>
  <si>
    <t xml:space="preserve"> .3412</t>
  </si>
  <si>
    <t xml:space="preserve"> .3382</t>
  </si>
  <si>
    <t xml:space="preserve"> .3436</t>
  </si>
  <si>
    <t xml:space="preserve"> .3698</t>
  </si>
  <si>
    <t xml:space="preserve"> .3566</t>
  </si>
  <si>
    <t xml:space="preserve"> .3604</t>
  </si>
  <si>
    <t xml:space="preserve"> .3599</t>
  </si>
  <si>
    <t xml:space="preserve"> .3628</t>
  </si>
  <si>
    <t xml:space="preserve"> .3614</t>
  </si>
  <si>
    <t xml:space="preserve"> .3585</t>
  </si>
  <si>
    <t xml:space="preserve"> .3557</t>
  </si>
  <si>
    <t xml:space="preserve"> .3508</t>
  </si>
  <si>
    <t xml:space="preserve"> .3542</t>
  </si>
  <si>
    <t xml:space="preserve"> .3564</t>
  </si>
  <si>
    <t xml:space="preserve"> .3664</t>
  </si>
  <si>
    <t xml:space="preserve"> .3561</t>
  </si>
  <si>
    <t xml:space="preserve"> .3545</t>
  </si>
  <si>
    <t xml:space="preserve"> .3629</t>
  </si>
  <si>
    <t xml:space="preserve"> .0036</t>
  </si>
  <si>
    <t xml:space="preserve"> .0054</t>
  </si>
  <si>
    <t xml:space="preserve"> .0034</t>
  </si>
  <si>
    <t xml:space="preserve"> .0042</t>
  </si>
  <si>
    <t xml:space="preserve"> .0072</t>
  </si>
  <si>
    <t xml:space="preserve"> .0065</t>
  </si>
  <si>
    <t xml:space="preserve"> .0077</t>
  </si>
  <si>
    <t xml:space="preserve"> .0058</t>
  </si>
  <si>
    <t xml:space="preserve"> .0141</t>
  </si>
  <si>
    <t xml:space="preserve"> .0111</t>
  </si>
  <si>
    <t xml:space="preserve"> .0311</t>
  </si>
  <si>
    <t xml:space="preserve"> .0117</t>
  </si>
  <si>
    <t xml:space="preserve"> .0073</t>
  </si>
  <si>
    <t xml:space="preserve"> .0144</t>
  </si>
  <si>
    <t xml:space="preserve"> .0098</t>
  </si>
  <si>
    <t xml:space="preserve"> .0097</t>
  </si>
  <si>
    <t xml:space="preserve"> .0145</t>
  </si>
  <si>
    <t xml:space="preserve"> .0153</t>
  </si>
  <si>
    <t xml:space="preserve"> .0160</t>
  </si>
  <si>
    <t xml:space="preserve"> .0286</t>
  </si>
  <si>
    <t xml:space="preserve"> .0277</t>
  </si>
  <si>
    <t xml:space="preserve"> .0307</t>
  </si>
  <si>
    <t xml:space="preserve"> .0713</t>
  </si>
  <si>
    <t xml:space="preserve"> .0691</t>
  </si>
  <si>
    <t xml:space="preserve"> .0692</t>
  </si>
  <si>
    <t xml:space="preserve"> .0751</t>
  </si>
  <si>
    <t xml:space="preserve"> .1034</t>
  </si>
  <si>
    <t xml:space="preserve"> .0935</t>
  </si>
  <si>
    <t xml:space="preserve"> .0886</t>
  </si>
  <si>
    <t xml:space="preserve"> .0897</t>
  </si>
  <si>
    <t xml:space="preserve"> .0904</t>
  </si>
  <si>
    <t xml:space="preserve"> .1134</t>
  </si>
  <si>
    <t xml:space="preserve"> .1435</t>
  </si>
  <si>
    <t xml:space="preserve"> .1420</t>
  </si>
  <si>
    <t xml:space="preserve"> .1412</t>
  </si>
  <si>
    <t xml:space="preserve"> .1155</t>
  </si>
  <si>
    <t xml:space="preserve"> .1067</t>
  </si>
  <si>
    <t xml:space="preserve"> .1668</t>
  </si>
  <si>
    <t xml:space="preserve"> .1271</t>
  </si>
  <si>
    <t xml:space="preserve"> .1273</t>
  </si>
  <si>
    <t xml:space="preserve"> .1743</t>
  </si>
  <si>
    <t xml:space="preserve"> .1772</t>
  </si>
  <si>
    <t xml:space="preserve"> .1865</t>
  </si>
  <si>
    <t xml:space="preserve"> .3031</t>
  </si>
  <si>
    <t xml:space="preserve"> .2939</t>
  </si>
  <si>
    <t xml:space="preserve"> .3205</t>
  </si>
  <si>
    <t>conc factor</t>
  </si>
  <si>
    <t>initial conc</t>
  </si>
  <si>
    <t>from ICP-OES (mg/L)</t>
  </si>
  <si>
    <t>jar concentration (mg/)</t>
  </si>
  <si>
    <t>removal %</t>
  </si>
  <si>
    <t>av</t>
  </si>
  <si>
    <t>stdev</t>
  </si>
  <si>
    <t>pristine 180s</t>
  </si>
  <si>
    <t>pristine 30s</t>
  </si>
  <si>
    <t>conv 180s</t>
  </si>
  <si>
    <t>conv 30s</t>
  </si>
  <si>
    <t>conc</t>
  </si>
  <si>
    <t>conventional</t>
  </si>
  <si>
    <t>pristine (150 mg/L)</t>
  </si>
  <si>
    <t>30 s settling</t>
  </si>
  <si>
    <t>180 s settling</t>
  </si>
  <si>
    <t>w 10ml sample</t>
  </si>
  <si>
    <t>Cr</t>
  </si>
  <si>
    <t>Fe</t>
  </si>
  <si>
    <t>Mn</t>
  </si>
  <si>
    <t>Ni</t>
  </si>
  <si>
    <t>Pb</t>
  </si>
  <si>
    <t>Zn</t>
  </si>
  <si>
    <t>total (mg/L)</t>
  </si>
  <si>
    <t>total removal %</t>
  </si>
  <si>
    <t>avg</t>
  </si>
  <si>
    <t>30s stdev</t>
  </si>
  <si>
    <t>180s stdev</t>
  </si>
  <si>
    <t>total</t>
  </si>
  <si>
    <t>Initial NTU</t>
  </si>
  <si>
    <t>30s</t>
  </si>
  <si>
    <t>conv</t>
  </si>
  <si>
    <t>pristine</t>
  </si>
  <si>
    <t>50 N+</t>
  </si>
  <si>
    <t>150 N+</t>
  </si>
  <si>
    <t>180s</t>
  </si>
  <si>
    <t>settled NTU</t>
  </si>
  <si>
    <t>NTU removal %</t>
  </si>
  <si>
    <t>metal removal %</t>
  </si>
  <si>
    <t>150 mg/L pristine</t>
  </si>
  <si>
    <t>50 mg/L cationic</t>
  </si>
  <si>
    <t>150 mg/L cationic</t>
  </si>
  <si>
    <t>modified (50 mg/L)</t>
  </si>
  <si>
    <t>modified (150 mg/L)</t>
  </si>
  <si>
    <t>metal stdev</t>
  </si>
  <si>
    <t>NTU stdev</t>
  </si>
  <si>
    <t>NTU % STDEV</t>
  </si>
  <si>
    <t>removal</t>
  </si>
  <si>
    <t>replicate</t>
  </si>
  <si>
    <t>R1</t>
  </si>
  <si>
    <t>R2</t>
  </si>
  <si>
    <t>R3</t>
  </si>
  <si>
    <t>modified (50 mg/L) 30s</t>
  </si>
  <si>
    <t>modified (150 mg/L) 30s</t>
  </si>
  <si>
    <t>modified (150mg/L) 180s</t>
  </si>
  <si>
    <t>empty tube</t>
  </si>
  <si>
    <t>post digestion + acidification</t>
  </si>
  <si>
    <t>modified (50mg/L) 30s</t>
  </si>
  <si>
    <t>modified (50mg/L) 180s</t>
  </si>
  <si>
    <t>modified (150mg/L) 30s</t>
  </si>
  <si>
    <t>modified (150 mg/L) 180s</t>
  </si>
  <si>
    <t>mass (g)</t>
  </si>
  <si>
    <t>Binding Energy (E)</t>
  </si>
  <si>
    <t>Zn2p3/2</t>
  </si>
  <si>
    <t>Zn2p1/2</t>
  </si>
  <si>
    <t>Backgnd.</t>
  </si>
  <si>
    <t>Envelope</t>
  </si>
  <si>
    <t>eV</t>
  </si>
  <si>
    <t>Counts / s  (Residuals × 1)</t>
  </si>
  <si>
    <t>Cr2p 3/2</t>
  </si>
  <si>
    <t>Cr2p 1/2</t>
  </si>
  <si>
    <t>Counts / s  (Residuals × 0.5)</t>
  </si>
  <si>
    <t>Fe2p3/2</t>
  </si>
  <si>
    <t>Fe2p1/2</t>
  </si>
  <si>
    <t>Fe2p satellite</t>
  </si>
  <si>
    <t>P2p</t>
  </si>
  <si>
    <t>Pb4f7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</si>
</sst>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9" fontId="0" fillId="0" borderId="0" xfId="1" applyFont="1"/>
    <xf numFmtId="9" fontId="0" fillId="0" borderId="0" xfId="1" applyFont="1" applyBorder="1"/>
    <xf numFmtId="0" fontId="0" fillId="0" borderId="2" xfId="0" applyBorder="1"/>
    <xf numFmtId="9" fontId="0" fillId="0" borderId="2" xfId="1" applyFont="1" applyBorder="1"/>
    <xf numFmtId="0" fontId="0" fillId="0" borderId="1" xfId="0" applyBorder="1"/>
    <xf numFmtId="2" fontId="0" fillId="0" borderId="0" xfId="1" applyNumberFormat="1" applyFont="1"/>
    <xf numFmtId="0" fontId="3" fillId="0" borderId="0" xfId="0" applyFont="1"/>
    <xf numFmtId="9" fontId="0" fillId="0" borderId="0" xfId="1" applyFont="1" applyFill="1"/>
    <xf numFmtId="164" fontId="0" fillId="0" borderId="1" xfId="0" applyNumberFormat="1" applyBorder="1"/>
    <xf numFmtId="9" fontId="0" fillId="0" borderId="1" xfId="1" applyFont="1" applyBorder="1"/>
    <xf numFmtId="164" fontId="0" fillId="0" borderId="0" xfId="0" applyNumberFormat="1"/>
    <xf numFmtId="164" fontId="0" fillId="0" borderId="2" xfId="0" applyNumberFormat="1" applyBorder="1"/>
    <xf numFmtId="165" fontId="0" fillId="0" borderId="0" xfId="0" applyNumberFormat="1"/>
    <xf numFmtId="0" fontId="4" fillId="0" borderId="0" xfId="2"/>
    <xf numFmtId="0" fontId="2" fillId="0" borderId="1" xfId="0" applyFont="1" applyBorder="1" applyAlignment="1">
      <alignment horizontal="center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2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</cellXfs>
  <cellStyles count="3">
    <cellStyle name="Normal" xfId="0" builtinId="0"/>
    <cellStyle name="Normal 2" xfId="2" xr:uid="{2FBE007E-C5A9-174A-BF2E-A9461C68958E}"/>
    <cellStyle name="Percent" xfId="1" builtinId="5"/>
  </cellStyles>
  <dxfs count="0"/>
  <tableStyles count="0" defaultTableStyle="TableStyleMedium2" defaultPivotStyle="PivotStyleLight16"/>
  <colors>
    <mruColors>
      <color rgb="FFE77231"/>
      <color rgb="FFCC2830"/>
      <color rgb="FFDF9706"/>
      <color rgb="FF85C6D4"/>
      <color rgb="FF0C5A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61060606060605"/>
          <c:y val="6.0455235078185489E-2"/>
          <c:w val="0.88165126262626248"/>
          <c:h val="0.83168015070854717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'Fig 9a, Fig S10'!$AE$35</c:f>
              <c:strCache>
                <c:ptCount val="1"/>
                <c:pt idx="0">
                  <c:v>Ni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S10'!$AM$56:$AP$56</c:f>
                <c:numCache>
                  <c:formatCode>General</c:formatCode>
                  <c:ptCount val="4"/>
                  <c:pt idx="0">
                    <c:v>1.5435162489306635</c:v>
                  </c:pt>
                  <c:pt idx="1">
                    <c:v>0.24757012647940993</c:v>
                  </c:pt>
                  <c:pt idx="2">
                    <c:v>1.7830318693547933</c:v>
                  </c:pt>
                  <c:pt idx="3">
                    <c:v>0.7129768944337489</c:v>
                  </c:pt>
                </c:numCache>
              </c:numRef>
            </c:plus>
            <c:minus>
              <c:numRef>
                <c:f>'Fig 9a, Fig S10'!$AM$56:$AP$56</c:f>
                <c:numCache>
                  <c:formatCode>General</c:formatCode>
                  <c:ptCount val="4"/>
                  <c:pt idx="0">
                    <c:v>1.5435162489306635</c:v>
                  </c:pt>
                  <c:pt idx="1">
                    <c:v>0.24757012647940993</c:v>
                  </c:pt>
                  <c:pt idx="2">
                    <c:v>1.7830318693547933</c:v>
                  </c:pt>
                  <c:pt idx="3">
                    <c:v>0.7129768944337489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S10'!$AM$49:$AP$49</c:f>
              <c:numCache>
                <c:formatCode>0.0</c:formatCode>
                <c:ptCount val="4"/>
                <c:pt idx="0">
                  <c:v>8.719684922989634</c:v>
                </c:pt>
                <c:pt idx="1">
                  <c:v>11.106205970088896</c:v>
                </c:pt>
                <c:pt idx="2">
                  <c:v>9.9503308022783408</c:v>
                </c:pt>
                <c:pt idx="3">
                  <c:v>13.665308574191396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3-7D4E-B480-D58BD79E54B3}"/>
            </c:ext>
          </c:extLst>
        </c:ser>
        <c:ser>
          <c:idx val="3"/>
          <c:order val="1"/>
          <c:tx>
            <c:strRef>
              <c:f>'Fig 9a, Fig S10'!$AE$34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S10'!$AM$55:$AP$55</c:f>
                <c:numCache>
                  <c:formatCode>General</c:formatCode>
                  <c:ptCount val="4"/>
                  <c:pt idx="0">
                    <c:v>32.057501201067602</c:v>
                  </c:pt>
                  <c:pt idx="1">
                    <c:v>2.53733382822189</c:v>
                  </c:pt>
                  <c:pt idx="2">
                    <c:v>3.4479926309987716</c:v>
                  </c:pt>
                  <c:pt idx="3">
                    <c:v>8.990517449564587</c:v>
                  </c:pt>
                </c:numCache>
              </c:numRef>
            </c:plus>
            <c:minus>
              <c:numRef>
                <c:f>'Fig 9a, Fig S10'!$AM$55:$AP$55</c:f>
                <c:numCache>
                  <c:formatCode>General</c:formatCode>
                  <c:ptCount val="4"/>
                  <c:pt idx="0">
                    <c:v>32.057501201067602</c:v>
                  </c:pt>
                  <c:pt idx="1">
                    <c:v>2.53733382822189</c:v>
                  </c:pt>
                  <c:pt idx="2">
                    <c:v>3.4479926309987716</c:v>
                  </c:pt>
                  <c:pt idx="3">
                    <c:v>8.990517449564587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S10'!$AM$48:$AP$48</c:f>
              <c:numCache>
                <c:formatCode>0.0</c:formatCode>
                <c:ptCount val="4"/>
                <c:pt idx="0">
                  <c:v>-1.5791063831180934</c:v>
                </c:pt>
                <c:pt idx="1">
                  <c:v>18.128884550780722</c:v>
                </c:pt>
                <c:pt idx="2">
                  <c:v>21.622957822356391</c:v>
                </c:pt>
                <c:pt idx="3">
                  <c:v>12.355389107471392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3-7D4E-B480-D58BD79E54B3}"/>
            </c:ext>
          </c:extLst>
        </c:ser>
        <c:ser>
          <c:idx val="6"/>
          <c:order val="2"/>
          <c:tx>
            <c:strRef>
              <c:f>'Fig 9a, Fig S10'!$AE$37</c:f>
              <c:strCache>
                <c:ptCount val="1"/>
                <c:pt idx="0">
                  <c:v>Zn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S10'!$AM$58:$AP$58</c:f>
                <c:numCache>
                  <c:formatCode>General</c:formatCode>
                  <c:ptCount val="4"/>
                  <c:pt idx="0">
                    <c:v>1.3878925414671364</c:v>
                  </c:pt>
                  <c:pt idx="1">
                    <c:v>4.45264744119571</c:v>
                  </c:pt>
                  <c:pt idx="2">
                    <c:v>0.17616101032326015</c:v>
                  </c:pt>
                  <c:pt idx="3">
                    <c:v>0.33647741461689068</c:v>
                  </c:pt>
                </c:numCache>
              </c:numRef>
            </c:plus>
            <c:minus>
              <c:numRef>
                <c:f>'Fig 9a, Fig S10'!$AM$58:$AP$58</c:f>
                <c:numCache>
                  <c:formatCode>General</c:formatCode>
                  <c:ptCount val="4"/>
                  <c:pt idx="0">
                    <c:v>1.3878925414671364</c:v>
                  </c:pt>
                  <c:pt idx="1">
                    <c:v>4.45264744119571</c:v>
                  </c:pt>
                  <c:pt idx="2">
                    <c:v>0.17616101032326015</c:v>
                  </c:pt>
                  <c:pt idx="3">
                    <c:v>0.33647741461689068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S10'!$AM$51:$AP$51</c:f>
              <c:numCache>
                <c:formatCode>0.0</c:formatCode>
                <c:ptCount val="4"/>
                <c:pt idx="0">
                  <c:v>54.568365707138909</c:v>
                </c:pt>
                <c:pt idx="1">
                  <c:v>69.761222924198663</c:v>
                </c:pt>
                <c:pt idx="2">
                  <c:v>77.643328620229028</c:v>
                </c:pt>
                <c:pt idx="3">
                  <c:v>82.307649122970872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53-7D4E-B480-D58BD79E54B3}"/>
            </c:ext>
          </c:extLst>
        </c:ser>
        <c:ser>
          <c:idx val="0"/>
          <c:order val="3"/>
          <c:tx>
            <c:strRef>
              <c:f>'Fig 9a, Fig S10'!$AE$32</c:f>
              <c:strCache>
                <c:ptCount val="1"/>
                <c:pt idx="0">
                  <c:v>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S10'!$AM$53:$AP$53</c:f>
                <c:numCache>
                  <c:formatCode>General</c:formatCode>
                  <c:ptCount val="4"/>
                  <c:pt idx="0">
                    <c:v>2.4742858549279418</c:v>
                  </c:pt>
                  <c:pt idx="1">
                    <c:v>6.6237325253925379</c:v>
                  </c:pt>
                  <c:pt idx="2">
                    <c:v>3.2788974857809379</c:v>
                  </c:pt>
                  <c:pt idx="3">
                    <c:v>1.178952426823626</c:v>
                  </c:pt>
                </c:numCache>
              </c:numRef>
            </c:plus>
            <c:minus>
              <c:numRef>
                <c:f>'Fig 9a, Fig S10'!$AM$53:$AP$53</c:f>
                <c:numCache>
                  <c:formatCode>General</c:formatCode>
                  <c:ptCount val="4"/>
                  <c:pt idx="0">
                    <c:v>2.4742858549279418</c:v>
                  </c:pt>
                  <c:pt idx="1">
                    <c:v>6.6237325253925379</c:v>
                  </c:pt>
                  <c:pt idx="2">
                    <c:v>3.2788974857809379</c:v>
                  </c:pt>
                  <c:pt idx="3">
                    <c:v>1.178952426823626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'Fig 9a, Fig S10'!$AF$31:$AI$31</c:f>
              <c:strCache>
                <c:ptCount val="4"/>
                <c:pt idx="0">
                  <c:v>conventional</c:v>
                </c:pt>
                <c:pt idx="1">
                  <c:v>pristine (150 mg/L)</c:v>
                </c:pt>
                <c:pt idx="2">
                  <c:v>modified (50 mg/L)</c:v>
                </c:pt>
                <c:pt idx="3">
                  <c:v>modified (150 mg/L)</c:v>
                </c:pt>
              </c:strCache>
            </c:strRef>
          </c:cat>
          <c:val>
            <c:numRef>
              <c:f>'Fig 9a, Fig S10'!$AM$46:$AP$46</c:f>
              <c:numCache>
                <c:formatCode>0.0</c:formatCode>
                <c:ptCount val="4"/>
                <c:pt idx="0">
                  <c:v>48.946225261183166</c:v>
                </c:pt>
                <c:pt idx="1">
                  <c:v>65.46315990185434</c:v>
                </c:pt>
                <c:pt idx="2">
                  <c:v>80.244421794375867</c:v>
                </c:pt>
                <c:pt idx="3">
                  <c:v>86.644404607084709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53-7D4E-B480-D58BD79E54B3}"/>
            </c:ext>
          </c:extLst>
        </c:ser>
        <c:ser>
          <c:idx val="2"/>
          <c:order val="4"/>
          <c:tx>
            <c:strRef>
              <c:f>'Fig 9a, Fig S10'!$AE$33</c:f>
              <c:strCache>
                <c:ptCount val="1"/>
                <c:pt idx="0">
                  <c:v>Fe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S10'!$AM$54:$AP$54</c:f>
                <c:numCache>
                  <c:formatCode>General</c:formatCode>
                  <c:ptCount val="4"/>
                  <c:pt idx="0">
                    <c:v>0.54029376637394755</c:v>
                  </c:pt>
                  <c:pt idx="1">
                    <c:v>4.2714470303149064</c:v>
                  </c:pt>
                  <c:pt idx="2">
                    <c:v>1.1524139129315163</c:v>
                  </c:pt>
                  <c:pt idx="3">
                    <c:v>23.039925238992144</c:v>
                  </c:pt>
                </c:numCache>
              </c:numRef>
            </c:plus>
            <c:minus>
              <c:numRef>
                <c:f>'Fig 9a, Fig S10'!$AM$54:$AP$54</c:f>
                <c:numCache>
                  <c:formatCode>General</c:formatCode>
                  <c:ptCount val="4"/>
                  <c:pt idx="0">
                    <c:v>0.54029376637394755</c:v>
                  </c:pt>
                  <c:pt idx="1">
                    <c:v>4.2714470303149064</c:v>
                  </c:pt>
                  <c:pt idx="2">
                    <c:v>1.1524139129315163</c:v>
                  </c:pt>
                  <c:pt idx="3">
                    <c:v>23.039925238992144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'Fig 9a, Fig S10'!$AF$31:$AI$31</c:f>
              <c:strCache>
                <c:ptCount val="4"/>
                <c:pt idx="0">
                  <c:v>conventional</c:v>
                </c:pt>
                <c:pt idx="1">
                  <c:v>pristine (150 mg/L)</c:v>
                </c:pt>
                <c:pt idx="2">
                  <c:v>modified (50 mg/L)</c:v>
                </c:pt>
                <c:pt idx="3">
                  <c:v>modified (150 mg/L)</c:v>
                </c:pt>
              </c:strCache>
            </c:strRef>
          </c:cat>
          <c:val>
            <c:numRef>
              <c:f>'Fig 9a, Fig S10'!$AM$47:$AP$47</c:f>
              <c:numCache>
                <c:formatCode>0.0</c:formatCode>
                <c:ptCount val="4"/>
                <c:pt idx="0">
                  <c:v>55.447555312590232</c:v>
                </c:pt>
                <c:pt idx="1">
                  <c:v>74.221897350497784</c:v>
                </c:pt>
                <c:pt idx="2">
                  <c:v>84.453086998040433</c:v>
                </c:pt>
                <c:pt idx="3">
                  <c:v>99.084699625171083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53-7D4E-B480-D58BD79E54B3}"/>
            </c:ext>
          </c:extLst>
        </c:ser>
        <c:ser>
          <c:idx val="5"/>
          <c:order val="5"/>
          <c:tx>
            <c:strRef>
              <c:f>'Fig 9a, Fig S10'!$AE$36</c:f>
              <c:strCache>
                <c:ptCount val="1"/>
                <c:pt idx="0">
                  <c:v>Pb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S10'!$AM$57:$AP$57</c:f>
                <c:numCache>
                  <c:formatCode>General</c:formatCode>
                  <c:ptCount val="4"/>
                  <c:pt idx="0">
                    <c:v>1.7248450638949957</c:v>
                  </c:pt>
                  <c:pt idx="1">
                    <c:v>5.6681839460377406</c:v>
                  </c:pt>
                  <c:pt idx="2">
                    <c:v>3.153316070497624</c:v>
                  </c:pt>
                  <c:pt idx="3">
                    <c:v>2.877956487371335</c:v>
                  </c:pt>
                </c:numCache>
              </c:numRef>
            </c:plus>
            <c:minus>
              <c:numRef>
                <c:f>'Fig 9a, Fig S10'!$AM$57:$AP$57</c:f>
                <c:numCache>
                  <c:formatCode>General</c:formatCode>
                  <c:ptCount val="4"/>
                  <c:pt idx="0">
                    <c:v>1.7248450638949957</c:v>
                  </c:pt>
                  <c:pt idx="1">
                    <c:v>5.6681839460377406</c:v>
                  </c:pt>
                  <c:pt idx="2">
                    <c:v>3.153316070497624</c:v>
                  </c:pt>
                  <c:pt idx="3">
                    <c:v>2.877956487371335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S10'!$AM$50:$AP$50</c:f>
              <c:numCache>
                <c:formatCode>0.0</c:formatCode>
                <c:ptCount val="4"/>
                <c:pt idx="0">
                  <c:v>60.529646258529546</c:v>
                </c:pt>
                <c:pt idx="1">
                  <c:v>75.205610149199302</c:v>
                </c:pt>
                <c:pt idx="2">
                  <c:v>83.947999226690811</c:v>
                </c:pt>
                <c:pt idx="3">
                  <c:v>89.312664596621687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53-7D4E-B480-D58BD79E54B3}"/>
            </c:ext>
          </c:extLst>
        </c:ser>
        <c:ser>
          <c:idx val="7"/>
          <c:order val="6"/>
          <c:tx>
            <c:strRef>
              <c:f>'Fig 9a, Fig S10'!$Y$30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S10'!$Y$42:$AB$42</c:f>
                <c:numCache>
                  <c:formatCode>General</c:formatCode>
                  <c:ptCount val="4"/>
                  <c:pt idx="0">
                    <c:v>1.0443778362278242</c:v>
                  </c:pt>
                  <c:pt idx="1">
                    <c:v>2.9432520947712639</c:v>
                  </c:pt>
                  <c:pt idx="2">
                    <c:v>1.024508887907259</c:v>
                  </c:pt>
                  <c:pt idx="3">
                    <c:v>7.0050038465512872</c:v>
                  </c:pt>
                </c:numCache>
              </c:numRef>
            </c:plus>
            <c:minus>
              <c:numRef>
                <c:f>'Fig 9a, Fig S10'!$Y$42:$AB$42</c:f>
                <c:numCache>
                  <c:formatCode>General</c:formatCode>
                  <c:ptCount val="4"/>
                  <c:pt idx="0">
                    <c:v>1.0443778362278242</c:v>
                  </c:pt>
                  <c:pt idx="1">
                    <c:v>2.9432520947712639</c:v>
                  </c:pt>
                  <c:pt idx="2">
                    <c:v>1.024508887907259</c:v>
                  </c:pt>
                  <c:pt idx="3">
                    <c:v>7.0050038465512872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S10'!$Y$39:$AB$39</c:f>
              <c:numCache>
                <c:formatCode>0.0</c:formatCode>
                <c:ptCount val="4"/>
                <c:pt idx="0">
                  <c:v>39.108825415255325</c:v>
                </c:pt>
                <c:pt idx="1">
                  <c:v>51.589909859825156</c:v>
                </c:pt>
                <c:pt idx="2">
                  <c:v>57.528264435399656</c:v>
                </c:pt>
                <c:pt idx="3">
                  <c:v>64.546578710227152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5-A346-96EC-A54292073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282848"/>
        <c:axId val="1166665440"/>
      </c:barChart>
      <c:catAx>
        <c:axId val="11142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665440"/>
        <c:crosses val="autoZero"/>
        <c:auto val="1"/>
        <c:lblAlgn val="ctr"/>
        <c:lblOffset val="100"/>
        <c:noMultiLvlLbl val="0"/>
      </c:catAx>
      <c:valAx>
        <c:axId val="1166665440"/>
        <c:scaling>
          <c:orientation val="minMax"/>
          <c:max val="1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baseline="0"/>
                  <a:t>metal removal (%)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9512399390603811E-3"/>
              <c:y val="0.24491315780321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282848"/>
        <c:crosses val="autoZero"/>
        <c:crossBetween val="between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2569836254510276"/>
          <c:y val="0.10053861131598585"/>
          <c:w val="0.53074601513636399"/>
          <c:h val="8.1110034262001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61060606060605"/>
          <c:y val="6.0455248679763776E-2"/>
          <c:w val="0.87508535353535366"/>
          <c:h val="0.8331833480601103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'Fig 9a, Fig S10'!$AE$35</c:f>
              <c:strCache>
                <c:ptCount val="1"/>
                <c:pt idx="0">
                  <c:v>Ni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S10'!$AF$56:$AI$56</c:f>
                <c:numCache>
                  <c:formatCode>General</c:formatCode>
                  <c:ptCount val="4"/>
                  <c:pt idx="0">
                    <c:v>1.222476496256435</c:v>
                  </c:pt>
                  <c:pt idx="1">
                    <c:v>0.91302450366864307</c:v>
                  </c:pt>
                  <c:pt idx="2">
                    <c:v>0.37618258984144359</c:v>
                  </c:pt>
                  <c:pt idx="3">
                    <c:v>0.71922654179263834</c:v>
                  </c:pt>
                </c:numCache>
              </c:numRef>
            </c:plus>
            <c:minus>
              <c:numRef>
                <c:f>'Fig 9a, Fig S10'!$AF$56:$AI$56</c:f>
                <c:numCache>
                  <c:formatCode>General</c:formatCode>
                  <c:ptCount val="4"/>
                  <c:pt idx="0">
                    <c:v>1.222476496256435</c:v>
                  </c:pt>
                  <c:pt idx="1">
                    <c:v>0.91302450366864307</c:v>
                  </c:pt>
                  <c:pt idx="2">
                    <c:v>0.37618258984144359</c:v>
                  </c:pt>
                  <c:pt idx="3">
                    <c:v>0.71922654179263834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S10'!$AF$49:$AI$49</c:f>
              <c:numCache>
                <c:formatCode>0.0</c:formatCode>
                <c:ptCount val="4"/>
                <c:pt idx="0">
                  <c:v>9.7671279500607007</c:v>
                </c:pt>
                <c:pt idx="1">
                  <c:v>11.997821490569988</c:v>
                </c:pt>
                <c:pt idx="2">
                  <c:v>10.171230404281468</c:v>
                </c:pt>
                <c:pt idx="3">
                  <c:v>14.233169340240226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E7-7D49-BAA9-7CF7FE729F04}"/>
            </c:ext>
          </c:extLst>
        </c:ser>
        <c:ser>
          <c:idx val="3"/>
          <c:order val="1"/>
          <c:tx>
            <c:strRef>
              <c:f>'Fig 9a, Fig S10'!$AE$34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S10'!$AF$55:$AI$55</c:f>
                <c:numCache>
                  <c:formatCode>General</c:formatCode>
                  <c:ptCount val="4"/>
                  <c:pt idx="0">
                    <c:v>5.0386815715106277</c:v>
                  </c:pt>
                  <c:pt idx="1">
                    <c:v>9.8646392073332692</c:v>
                  </c:pt>
                  <c:pt idx="2">
                    <c:v>0.53747106537453138</c:v>
                  </c:pt>
                  <c:pt idx="3">
                    <c:v>7.3797787756557796</c:v>
                  </c:pt>
                </c:numCache>
              </c:numRef>
            </c:plus>
            <c:minus>
              <c:numRef>
                <c:f>'Fig 9a, Fig S10'!$AF$55:$AI$55</c:f>
                <c:numCache>
                  <c:formatCode>General</c:formatCode>
                  <c:ptCount val="4"/>
                  <c:pt idx="0">
                    <c:v>5.0386815715106277</c:v>
                  </c:pt>
                  <c:pt idx="1">
                    <c:v>9.8646392073332692</c:v>
                  </c:pt>
                  <c:pt idx="2">
                    <c:v>0.53747106537453138</c:v>
                  </c:pt>
                  <c:pt idx="3">
                    <c:v>7.3797787756557796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S10'!$AF$48:$AI$48</c:f>
              <c:numCache>
                <c:formatCode>0.0</c:formatCode>
                <c:ptCount val="4"/>
                <c:pt idx="0">
                  <c:v>10.237824598179131</c:v>
                </c:pt>
                <c:pt idx="1">
                  <c:v>13.351137297923325</c:v>
                </c:pt>
                <c:pt idx="2">
                  <c:v>19.881210639994716</c:v>
                </c:pt>
                <c:pt idx="3">
                  <c:v>19.412075226372284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7-7D49-BAA9-7CF7FE729F04}"/>
            </c:ext>
          </c:extLst>
        </c:ser>
        <c:ser>
          <c:idx val="6"/>
          <c:order val="2"/>
          <c:tx>
            <c:strRef>
              <c:f>'Fig 9a, Fig S10'!$AE$51</c:f>
              <c:strCache>
                <c:ptCount val="1"/>
                <c:pt idx="0">
                  <c:v>Zn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S10'!$AF$58:$AI$58</c:f>
                <c:numCache>
                  <c:formatCode>General</c:formatCode>
                  <c:ptCount val="4"/>
                  <c:pt idx="0">
                    <c:v>3.5077972641405575</c:v>
                  </c:pt>
                  <c:pt idx="1">
                    <c:v>5.6398213457360953</c:v>
                  </c:pt>
                  <c:pt idx="2">
                    <c:v>4.2495257342679027</c:v>
                  </c:pt>
                  <c:pt idx="3">
                    <c:v>3.6571190262764937</c:v>
                  </c:pt>
                </c:numCache>
              </c:numRef>
            </c:plus>
            <c:minus>
              <c:numRef>
                <c:f>'Fig 9a, Fig S10'!$AF$58:$AI$58</c:f>
                <c:numCache>
                  <c:formatCode>General</c:formatCode>
                  <c:ptCount val="4"/>
                  <c:pt idx="0">
                    <c:v>3.5077972641405575</c:v>
                  </c:pt>
                  <c:pt idx="1">
                    <c:v>5.6398213457360953</c:v>
                  </c:pt>
                  <c:pt idx="2">
                    <c:v>4.2495257342679027</c:v>
                  </c:pt>
                  <c:pt idx="3">
                    <c:v>3.6571190262764937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S10'!$AF$51:$AI$51</c:f>
              <c:numCache>
                <c:formatCode>0.0</c:formatCode>
                <c:ptCount val="4"/>
                <c:pt idx="0">
                  <c:v>22.554234293833204</c:v>
                </c:pt>
                <c:pt idx="1">
                  <c:v>64.938664536311478</c:v>
                </c:pt>
                <c:pt idx="2">
                  <c:v>66.806933202075754</c:v>
                </c:pt>
                <c:pt idx="3">
                  <c:v>77.090194352075599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E7-7D49-BAA9-7CF7FE729F04}"/>
            </c:ext>
          </c:extLst>
        </c:ser>
        <c:ser>
          <c:idx val="0"/>
          <c:order val="3"/>
          <c:tx>
            <c:strRef>
              <c:f>'Fig 9a, Fig S10'!$AE$32</c:f>
              <c:strCache>
                <c:ptCount val="1"/>
                <c:pt idx="0">
                  <c:v>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S10'!$AF$53:$AI$53</c:f>
                <c:numCache>
                  <c:formatCode>General</c:formatCode>
                  <c:ptCount val="4"/>
                  <c:pt idx="0">
                    <c:v>3.574413903341763</c:v>
                  </c:pt>
                  <c:pt idx="1">
                    <c:v>4.8013658264081318</c:v>
                  </c:pt>
                  <c:pt idx="2">
                    <c:v>6.747886826292901</c:v>
                  </c:pt>
                  <c:pt idx="3">
                    <c:v>7.1063231250528975</c:v>
                  </c:pt>
                </c:numCache>
              </c:numRef>
            </c:plus>
            <c:minus>
              <c:numRef>
                <c:f>'Fig 9a, Fig S10'!$AF$53:$AI$53</c:f>
                <c:numCache>
                  <c:formatCode>General</c:formatCode>
                  <c:ptCount val="4"/>
                  <c:pt idx="0">
                    <c:v>3.574413903341763</c:v>
                  </c:pt>
                  <c:pt idx="1">
                    <c:v>4.8013658264081318</c:v>
                  </c:pt>
                  <c:pt idx="2">
                    <c:v>6.747886826292901</c:v>
                  </c:pt>
                  <c:pt idx="3">
                    <c:v>7.1063231250528975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'Fig 9a, Fig S10'!$AF$31:$AI$31</c:f>
              <c:strCache>
                <c:ptCount val="4"/>
                <c:pt idx="0">
                  <c:v>conventional</c:v>
                </c:pt>
                <c:pt idx="1">
                  <c:v>pristine (150 mg/L)</c:v>
                </c:pt>
                <c:pt idx="2">
                  <c:v>modified (50 mg/L)</c:v>
                </c:pt>
                <c:pt idx="3">
                  <c:v>modified (150 mg/L)</c:v>
                </c:pt>
              </c:strCache>
            </c:strRef>
          </c:cat>
          <c:val>
            <c:numRef>
              <c:f>'Fig 9a, Fig S10'!$AF$46:$AI$46</c:f>
              <c:numCache>
                <c:formatCode>0.0</c:formatCode>
                <c:ptCount val="4"/>
                <c:pt idx="0">
                  <c:v>11.597632274850518</c:v>
                </c:pt>
                <c:pt idx="1">
                  <c:v>63.047248444936535</c:v>
                </c:pt>
                <c:pt idx="2">
                  <c:v>63.059292421186555</c:v>
                </c:pt>
                <c:pt idx="3">
                  <c:v>78.615296054504853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7-7D49-BAA9-7CF7FE729F04}"/>
            </c:ext>
          </c:extLst>
        </c:ser>
        <c:ser>
          <c:idx val="2"/>
          <c:order val="4"/>
          <c:tx>
            <c:strRef>
              <c:f>'Fig 9a, Fig S10'!$AE$33</c:f>
              <c:strCache>
                <c:ptCount val="1"/>
                <c:pt idx="0">
                  <c:v>Fe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S10'!$AF$54:$AI$54</c:f>
                <c:numCache>
                  <c:formatCode>General</c:formatCode>
                  <c:ptCount val="4"/>
                  <c:pt idx="0">
                    <c:v>6.3795956311210489</c:v>
                  </c:pt>
                  <c:pt idx="1">
                    <c:v>5.7517574228055901</c:v>
                  </c:pt>
                  <c:pt idx="2">
                    <c:v>4.8931325135699613</c:v>
                  </c:pt>
                  <c:pt idx="3">
                    <c:v>4.0196218280019131</c:v>
                  </c:pt>
                </c:numCache>
              </c:numRef>
            </c:plus>
            <c:minus>
              <c:numRef>
                <c:f>'Fig 9a, Fig S10'!$AF$54:$AI$54</c:f>
                <c:numCache>
                  <c:formatCode>General</c:formatCode>
                  <c:ptCount val="4"/>
                  <c:pt idx="0">
                    <c:v>6.3795956311210489</c:v>
                  </c:pt>
                  <c:pt idx="1">
                    <c:v>5.7517574228055901</c:v>
                  </c:pt>
                  <c:pt idx="2">
                    <c:v>4.8931325135699613</c:v>
                  </c:pt>
                  <c:pt idx="3">
                    <c:v>4.0196218280019131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'Fig 9a, Fig S10'!$AF$31:$AI$31</c:f>
              <c:strCache>
                <c:ptCount val="4"/>
                <c:pt idx="0">
                  <c:v>conventional</c:v>
                </c:pt>
                <c:pt idx="1">
                  <c:v>pristine (150 mg/L)</c:v>
                </c:pt>
                <c:pt idx="2">
                  <c:v>modified (50 mg/L)</c:v>
                </c:pt>
                <c:pt idx="3">
                  <c:v>modified (150 mg/L)</c:v>
                </c:pt>
              </c:strCache>
            </c:strRef>
          </c:cat>
          <c:val>
            <c:numRef>
              <c:f>'Fig 9a, Fig S10'!$AF$47:$AI$47</c:f>
              <c:numCache>
                <c:formatCode>0.0</c:formatCode>
                <c:ptCount val="4"/>
                <c:pt idx="0">
                  <c:v>19.398022098281722</c:v>
                </c:pt>
                <c:pt idx="1">
                  <c:v>68.571555601994987</c:v>
                </c:pt>
                <c:pt idx="2">
                  <c:v>71.291016496349627</c:v>
                </c:pt>
                <c:pt idx="3">
                  <c:v>83.023787270923805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7-7D49-BAA9-7CF7FE729F04}"/>
            </c:ext>
          </c:extLst>
        </c:ser>
        <c:ser>
          <c:idx val="5"/>
          <c:order val="5"/>
          <c:tx>
            <c:strRef>
              <c:f>'Fig 9a, Fig S10'!$AE$36</c:f>
              <c:strCache>
                <c:ptCount val="1"/>
                <c:pt idx="0">
                  <c:v>Pb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S10'!$AF$57:$AI$57</c:f>
                <c:numCache>
                  <c:formatCode>General</c:formatCode>
                  <c:ptCount val="4"/>
                  <c:pt idx="0">
                    <c:v>4.0626190809693448</c:v>
                  </c:pt>
                  <c:pt idx="1">
                    <c:v>6.7835691288612585</c:v>
                  </c:pt>
                  <c:pt idx="2">
                    <c:v>27.545363410176272</c:v>
                  </c:pt>
                  <c:pt idx="3">
                    <c:v>4.0660900808091602</c:v>
                  </c:pt>
                </c:numCache>
              </c:numRef>
            </c:plus>
            <c:minus>
              <c:numRef>
                <c:f>'Fig 9a, Fig S10'!$AF$57:$AI$57</c:f>
                <c:numCache>
                  <c:formatCode>General</c:formatCode>
                  <c:ptCount val="4"/>
                  <c:pt idx="0">
                    <c:v>4.0626190809693448</c:v>
                  </c:pt>
                  <c:pt idx="1">
                    <c:v>6.7835691288612585</c:v>
                  </c:pt>
                  <c:pt idx="2">
                    <c:v>27.545363410176272</c:v>
                  </c:pt>
                  <c:pt idx="3">
                    <c:v>4.0660900808091602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S10'!$AF$50:$AI$50</c:f>
              <c:numCache>
                <c:formatCode>0.0</c:formatCode>
                <c:ptCount val="4"/>
                <c:pt idx="0">
                  <c:v>25.050330668551606</c:v>
                </c:pt>
                <c:pt idx="1">
                  <c:v>71.202607174694407</c:v>
                </c:pt>
                <c:pt idx="2">
                  <c:v>52.169535021387944</c:v>
                </c:pt>
                <c:pt idx="3">
                  <c:v>84.610983990184891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E7-7D49-BAA9-7CF7FE729F04}"/>
            </c:ext>
          </c:extLst>
        </c:ser>
        <c:ser>
          <c:idx val="7"/>
          <c:order val="6"/>
          <c:tx>
            <c:strRef>
              <c:f>'Fig 9a, Fig S10'!$Y$30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9a, Fig S10'!$Y$41:$AB$41</c:f>
                <c:numCache>
                  <c:formatCode>General</c:formatCode>
                  <c:ptCount val="4"/>
                  <c:pt idx="0">
                    <c:v>3.5559017882713984</c:v>
                  </c:pt>
                  <c:pt idx="1">
                    <c:v>3.434798754608634</c:v>
                  </c:pt>
                  <c:pt idx="2">
                    <c:v>3.3784768303295518</c:v>
                  </c:pt>
                  <c:pt idx="3">
                    <c:v>2.7792241870860859</c:v>
                  </c:pt>
                </c:numCache>
              </c:numRef>
            </c:plus>
            <c:minus>
              <c:numRef>
                <c:f>'Fig 9a, Fig S10'!$Y$41:$AB$41</c:f>
                <c:numCache>
                  <c:formatCode>General</c:formatCode>
                  <c:ptCount val="4"/>
                  <c:pt idx="0">
                    <c:v>3.5559017882713984</c:v>
                  </c:pt>
                  <c:pt idx="1">
                    <c:v>3.434798754608634</c:v>
                  </c:pt>
                  <c:pt idx="2">
                    <c:v>3.3784768303295518</c:v>
                  </c:pt>
                  <c:pt idx="3">
                    <c:v>2.7792241870860859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9a, Fig S10'!$Y$38:$AB$38</c:f>
              <c:numCache>
                <c:formatCode>0.0</c:formatCode>
                <c:ptCount val="4"/>
                <c:pt idx="0">
                  <c:v>17.085105631259911</c:v>
                </c:pt>
                <c:pt idx="1">
                  <c:v>48.39044322610723</c:v>
                </c:pt>
                <c:pt idx="2">
                  <c:v>48.851734247295127</c:v>
                </c:pt>
                <c:pt idx="3">
                  <c:v>58.146674340476167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1-5E42-97C0-DD4FF02EF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282848"/>
        <c:axId val="1166665440"/>
      </c:barChart>
      <c:catAx>
        <c:axId val="11142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665440"/>
        <c:crosses val="autoZero"/>
        <c:auto val="1"/>
        <c:lblAlgn val="ctr"/>
        <c:lblOffset val="100"/>
        <c:noMultiLvlLbl val="0"/>
      </c:catAx>
      <c:valAx>
        <c:axId val="1166665440"/>
        <c:scaling>
          <c:orientation val="minMax"/>
          <c:max val="1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baseline="0"/>
                  <a:t>metal removal (%)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5.9024798781207623E-3"/>
              <c:y val="0.22387945169179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282848"/>
        <c:crosses val="autoZero"/>
        <c:crossBetween val="between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33575895061728395"/>
          <c:y val="0.10112804113368447"/>
          <c:w val="0.53686158954448149"/>
          <c:h val="0.1037797403731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5648148148149"/>
          <c:y val="4.1861781758473625E-2"/>
          <c:w val="0.78785277777777774"/>
          <c:h val="0.788544354579088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sq">
                <a:solidFill>
                  <a:schemeClr val="bg2">
                    <a:lumMod val="50000"/>
                  </a:schemeClr>
                </a:solidFill>
                <a:prstDash val="dash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193803398115598"/>
                  <c:y val="-6.70746913580246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'Fig 9b, Fig S11'!$I$14:$I$21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plus>
            <c:minus>
              <c:numRef>
                <c:f>'Fig 9b, Fig S11'!$I$14:$I$21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'Fig 9b, Fig S11'!$G$14:$G$21</c:f>
                <c:numCache>
                  <c:formatCode>General</c:formatCode>
                  <c:ptCount val="8"/>
                  <c:pt idx="0">
                    <c:v>1.222476496256435</c:v>
                  </c:pt>
                  <c:pt idx="1">
                    <c:v>0.91302450366864307</c:v>
                  </c:pt>
                  <c:pt idx="2">
                    <c:v>0.37618258984144359</c:v>
                  </c:pt>
                  <c:pt idx="3">
                    <c:v>0.71922654179263834</c:v>
                  </c:pt>
                  <c:pt idx="4">
                    <c:v>1.5435162489306635</c:v>
                  </c:pt>
                  <c:pt idx="5">
                    <c:v>0.24757012647940993</c:v>
                  </c:pt>
                  <c:pt idx="6">
                    <c:v>1.7830318693547933</c:v>
                  </c:pt>
                  <c:pt idx="7">
                    <c:v>0.71297689443376688</c:v>
                  </c:pt>
                </c:numCache>
              </c:numRef>
            </c:plus>
            <c:minus>
              <c:numRef>
                <c:f>'Fig 9b, Fig S11'!$G$14:$G$21</c:f>
                <c:numCache>
                  <c:formatCode>General</c:formatCode>
                  <c:ptCount val="8"/>
                  <c:pt idx="0">
                    <c:v>1.222476496256435</c:v>
                  </c:pt>
                  <c:pt idx="1">
                    <c:v>0.91302450366864307</c:v>
                  </c:pt>
                  <c:pt idx="2">
                    <c:v>0.37618258984144359</c:v>
                  </c:pt>
                  <c:pt idx="3">
                    <c:v>0.71922654179263834</c:v>
                  </c:pt>
                  <c:pt idx="4">
                    <c:v>1.5435162489306635</c:v>
                  </c:pt>
                  <c:pt idx="5">
                    <c:v>0.24757012647940993</c:v>
                  </c:pt>
                  <c:pt idx="6">
                    <c:v>1.7830318693547933</c:v>
                  </c:pt>
                  <c:pt idx="7">
                    <c:v>0.71297689443376688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S11'!$E$14:$E$21</c:f>
              <c:numCache>
                <c:formatCode>General</c:formatCode>
                <c:ptCount val="8"/>
                <c:pt idx="0">
                  <c:v>-10.88</c:v>
                </c:pt>
                <c:pt idx="1">
                  <c:v>49.12</c:v>
                </c:pt>
                <c:pt idx="2">
                  <c:v>86.240000000000009</c:v>
                </c:pt>
                <c:pt idx="3">
                  <c:v>92.16</c:v>
                </c:pt>
                <c:pt idx="4">
                  <c:v>61.12</c:v>
                </c:pt>
                <c:pt idx="5">
                  <c:v>73.44</c:v>
                </c:pt>
                <c:pt idx="6">
                  <c:v>87.36</c:v>
                </c:pt>
                <c:pt idx="7">
                  <c:v>95.52000000000001</c:v>
                </c:pt>
              </c:numCache>
            </c:numRef>
          </c:xVal>
          <c:yVal>
            <c:numRef>
              <c:f>'Fig 9b, Fig S11'!$F$14:$F$21</c:f>
              <c:numCache>
                <c:formatCode>General</c:formatCode>
                <c:ptCount val="8"/>
                <c:pt idx="0">
                  <c:v>9.7671279500607007</c:v>
                </c:pt>
                <c:pt idx="1">
                  <c:v>11.997821490569988</c:v>
                </c:pt>
                <c:pt idx="2">
                  <c:v>10.171230404281468</c:v>
                </c:pt>
                <c:pt idx="3">
                  <c:v>14.233169340240226</c:v>
                </c:pt>
                <c:pt idx="4">
                  <c:v>8.719684922989634</c:v>
                </c:pt>
                <c:pt idx="5">
                  <c:v>11.106205970088896</c:v>
                </c:pt>
                <c:pt idx="6">
                  <c:v>9.9503308022783408</c:v>
                </c:pt>
                <c:pt idx="7">
                  <c:v>13.665308574191384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61-1548-9015-887DE7CCB972}"/>
            </c:ext>
          </c:extLst>
        </c:ser>
        <c:ser>
          <c:idx val="1"/>
          <c:order val="1"/>
          <c:tx>
            <c:strRef>
              <c:f>'Fig 9b, Fig S11'!$B$14</c:f>
              <c:strCache>
                <c:ptCount val="1"/>
                <c:pt idx="0">
                  <c:v>conventional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S11'!$E$14</c:f>
              <c:numCache>
                <c:formatCode>General</c:formatCode>
                <c:ptCount val="1"/>
                <c:pt idx="0">
                  <c:v>-10.88</c:v>
                </c:pt>
              </c:numCache>
            </c:numRef>
          </c:xVal>
          <c:yVal>
            <c:numRef>
              <c:f>'Fig 9b, Fig S11'!$F$14</c:f>
              <c:numCache>
                <c:formatCode>General</c:formatCode>
                <c:ptCount val="1"/>
                <c:pt idx="0">
                  <c:v>9.7671279500607007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61-1548-9015-887DE7CCB972}"/>
            </c:ext>
          </c:extLst>
        </c:ser>
        <c:ser>
          <c:idx val="2"/>
          <c:order val="2"/>
          <c:tx>
            <c:strRef>
              <c:f>'Fig 9b, Fig S11'!$B$15</c:f>
              <c:strCache>
                <c:ptCount val="1"/>
                <c:pt idx="0">
                  <c:v>150 mg/L 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S11'!$E$15</c:f>
              <c:numCache>
                <c:formatCode>General</c:formatCode>
                <c:ptCount val="1"/>
                <c:pt idx="0">
                  <c:v>49.12</c:v>
                </c:pt>
              </c:numCache>
            </c:numRef>
          </c:xVal>
          <c:yVal>
            <c:numRef>
              <c:f>'Fig 9b, Fig S11'!$F$15</c:f>
              <c:numCache>
                <c:formatCode>General</c:formatCode>
                <c:ptCount val="1"/>
                <c:pt idx="0">
                  <c:v>11.997821490569988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61-1548-9015-887DE7CCB972}"/>
            </c:ext>
          </c:extLst>
        </c:ser>
        <c:ser>
          <c:idx val="3"/>
          <c:order val="3"/>
          <c:tx>
            <c:strRef>
              <c:f>'Fig 9b, Fig S11'!$B$16</c:f>
              <c:strCache>
                <c:ptCount val="1"/>
                <c:pt idx="0">
                  <c:v>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S11'!$E$16</c:f>
              <c:numCache>
                <c:formatCode>General</c:formatCode>
                <c:ptCount val="1"/>
                <c:pt idx="0">
                  <c:v>86.240000000000009</c:v>
                </c:pt>
              </c:numCache>
            </c:numRef>
          </c:xVal>
          <c:yVal>
            <c:numRef>
              <c:f>'Fig 9b, Fig S11'!$F$16</c:f>
              <c:numCache>
                <c:formatCode>General</c:formatCode>
                <c:ptCount val="1"/>
                <c:pt idx="0">
                  <c:v>10.171230404281468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61-1548-9015-887DE7CCB972}"/>
            </c:ext>
          </c:extLst>
        </c:ser>
        <c:ser>
          <c:idx val="4"/>
          <c:order val="4"/>
          <c:tx>
            <c:strRef>
              <c:f>'Fig 9b, Fig S11'!$B$17</c:f>
              <c:strCache>
                <c:ptCount val="1"/>
                <c:pt idx="0">
                  <c:v>150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S11'!$E$17</c:f>
              <c:numCache>
                <c:formatCode>General</c:formatCode>
                <c:ptCount val="1"/>
                <c:pt idx="0">
                  <c:v>92.16</c:v>
                </c:pt>
              </c:numCache>
            </c:numRef>
          </c:xVal>
          <c:yVal>
            <c:numRef>
              <c:f>'Fig 9b, Fig S11'!$F$17</c:f>
              <c:numCache>
                <c:formatCode>General</c:formatCode>
                <c:ptCount val="1"/>
                <c:pt idx="0">
                  <c:v>14.233169340240226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61-1548-9015-887DE7CCB972}"/>
            </c:ext>
          </c:extLst>
        </c:ser>
        <c:ser>
          <c:idx val="5"/>
          <c:order val="5"/>
          <c:tx>
            <c:strRef>
              <c:f>'Fig 9b, Fig S11'!$B$18</c:f>
              <c:strCache>
                <c:ptCount val="1"/>
                <c:pt idx="0">
                  <c:v>conv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S11'!$E$18</c:f>
              <c:numCache>
                <c:formatCode>General</c:formatCode>
                <c:ptCount val="1"/>
                <c:pt idx="0">
                  <c:v>61.12</c:v>
                </c:pt>
              </c:numCache>
            </c:numRef>
          </c:xVal>
          <c:yVal>
            <c:numRef>
              <c:f>'Fig 9b, Fig S11'!$F$18</c:f>
              <c:numCache>
                <c:formatCode>General</c:formatCode>
                <c:ptCount val="1"/>
                <c:pt idx="0">
                  <c:v>8.719684922989634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61-1548-9015-887DE7CCB972}"/>
            </c:ext>
          </c:extLst>
        </c:ser>
        <c:ser>
          <c:idx val="6"/>
          <c:order val="6"/>
          <c:tx>
            <c:strRef>
              <c:f>'Fig 9b, Fig S11'!$B$19</c:f>
              <c:strCache>
                <c:ptCount val="1"/>
                <c:pt idx="0">
                  <c:v>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S11'!$E$19</c:f>
              <c:numCache>
                <c:formatCode>General</c:formatCode>
                <c:ptCount val="1"/>
                <c:pt idx="0">
                  <c:v>73.44</c:v>
                </c:pt>
              </c:numCache>
            </c:numRef>
          </c:xVal>
          <c:yVal>
            <c:numRef>
              <c:f>'Fig 9b, Fig S11'!$F$19</c:f>
              <c:numCache>
                <c:formatCode>General</c:formatCode>
                <c:ptCount val="1"/>
                <c:pt idx="0">
                  <c:v>11.106205970088896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61-1548-9015-887DE7CCB972}"/>
            </c:ext>
          </c:extLst>
        </c:ser>
        <c:ser>
          <c:idx val="7"/>
          <c:order val="7"/>
          <c:tx>
            <c:strRef>
              <c:f>'Fig 9b, Fig S11'!$B$20</c:f>
              <c:strCache>
                <c:ptCount val="1"/>
                <c:pt idx="0">
                  <c:v>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S11'!$E$20</c:f>
              <c:numCache>
                <c:formatCode>General</c:formatCode>
                <c:ptCount val="1"/>
                <c:pt idx="0">
                  <c:v>87.36</c:v>
                </c:pt>
              </c:numCache>
            </c:numRef>
          </c:xVal>
          <c:yVal>
            <c:numRef>
              <c:f>'Fig 9b, Fig S11'!$F$20</c:f>
              <c:numCache>
                <c:formatCode>General</c:formatCode>
                <c:ptCount val="1"/>
                <c:pt idx="0">
                  <c:v>9.9503308022783408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861-1548-9015-887DE7CCB972}"/>
            </c:ext>
          </c:extLst>
        </c:ser>
        <c:ser>
          <c:idx val="8"/>
          <c:order val="8"/>
          <c:tx>
            <c:strRef>
              <c:f>'Fig 9b, Fig S11'!$B$21</c:f>
              <c:strCache>
                <c:ptCount val="1"/>
                <c:pt idx="0">
                  <c:v>150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S11'!$E$21</c:f>
              <c:numCache>
                <c:formatCode>General</c:formatCode>
                <c:ptCount val="1"/>
                <c:pt idx="0">
                  <c:v>95.52000000000001</c:v>
                </c:pt>
              </c:numCache>
            </c:numRef>
          </c:xVal>
          <c:yVal>
            <c:numRef>
              <c:f>'Fig 9b, Fig S11'!$F$21</c:f>
              <c:numCache>
                <c:formatCode>General</c:formatCode>
                <c:ptCount val="1"/>
                <c:pt idx="0">
                  <c:v>13.665308574191384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861-1548-9015-887DE7CCB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702288"/>
        <c:axId val="1191975968"/>
      </c:scatterChart>
      <c:valAx>
        <c:axId val="1125702288"/>
        <c:scaling>
          <c:orientation val="minMax"/>
          <c:max val="100"/>
          <c:min val="-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</a:t>
                </a:r>
                <a:r>
                  <a:rPr lang="en-US" sz="800" b="1" baseline="0"/>
                  <a:t> removal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1975968"/>
        <c:crosses val="autoZero"/>
        <c:crossBetween val="midCat"/>
        <c:majorUnit val="20"/>
      </c:valAx>
      <c:valAx>
        <c:axId val="1191975968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total</a:t>
                </a:r>
                <a:r>
                  <a:rPr lang="en-US" sz="800" b="1" baseline="0"/>
                  <a:t> metal removal (%)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70228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5648148148149"/>
          <c:y val="4.1861475827980207E-2"/>
          <c:w val="0.78785277777777774"/>
          <c:h val="0.788544354579088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sq">
                <a:solidFill>
                  <a:schemeClr val="bg2">
                    <a:lumMod val="50000"/>
                  </a:schemeClr>
                </a:solidFill>
                <a:prstDash val="dash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13234834275041"/>
                  <c:y val="0.286337037037037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'Fig 9b, Fig S11'!$I$3:$I$10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plus>
            <c:minus>
              <c:numRef>
                <c:f>'Fig 9b, Fig S11'!$I$3:$I$10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'Fig 9b, Fig S11'!$G$3:$G$10</c:f>
                <c:numCache>
                  <c:formatCode>General</c:formatCode>
                  <c:ptCount val="8"/>
                  <c:pt idx="0">
                    <c:v>3.5559017882714001</c:v>
                  </c:pt>
                  <c:pt idx="1">
                    <c:v>3.434798754608634</c:v>
                  </c:pt>
                  <c:pt idx="2">
                    <c:v>3.3784768303295518</c:v>
                  </c:pt>
                  <c:pt idx="3">
                    <c:v>2.7792241870860859</c:v>
                  </c:pt>
                  <c:pt idx="4">
                    <c:v>1.0443778362278242</c:v>
                  </c:pt>
                  <c:pt idx="5">
                    <c:v>2.9432520947712639</c:v>
                  </c:pt>
                  <c:pt idx="6">
                    <c:v>1.024508887907259</c:v>
                  </c:pt>
                  <c:pt idx="7">
                    <c:v>7.0050038465512925</c:v>
                  </c:pt>
                </c:numCache>
              </c:numRef>
            </c:plus>
            <c:minus>
              <c:numRef>
                <c:f>'Fig 9b, Fig S11'!$G$3:$G$10</c:f>
                <c:numCache>
                  <c:formatCode>General</c:formatCode>
                  <c:ptCount val="8"/>
                  <c:pt idx="0">
                    <c:v>3.5559017882714001</c:v>
                  </c:pt>
                  <c:pt idx="1">
                    <c:v>3.434798754608634</c:v>
                  </c:pt>
                  <c:pt idx="2">
                    <c:v>3.3784768303295518</c:v>
                  </c:pt>
                  <c:pt idx="3">
                    <c:v>2.7792241870860859</c:v>
                  </c:pt>
                  <c:pt idx="4">
                    <c:v>1.0443778362278242</c:v>
                  </c:pt>
                  <c:pt idx="5">
                    <c:v>2.9432520947712639</c:v>
                  </c:pt>
                  <c:pt idx="6">
                    <c:v>1.024508887907259</c:v>
                  </c:pt>
                  <c:pt idx="7">
                    <c:v>7.0050038465512925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9b, Fig S11'!$E$3:$E$10</c:f>
              <c:numCache>
                <c:formatCode>General</c:formatCode>
                <c:ptCount val="8"/>
                <c:pt idx="0">
                  <c:v>-10.88</c:v>
                </c:pt>
                <c:pt idx="1">
                  <c:v>49.12</c:v>
                </c:pt>
                <c:pt idx="2">
                  <c:v>86.240000000000009</c:v>
                </c:pt>
                <c:pt idx="3">
                  <c:v>92.16</c:v>
                </c:pt>
                <c:pt idx="4">
                  <c:v>61.12</c:v>
                </c:pt>
                <c:pt idx="5">
                  <c:v>73.44</c:v>
                </c:pt>
                <c:pt idx="6">
                  <c:v>87.36</c:v>
                </c:pt>
                <c:pt idx="7">
                  <c:v>95.52000000000001</c:v>
                </c:pt>
              </c:numCache>
            </c:numRef>
          </c:xVal>
          <c:yVal>
            <c:numRef>
              <c:f>'Fig 9b, Fig S11'!$F$3:$F$10</c:f>
              <c:numCache>
                <c:formatCode>General</c:formatCode>
                <c:ptCount val="8"/>
                <c:pt idx="0">
                  <c:v>13.729098187934149</c:v>
                </c:pt>
                <c:pt idx="1">
                  <c:v>39.406543796195997</c:v>
                </c:pt>
                <c:pt idx="2">
                  <c:v>40.559165452931325</c:v>
                </c:pt>
                <c:pt idx="3">
                  <c:v>52.900663414760096</c:v>
                </c:pt>
                <c:pt idx="4">
                  <c:v>30.686346185460383</c:v>
                </c:pt>
                <c:pt idx="5">
                  <c:v>41.630029760815582</c:v>
                </c:pt>
                <c:pt idx="6">
                  <c:v>47.210077109640331</c:v>
                </c:pt>
                <c:pt idx="7">
                  <c:v>57.658361503695446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9DA-AA40-B347-84E7955FFB5A}"/>
            </c:ext>
          </c:extLst>
        </c:ser>
        <c:ser>
          <c:idx val="1"/>
          <c:order val="1"/>
          <c:tx>
            <c:strRef>
              <c:f>'Fig 9b, Fig S11'!$B$3</c:f>
              <c:strCache>
                <c:ptCount val="1"/>
                <c:pt idx="0">
                  <c:v>conventional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S11'!$E$3</c:f>
              <c:numCache>
                <c:formatCode>General</c:formatCode>
                <c:ptCount val="1"/>
                <c:pt idx="0">
                  <c:v>-10.88</c:v>
                </c:pt>
              </c:numCache>
            </c:numRef>
          </c:xVal>
          <c:yVal>
            <c:numRef>
              <c:f>'Fig 9b, Fig S11'!$F$3</c:f>
              <c:numCache>
                <c:formatCode>General</c:formatCode>
                <c:ptCount val="1"/>
                <c:pt idx="0">
                  <c:v>13.729098187934149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A-AA40-B347-84E7955FFB5A}"/>
            </c:ext>
          </c:extLst>
        </c:ser>
        <c:ser>
          <c:idx val="2"/>
          <c:order val="2"/>
          <c:tx>
            <c:strRef>
              <c:f>'Fig 9b, Fig S11'!$B$4</c:f>
              <c:strCache>
                <c:ptCount val="1"/>
                <c:pt idx="0">
                  <c:v>150 mg/L 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xVal>
            <c:numRef>
              <c:f>'Fig 9b, Fig S11'!$E$4</c:f>
              <c:numCache>
                <c:formatCode>General</c:formatCode>
                <c:ptCount val="1"/>
                <c:pt idx="0">
                  <c:v>49.12</c:v>
                </c:pt>
              </c:numCache>
            </c:numRef>
          </c:xVal>
          <c:yVal>
            <c:numRef>
              <c:f>'Fig 9b, Fig S11'!$F$4</c:f>
              <c:numCache>
                <c:formatCode>General</c:formatCode>
                <c:ptCount val="1"/>
                <c:pt idx="0">
                  <c:v>39.406543796195997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DA-AA40-B347-84E7955FFB5A}"/>
            </c:ext>
          </c:extLst>
        </c:ser>
        <c:ser>
          <c:idx val="3"/>
          <c:order val="3"/>
          <c:tx>
            <c:strRef>
              <c:f>'Fig 9b, Fig S11'!$B$5</c:f>
              <c:strCache>
                <c:ptCount val="1"/>
                <c:pt idx="0">
                  <c:v>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xVal>
            <c:numRef>
              <c:f>'Fig 9b, Fig S11'!$E$5</c:f>
              <c:numCache>
                <c:formatCode>General</c:formatCode>
                <c:ptCount val="1"/>
                <c:pt idx="0">
                  <c:v>86.240000000000009</c:v>
                </c:pt>
              </c:numCache>
            </c:numRef>
          </c:xVal>
          <c:yVal>
            <c:numRef>
              <c:f>'Fig 9b, Fig S11'!$F$5</c:f>
              <c:numCache>
                <c:formatCode>General</c:formatCode>
                <c:ptCount val="1"/>
                <c:pt idx="0">
                  <c:v>40.559165452931325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DA-AA40-B347-84E7955FFB5A}"/>
            </c:ext>
          </c:extLst>
        </c:ser>
        <c:ser>
          <c:idx val="4"/>
          <c:order val="4"/>
          <c:tx>
            <c:strRef>
              <c:f>'Fig 9b, Fig S11'!$B$6</c:f>
              <c:strCache>
                <c:ptCount val="1"/>
                <c:pt idx="0">
                  <c:v>150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xVal>
            <c:numRef>
              <c:f>'Fig 9b, Fig S11'!$E$6</c:f>
              <c:numCache>
                <c:formatCode>General</c:formatCode>
                <c:ptCount val="1"/>
                <c:pt idx="0">
                  <c:v>92.16</c:v>
                </c:pt>
              </c:numCache>
            </c:numRef>
          </c:xVal>
          <c:yVal>
            <c:numRef>
              <c:f>'Fig 9b, Fig S11'!$F$6</c:f>
              <c:numCache>
                <c:formatCode>General</c:formatCode>
                <c:ptCount val="1"/>
                <c:pt idx="0">
                  <c:v>52.900663414760096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DA-AA40-B347-84E7955FFB5A}"/>
            </c:ext>
          </c:extLst>
        </c:ser>
        <c:ser>
          <c:idx val="5"/>
          <c:order val="5"/>
          <c:tx>
            <c:strRef>
              <c:f>'Fig 9b, Fig S11'!$B$7</c:f>
              <c:strCache>
                <c:ptCount val="1"/>
                <c:pt idx="0">
                  <c:v>conv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xVal>
            <c:numRef>
              <c:f>'Fig 9b, Fig S11'!$E$7</c:f>
              <c:numCache>
                <c:formatCode>General</c:formatCode>
                <c:ptCount val="1"/>
                <c:pt idx="0">
                  <c:v>61.12</c:v>
                </c:pt>
              </c:numCache>
            </c:numRef>
          </c:xVal>
          <c:yVal>
            <c:numRef>
              <c:f>'Fig 9b, Fig S11'!$F$7</c:f>
              <c:numCache>
                <c:formatCode>General</c:formatCode>
                <c:ptCount val="1"/>
                <c:pt idx="0">
                  <c:v>30.686346185460383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DA-AA40-B347-84E7955FFB5A}"/>
            </c:ext>
          </c:extLst>
        </c:ser>
        <c:ser>
          <c:idx val="6"/>
          <c:order val="6"/>
          <c:tx>
            <c:strRef>
              <c:f>'Fig 9b, Fig S11'!$B$8</c:f>
              <c:strCache>
                <c:ptCount val="1"/>
                <c:pt idx="0">
                  <c:v>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xVal>
            <c:numRef>
              <c:f>'Fig 9b, Fig S11'!$E$8</c:f>
              <c:numCache>
                <c:formatCode>General</c:formatCode>
                <c:ptCount val="1"/>
                <c:pt idx="0">
                  <c:v>73.44</c:v>
                </c:pt>
              </c:numCache>
            </c:numRef>
          </c:xVal>
          <c:yVal>
            <c:numRef>
              <c:f>'Fig 9b, Fig S11'!$F$8</c:f>
              <c:numCache>
                <c:formatCode>General</c:formatCode>
                <c:ptCount val="1"/>
                <c:pt idx="0">
                  <c:v>41.630029760815582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DA-AA40-B347-84E7955FFB5A}"/>
            </c:ext>
          </c:extLst>
        </c:ser>
        <c:ser>
          <c:idx val="7"/>
          <c:order val="7"/>
          <c:tx>
            <c:strRef>
              <c:f>'Fig 9b, Fig S11'!$B$9</c:f>
              <c:strCache>
                <c:ptCount val="1"/>
                <c:pt idx="0">
                  <c:v>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xVal>
            <c:numRef>
              <c:f>'Fig 9b, Fig S11'!$E$9</c:f>
              <c:numCache>
                <c:formatCode>General</c:formatCode>
                <c:ptCount val="1"/>
                <c:pt idx="0">
                  <c:v>87.36</c:v>
                </c:pt>
              </c:numCache>
            </c:numRef>
          </c:xVal>
          <c:yVal>
            <c:numRef>
              <c:f>'Fig 9b, Fig S11'!$F$9</c:f>
              <c:numCache>
                <c:formatCode>General</c:formatCode>
                <c:ptCount val="1"/>
                <c:pt idx="0">
                  <c:v>47.210077109640331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DA-AA40-B347-84E7955FFB5A}"/>
            </c:ext>
          </c:extLst>
        </c:ser>
        <c:ser>
          <c:idx val="8"/>
          <c:order val="8"/>
          <c:tx>
            <c:strRef>
              <c:f>'Fig 9b, Fig S11'!$B$10</c:f>
              <c:strCache>
                <c:ptCount val="1"/>
                <c:pt idx="0">
                  <c:v>150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xVal>
            <c:numRef>
              <c:f>'Fig 9b, Fig S11'!$E$10</c:f>
              <c:numCache>
                <c:formatCode>General</c:formatCode>
                <c:ptCount val="1"/>
                <c:pt idx="0">
                  <c:v>95.52000000000001</c:v>
                </c:pt>
              </c:numCache>
            </c:numRef>
          </c:xVal>
          <c:yVal>
            <c:numRef>
              <c:f>'Fig 9b, Fig S11'!$F$10</c:f>
              <c:numCache>
                <c:formatCode>General</c:formatCode>
                <c:ptCount val="1"/>
                <c:pt idx="0">
                  <c:v>57.658361503695446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9DA-AA40-B347-84E7955FF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702288"/>
        <c:axId val="1191975968"/>
      </c:scatterChart>
      <c:valAx>
        <c:axId val="1125702288"/>
        <c:scaling>
          <c:orientation val="minMax"/>
          <c:max val="100"/>
          <c:min val="-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</a:t>
                </a:r>
                <a:r>
                  <a:rPr lang="en-US" sz="800" b="1" baseline="0"/>
                  <a:t> removal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1975968"/>
        <c:crosses val="autoZero"/>
        <c:crossBetween val="midCat"/>
        <c:majorUnit val="20"/>
      </c:valAx>
      <c:valAx>
        <c:axId val="119197596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total</a:t>
                </a:r>
                <a:r>
                  <a:rPr lang="en-US" sz="800" b="1" baseline="0"/>
                  <a:t> metal removal (%)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70228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5648148148149"/>
          <c:y val="4.1861781758473625E-2"/>
          <c:w val="0.78785277777777774"/>
          <c:h val="0.788544354579088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sq">
                <a:solidFill>
                  <a:schemeClr val="bg2">
                    <a:lumMod val="50000"/>
                  </a:schemeClr>
                </a:solidFill>
                <a:prstDash val="dash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15040143781279"/>
                  <c:y val="-4.28203172684991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'Fig 9b, Fig S11'!$I$25:$I$32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plus>
            <c:minus>
              <c:numRef>
                <c:f>'Fig 9b, Fig S11'!$I$25:$I$32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'Fig 9b, Fig S11'!$G$25:$G$32</c:f>
                <c:numCache>
                  <c:formatCode>General</c:formatCode>
                  <c:ptCount val="8"/>
                  <c:pt idx="0">
                    <c:v>5.0386815715106206</c:v>
                  </c:pt>
                  <c:pt idx="1">
                    <c:v>9.8646392073332692</c:v>
                  </c:pt>
                  <c:pt idx="2">
                    <c:v>0.53747106537453138</c:v>
                  </c:pt>
                  <c:pt idx="3">
                    <c:v>7.3797787756557636</c:v>
                  </c:pt>
                  <c:pt idx="4">
                    <c:v>32.057501201067602</c:v>
                  </c:pt>
                  <c:pt idx="5">
                    <c:v>2.53733382822189</c:v>
                  </c:pt>
                  <c:pt idx="6">
                    <c:v>3.4479926309987716</c:v>
                  </c:pt>
                  <c:pt idx="7">
                    <c:v>8.9905174495645781</c:v>
                  </c:pt>
                </c:numCache>
              </c:numRef>
            </c:plus>
            <c:minus>
              <c:numRef>
                <c:f>'Fig 9b, Fig S11'!$G$25:$G$32</c:f>
                <c:numCache>
                  <c:formatCode>General</c:formatCode>
                  <c:ptCount val="8"/>
                  <c:pt idx="0">
                    <c:v>5.0386815715106206</c:v>
                  </c:pt>
                  <c:pt idx="1">
                    <c:v>9.8646392073332692</c:v>
                  </c:pt>
                  <c:pt idx="2">
                    <c:v>0.53747106537453138</c:v>
                  </c:pt>
                  <c:pt idx="3">
                    <c:v>7.3797787756557636</c:v>
                  </c:pt>
                  <c:pt idx="4">
                    <c:v>32.057501201067602</c:v>
                  </c:pt>
                  <c:pt idx="5">
                    <c:v>2.53733382822189</c:v>
                  </c:pt>
                  <c:pt idx="6">
                    <c:v>3.4479926309987716</c:v>
                  </c:pt>
                  <c:pt idx="7">
                    <c:v>8.9905174495645781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9b, Fig S11'!$E$25:$E$32</c:f>
              <c:numCache>
                <c:formatCode>General</c:formatCode>
                <c:ptCount val="8"/>
                <c:pt idx="0">
                  <c:v>-10.88</c:v>
                </c:pt>
                <c:pt idx="1">
                  <c:v>49.12</c:v>
                </c:pt>
                <c:pt idx="2">
                  <c:v>86.240000000000009</c:v>
                </c:pt>
                <c:pt idx="3">
                  <c:v>92.16</c:v>
                </c:pt>
                <c:pt idx="4">
                  <c:v>61.12</c:v>
                </c:pt>
                <c:pt idx="5">
                  <c:v>73.44</c:v>
                </c:pt>
                <c:pt idx="6">
                  <c:v>87.36</c:v>
                </c:pt>
                <c:pt idx="7">
                  <c:v>95.52000000000001</c:v>
                </c:pt>
              </c:numCache>
            </c:numRef>
          </c:xVal>
          <c:yVal>
            <c:numRef>
              <c:f>'Fig 9b, Fig S11'!$F$25:$F$32</c:f>
              <c:numCache>
                <c:formatCode>General</c:formatCode>
                <c:ptCount val="8"/>
                <c:pt idx="0">
                  <c:v>10.237824598179161</c:v>
                </c:pt>
                <c:pt idx="1">
                  <c:v>13.351137297923346</c:v>
                </c:pt>
                <c:pt idx="2">
                  <c:v>19.881210639994741</c:v>
                </c:pt>
                <c:pt idx="3">
                  <c:v>19.412075226372309</c:v>
                </c:pt>
                <c:pt idx="4">
                  <c:v>16.911141885572818</c:v>
                </c:pt>
                <c:pt idx="5">
                  <c:v>18.128884550780743</c:v>
                </c:pt>
                <c:pt idx="6">
                  <c:v>21.622957822356412</c:v>
                </c:pt>
                <c:pt idx="7">
                  <c:v>17.254823892650599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A-4849-8D1A-9709E816937D}"/>
            </c:ext>
          </c:extLst>
        </c:ser>
        <c:ser>
          <c:idx val="1"/>
          <c:order val="1"/>
          <c:tx>
            <c:strRef>
              <c:f>'Fig 9b, Fig S11'!$B$25</c:f>
              <c:strCache>
                <c:ptCount val="1"/>
                <c:pt idx="0">
                  <c:v>conventional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S11'!$E$25</c:f>
              <c:numCache>
                <c:formatCode>General</c:formatCode>
                <c:ptCount val="1"/>
                <c:pt idx="0">
                  <c:v>-10.88</c:v>
                </c:pt>
              </c:numCache>
            </c:numRef>
          </c:xVal>
          <c:yVal>
            <c:numRef>
              <c:f>'Fig 9b, Fig S11'!$F$25</c:f>
              <c:numCache>
                <c:formatCode>General</c:formatCode>
                <c:ptCount val="1"/>
                <c:pt idx="0">
                  <c:v>10.237824598179161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1A-4849-8D1A-9709E816937D}"/>
            </c:ext>
          </c:extLst>
        </c:ser>
        <c:ser>
          <c:idx val="2"/>
          <c:order val="2"/>
          <c:tx>
            <c:strRef>
              <c:f>'Fig 9b, Fig S11'!$B$26</c:f>
              <c:strCache>
                <c:ptCount val="1"/>
                <c:pt idx="0">
                  <c:v>150 mg/L 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S11'!$E$26</c:f>
              <c:numCache>
                <c:formatCode>General</c:formatCode>
                <c:ptCount val="1"/>
                <c:pt idx="0">
                  <c:v>49.12</c:v>
                </c:pt>
              </c:numCache>
            </c:numRef>
          </c:xVal>
          <c:yVal>
            <c:numRef>
              <c:f>'Fig 9b, Fig S11'!$F$26</c:f>
              <c:numCache>
                <c:formatCode>General</c:formatCode>
                <c:ptCount val="1"/>
                <c:pt idx="0">
                  <c:v>13.351137297923346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1A-4849-8D1A-9709E816937D}"/>
            </c:ext>
          </c:extLst>
        </c:ser>
        <c:ser>
          <c:idx val="3"/>
          <c:order val="3"/>
          <c:tx>
            <c:strRef>
              <c:f>'Fig 9b, Fig S11'!$B$27</c:f>
              <c:strCache>
                <c:ptCount val="1"/>
                <c:pt idx="0">
                  <c:v>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S11'!$E$27</c:f>
              <c:numCache>
                <c:formatCode>General</c:formatCode>
                <c:ptCount val="1"/>
                <c:pt idx="0">
                  <c:v>86.240000000000009</c:v>
                </c:pt>
              </c:numCache>
            </c:numRef>
          </c:xVal>
          <c:yVal>
            <c:numRef>
              <c:f>'Fig 9b, Fig S11'!$F$27</c:f>
              <c:numCache>
                <c:formatCode>General</c:formatCode>
                <c:ptCount val="1"/>
                <c:pt idx="0">
                  <c:v>19.881210639994741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1A-4849-8D1A-9709E816937D}"/>
            </c:ext>
          </c:extLst>
        </c:ser>
        <c:ser>
          <c:idx val="4"/>
          <c:order val="4"/>
          <c:tx>
            <c:strRef>
              <c:f>'Fig 9b, Fig S11'!$B$28</c:f>
              <c:strCache>
                <c:ptCount val="1"/>
                <c:pt idx="0">
                  <c:v>150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S11'!$E$28</c:f>
              <c:numCache>
                <c:formatCode>General</c:formatCode>
                <c:ptCount val="1"/>
                <c:pt idx="0">
                  <c:v>92.16</c:v>
                </c:pt>
              </c:numCache>
            </c:numRef>
          </c:xVal>
          <c:yVal>
            <c:numRef>
              <c:f>'Fig 9b, Fig S11'!$F$28</c:f>
              <c:numCache>
                <c:formatCode>General</c:formatCode>
                <c:ptCount val="1"/>
                <c:pt idx="0">
                  <c:v>19.412075226372309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1A-4849-8D1A-9709E816937D}"/>
            </c:ext>
          </c:extLst>
        </c:ser>
        <c:ser>
          <c:idx val="5"/>
          <c:order val="5"/>
          <c:tx>
            <c:strRef>
              <c:f>'Fig 9b, Fig S11'!$B$29</c:f>
              <c:strCache>
                <c:ptCount val="1"/>
                <c:pt idx="0">
                  <c:v>conv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S11'!$E$29</c:f>
              <c:numCache>
                <c:formatCode>General</c:formatCode>
                <c:ptCount val="1"/>
                <c:pt idx="0">
                  <c:v>61.12</c:v>
                </c:pt>
              </c:numCache>
            </c:numRef>
          </c:xVal>
          <c:yVal>
            <c:numRef>
              <c:f>'Fig 9b, Fig S11'!$F$29</c:f>
              <c:numCache>
                <c:formatCode>General</c:formatCode>
                <c:ptCount val="1"/>
                <c:pt idx="0">
                  <c:v>16.911141885572818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1A-4849-8D1A-9709E816937D}"/>
            </c:ext>
          </c:extLst>
        </c:ser>
        <c:ser>
          <c:idx val="6"/>
          <c:order val="6"/>
          <c:tx>
            <c:strRef>
              <c:f>'Fig 9b, Fig S11'!$B$30</c:f>
              <c:strCache>
                <c:ptCount val="1"/>
                <c:pt idx="0">
                  <c:v>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S11'!$E$30</c:f>
              <c:numCache>
                <c:formatCode>General</c:formatCode>
                <c:ptCount val="1"/>
                <c:pt idx="0">
                  <c:v>73.44</c:v>
                </c:pt>
              </c:numCache>
            </c:numRef>
          </c:xVal>
          <c:yVal>
            <c:numRef>
              <c:f>'Fig 9b, Fig S11'!$F$30</c:f>
              <c:numCache>
                <c:formatCode>General</c:formatCode>
                <c:ptCount val="1"/>
                <c:pt idx="0">
                  <c:v>18.128884550780743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1A-4849-8D1A-9709E816937D}"/>
            </c:ext>
          </c:extLst>
        </c:ser>
        <c:ser>
          <c:idx val="7"/>
          <c:order val="7"/>
          <c:tx>
            <c:strRef>
              <c:f>'Fig 9b, Fig S11'!$B$31</c:f>
              <c:strCache>
                <c:ptCount val="1"/>
                <c:pt idx="0">
                  <c:v>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S11'!$E$31</c:f>
              <c:numCache>
                <c:formatCode>General</c:formatCode>
                <c:ptCount val="1"/>
                <c:pt idx="0">
                  <c:v>87.36</c:v>
                </c:pt>
              </c:numCache>
            </c:numRef>
          </c:xVal>
          <c:yVal>
            <c:numRef>
              <c:f>'Fig 9b, Fig S11'!$F$31</c:f>
              <c:numCache>
                <c:formatCode>General</c:formatCode>
                <c:ptCount val="1"/>
                <c:pt idx="0">
                  <c:v>21.622957822356412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B1A-4849-8D1A-9709E816937D}"/>
            </c:ext>
          </c:extLst>
        </c:ser>
        <c:ser>
          <c:idx val="8"/>
          <c:order val="8"/>
          <c:tx>
            <c:strRef>
              <c:f>'Fig 9b, Fig S11'!$B$32</c:f>
              <c:strCache>
                <c:ptCount val="1"/>
                <c:pt idx="0">
                  <c:v>150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S11'!$E$32</c:f>
              <c:numCache>
                <c:formatCode>General</c:formatCode>
                <c:ptCount val="1"/>
                <c:pt idx="0">
                  <c:v>95.52000000000001</c:v>
                </c:pt>
              </c:numCache>
            </c:numRef>
          </c:xVal>
          <c:yVal>
            <c:numRef>
              <c:f>'Fig 9b, Fig S11'!$F$32</c:f>
              <c:numCache>
                <c:formatCode>General</c:formatCode>
                <c:ptCount val="1"/>
                <c:pt idx="0">
                  <c:v>17.254823892650599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B1A-4849-8D1A-9709E816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702288"/>
        <c:axId val="1191975968"/>
      </c:scatterChart>
      <c:valAx>
        <c:axId val="1125702288"/>
        <c:scaling>
          <c:orientation val="minMax"/>
          <c:max val="100"/>
          <c:min val="-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</a:t>
                </a:r>
                <a:r>
                  <a:rPr lang="en-US" sz="800" b="1" baseline="0"/>
                  <a:t> removal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1975968"/>
        <c:crosses val="autoZero"/>
        <c:crossBetween val="midCat"/>
        <c:majorUnit val="20"/>
      </c:valAx>
      <c:valAx>
        <c:axId val="1191975968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total</a:t>
                </a:r>
                <a:r>
                  <a:rPr lang="en-US" sz="800" b="1" baseline="0"/>
                  <a:t> metal removal (%)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70228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5648148148149"/>
          <c:y val="4.1861781758473625E-2"/>
          <c:w val="0.78785277777777774"/>
          <c:h val="0.788544354579088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sq">
                <a:solidFill>
                  <a:schemeClr val="bg2">
                    <a:lumMod val="50000"/>
                  </a:schemeClr>
                </a:solidFill>
                <a:prstDash val="dash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084655135604717"/>
                  <c:y val="0.44274623407445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'Fig 9b, Fig S11'!$I$35:$I$42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plus>
            <c:minus>
              <c:numRef>
                <c:f>'Fig 9b, Fig S11'!$I$35:$I$42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'Fig 9b, Fig S11'!$G$35:$G$42</c:f>
                <c:numCache>
                  <c:formatCode>General</c:formatCode>
                  <c:ptCount val="8"/>
                  <c:pt idx="0">
                    <c:v>3.5077972641405575</c:v>
                  </c:pt>
                  <c:pt idx="1">
                    <c:v>5.6398213457360953</c:v>
                  </c:pt>
                  <c:pt idx="2">
                    <c:v>4.2495257342679027</c:v>
                  </c:pt>
                  <c:pt idx="3">
                    <c:v>3.6571190262764937</c:v>
                  </c:pt>
                  <c:pt idx="4">
                    <c:v>1.3878925414671364</c:v>
                  </c:pt>
                  <c:pt idx="5">
                    <c:v>4.45264744119571</c:v>
                  </c:pt>
                  <c:pt idx="6">
                    <c:v>0.17616101032326015</c:v>
                  </c:pt>
                  <c:pt idx="7">
                    <c:v>0.33647741461689068</c:v>
                  </c:pt>
                </c:numCache>
              </c:numRef>
            </c:plus>
            <c:minus>
              <c:numRef>
                <c:f>'Fig 9b, Fig S11'!$G$35:$G$42</c:f>
                <c:numCache>
                  <c:formatCode>General</c:formatCode>
                  <c:ptCount val="8"/>
                  <c:pt idx="0">
                    <c:v>3.5077972641405575</c:v>
                  </c:pt>
                  <c:pt idx="1">
                    <c:v>5.6398213457360953</c:v>
                  </c:pt>
                  <c:pt idx="2">
                    <c:v>4.2495257342679027</c:v>
                  </c:pt>
                  <c:pt idx="3">
                    <c:v>3.6571190262764937</c:v>
                  </c:pt>
                  <c:pt idx="4">
                    <c:v>1.3878925414671364</c:v>
                  </c:pt>
                  <c:pt idx="5">
                    <c:v>4.45264744119571</c:v>
                  </c:pt>
                  <c:pt idx="6">
                    <c:v>0.17616101032326015</c:v>
                  </c:pt>
                  <c:pt idx="7">
                    <c:v>0.33647741461689068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9b, Fig S11'!$E$35:$E$42</c:f>
              <c:numCache>
                <c:formatCode>General</c:formatCode>
                <c:ptCount val="8"/>
                <c:pt idx="0">
                  <c:v>-10.88</c:v>
                </c:pt>
                <c:pt idx="1">
                  <c:v>49.12</c:v>
                </c:pt>
                <c:pt idx="2">
                  <c:v>86.240000000000009</c:v>
                </c:pt>
                <c:pt idx="3">
                  <c:v>92.16</c:v>
                </c:pt>
                <c:pt idx="4">
                  <c:v>61.12</c:v>
                </c:pt>
                <c:pt idx="5">
                  <c:v>73.44</c:v>
                </c:pt>
                <c:pt idx="6">
                  <c:v>87.36</c:v>
                </c:pt>
                <c:pt idx="7">
                  <c:v>95.52000000000001</c:v>
                </c:pt>
              </c:numCache>
            </c:numRef>
          </c:xVal>
          <c:yVal>
            <c:numRef>
              <c:f>'Fig 9b, Fig S11'!$F$35:$F$42</c:f>
              <c:numCache>
                <c:formatCode>General</c:formatCode>
                <c:ptCount val="8"/>
                <c:pt idx="0">
                  <c:v>22.554234293833204</c:v>
                </c:pt>
                <c:pt idx="1">
                  <c:v>64.938664536311478</c:v>
                </c:pt>
                <c:pt idx="2">
                  <c:v>66.806933202075754</c:v>
                </c:pt>
                <c:pt idx="3">
                  <c:v>77.090194352075599</c:v>
                </c:pt>
                <c:pt idx="4">
                  <c:v>54.568365707138909</c:v>
                </c:pt>
                <c:pt idx="5">
                  <c:v>69.761222924198663</c:v>
                </c:pt>
                <c:pt idx="6">
                  <c:v>77.643328620229028</c:v>
                </c:pt>
                <c:pt idx="7">
                  <c:v>82.307649122970872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8F-9641-9E86-C9C6015109B8}"/>
            </c:ext>
          </c:extLst>
        </c:ser>
        <c:ser>
          <c:idx val="1"/>
          <c:order val="1"/>
          <c:tx>
            <c:strRef>
              <c:f>'Fig 9b, Fig S11'!$B$35</c:f>
              <c:strCache>
                <c:ptCount val="1"/>
                <c:pt idx="0">
                  <c:v>conventional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S11'!$E$35</c:f>
              <c:numCache>
                <c:formatCode>General</c:formatCode>
                <c:ptCount val="1"/>
                <c:pt idx="0">
                  <c:v>-10.88</c:v>
                </c:pt>
              </c:numCache>
            </c:numRef>
          </c:xVal>
          <c:yVal>
            <c:numRef>
              <c:f>'Fig 9b, Fig S11'!$F$35</c:f>
              <c:numCache>
                <c:formatCode>General</c:formatCode>
                <c:ptCount val="1"/>
                <c:pt idx="0">
                  <c:v>22.554234293833204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8F-9641-9E86-C9C6015109B8}"/>
            </c:ext>
          </c:extLst>
        </c:ser>
        <c:ser>
          <c:idx val="2"/>
          <c:order val="2"/>
          <c:tx>
            <c:strRef>
              <c:f>'Fig 9b, Fig S11'!$B$36</c:f>
              <c:strCache>
                <c:ptCount val="1"/>
                <c:pt idx="0">
                  <c:v>150 mg/L 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S11'!$E$36</c:f>
              <c:numCache>
                <c:formatCode>General</c:formatCode>
                <c:ptCount val="1"/>
                <c:pt idx="0">
                  <c:v>49.12</c:v>
                </c:pt>
              </c:numCache>
            </c:numRef>
          </c:xVal>
          <c:yVal>
            <c:numRef>
              <c:f>'Fig 9b, Fig S11'!$F$36</c:f>
              <c:numCache>
                <c:formatCode>General</c:formatCode>
                <c:ptCount val="1"/>
                <c:pt idx="0">
                  <c:v>64.938664536311478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8F-9641-9E86-C9C6015109B8}"/>
            </c:ext>
          </c:extLst>
        </c:ser>
        <c:ser>
          <c:idx val="3"/>
          <c:order val="3"/>
          <c:tx>
            <c:strRef>
              <c:f>'Fig 9b, Fig S11'!$B$37</c:f>
              <c:strCache>
                <c:ptCount val="1"/>
                <c:pt idx="0">
                  <c:v>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S11'!$E$37</c:f>
              <c:numCache>
                <c:formatCode>General</c:formatCode>
                <c:ptCount val="1"/>
                <c:pt idx="0">
                  <c:v>86.240000000000009</c:v>
                </c:pt>
              </c:numCache>
            </c:numRef>
          </c:xVal>
          <c:yVal>
            <c:numRef>
              <c:f>'Fig 9b, Fig S11'!$F$37</c:f>
              <c:numCache>
                <c:formatCode>General</c:formatCode>
                <c:ptCount val="1"/>
                <c:pt idx="0">
                  <c:v>66.806933202075754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8F-9641-9E86-C9C6015109B8}"/>
            </c:ext>
          </c:extLst>
        </c:ser>
        <c:ser>
          <c:idx val="4"/>
          <c:order val="4"/>
          <c:tx>
            <c:strRef>
              <c:f>'Fig 9b, Fig S11'!$B$38</c:f>
              <c:strCache>
                <c:ptCount val="1"/>
                <c:pt idx="0">
                  <c:v>150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S11'!$E$38</c:f>
              <c:numCache>
                <c:formatCode>General</c:formatCode>
                <c:ptCount val="1"/>
                <c:pt idx="0">
                  <c:v>92.16</c:v>
                </c:pt>
              </c:numCache>
            </c:numRef>
          </c:xVal>
          <c:yVal>
            <c:numRef>
              <c:f>'Fig 9b, Fig S11'!$F$38</c:f>
              <c:numCache>
                <c:formatCode>General</c:formatCode>
                <c:ptCount val="1"/>
                <c:pt idx="0">
                  <c:v>77.090194352075599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8F-9641-9E86-C9C6015109B8}"/>
            </c:ext>
          </c:extLst>
        </c:ser>
        <c:ser>
          <c:idx val="5"/>
          <c:order val="5"/>
          <c:tx>
            <c:strRef>
              <c:f>'Fig 9b, Fig S11'!$B$39</c:f>
              <c:strCache>
                <c:ptCount val="1"/>
                <c:pt idx="0">
                  <c:v>conv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S11'!$E$39</c:f>
              <c:numCache>
                <c:formatCode>General</c:formatCode>
                <c:ptCount val="1"/>
                <c:pt idx="0">
                  <c:v>61.12</c:v>
                </c:pt>
              </c:numCache>
            </c:numRef>
          </c:xVal>
          <c:yVal>
            <c:numRef>
              <c:f>'Fig 9b, Fig S11'!$F$39</c:f>
              <c:numCache>
                <c:formatCode>General</c:formatCode>
                <c:ptCount val="1"/>
                <c:pt idx="0">
                  <c:v>54.568365707138909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8F-9641-9E86-C9C6015109B8}"/>
            </c:ext>
          </c:extLst>
        </c:ser>
        <c:ser>
          <c:idx val="6"/>
          <c:order val="6"/>
          <c:tx>
            <c:strRef>
              <c:f>'Fig 9b, Fig S11'!$B$40</c:f>
              <c:strCache>
                <c:ptCount val="1"/>
                <c:pt idx="0">
                  <c:v>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S11'!$E$40</c:f>
              <c:numCache>
                <c:formatCode>General</c:formatCode>
                <c:ptCount val="1"/>
                <c:pt idx="0">
                  <c:v>73.44</c:v>
                </c:pt>
              </c:numCache>
            </c:numRef>
          </c:xVal>
          <c:yVal>
            <c:numRef>
              <c:f>'Fig 9b, Fig S11'!$F$40</c:f>
              <c:numCache>
                <c:formatCode>General</c:formatCode>
                <c:ptCount val="1"/>
                <c:pt idx="0">
                  <c:v>69.761222924198663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8F-9641-9E86-C9C6015109B8}"/>
            </c:ext>
          </c:extLst>
        </c:ser>
        <c:ser>
          <c:idx val="7"/>
          <c:order val="7"/>
          <c:tx>
            <c:strRef>
              <c:f>'Fig 9b, Fig S11'!$B$41</c:f>
              <c:strCache>
                <c:ptCount val="1"/>
                <c:pt idx="0">
                  <c:v>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S11'!$E$41</c:f>
              <c:numCache>
                <c:formatCode>General</c:formatCode>
                <c:ptCount val="1"/>
                <c:pt idx="0">
                  <c:v>87.36</c:v>
                </c:pt>
              </c:numCache>
            </c:numRef>
          </c:xVal>
          <c:yVal>
            <c:numRef>
              <c:f>'Fig 9b, Fig S11'!$F$41</c:f>
              <c:numCache>
                <c:formatCode>General</c:formatCode>
                <c:ptCount val="1"/>
                <c:pt idx="0">
                  <c:v>77.643328620229028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C8F-9641-9E86-C9C6015109B8}"/>
            </c:ext>
          </c:extLst>
        </c:ser>
        <c:ser>
          <c:idx val="8"/>
          <c:order val="8"/>
          <c:tx>
            <c:strRef>
              <c:f>'Fig 9b, Fig S11'!$B$42</c:f>
              <c:strCache>
                <c:ptCount val="1"/>
                <c:pt idx="0">
                  <c:v>150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S11'!$E$42</c:f>
              <c:numCache>
                <c:formatCode>General</c:formatCode>
                <c:ptCount val="1"/>
                <c:pt idx="0">
                  <c:v>95.52000000000001</c:v>
                </c:pt>
              </c:numCache>
            </c:numRef>
          </c:xVal>
          <c:yVal>
            <c:numRef>
              <c:f>'Fig 9b, Fig S11'!$F$42</c:f>
              <c:numCache>
                <c:formatCode>General</c:formatCode>
                <c:ptCount val="1"/>
                <c:pt idx="0">
                  <c:v>82.307649122970872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8F-9641-9E86-C9C601510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702288"/>
        <c:axId val="1191975968"/>
      </c:scatterChart>
      <c:valAx>
        <c:axId val="1125702288"/>
        <c:scaling>
          <c:orientation val="minMax"/>
          <c:max val="100"/>
          <c:min val="-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</a:t>
                </a:r>
                <a:r>
                  <a:rPr lang="en-US" sz="800" b="1" baseline="0"/>
                  <a:t> removal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1975968"/>
        <c:crosses val="autoZero"/>
        <c:crossBetween val="midCat"/>
        <c:majorUnit val="20"/>
      </c:valAx>
      <c:valAx>
        <c:axId val="1191975968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total</a:t>
                </a:r>
                <a:r>
                  <a:rPr lang="en-US" sz="800" b="1" baseline="0"/>
                  <a:t> metal removal (%)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70228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5648148148149"/>
          <c:y val="4.1861781758473625E-2"/>
          <c:w val="0.78785277777777774"/>
          <c:h val="0.788544354579088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sq">
                <a:solidFill>
                  <a:schemeClr val="bg2">
                    <a:lumMod val="50000"/>
                  </a:schemeClr>
                </a:solidFill>
                <a:prstDash val="dash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806466282926792"/>
                  <c:y val="0.490488158048033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'Fig 9b, Fig S11'!$I$45:$I$52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plus>
            <c:minus>
              <c:numRef>
                <c:f>'Fig 9b, Fig S11'!$I$45:$I$52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'Fig 9b, Fig S11'!$G$45:$G$52</c:f>
                <c:numCache>
                  <c:formatCode>General</c:formatCode>
                  <c:ptCount val="8"/>
                  <c:pt idx="0">
                    <c:v>3.574413903341763</c:v>
                  </c:pt>
                  <c:pt idx="1">
                    <c:v>4.8013658264081318</c:v>
                  </c:pt>
                  <c:pt idx="2">
                    <c:v>6.747886826292901</c:v>
                  </c:pt>
                  <c:pt idx="3">
                    <c:v>7.1063231250528975</c:v>
                  </c:pt>
                  <c:pt idx="4">
                    <c:v>2.4742858549279418</c:v>
                  </c:pt>
                  <c:pt idx="5">
                    <c:v>6.6237325253925379</c:v>
                  </c:pt>
                  <c:pt idx="6">
                    <c:v>3.2788974857809379</c:v>
                  </c:pt>
                  <c:pt idx="7">
                    <c:v>1.178952426823626</c:v>
                  </c:pt>
                </c:numCache>
              </c:numRef>
            </c:plus>
            <c:minus>
              <c:numRef>
                <c:f>'Fig 9b, Fig S11'!$G$45:$G$52</c:f>
                <c:numCache>
                  <c:formatCode>General</c:formatCode>
                  <c:ptCount val="8"/>
                  <c:pt idx="0">
                    <c:v>3.574413903341763</c:v>
                  </c:pt>
                  <c:pt idx="1">
                    <c:v>4.8013658264081318</c:v>
                  </c:pt>
                  <c:pt idx="2">
                    <c:v>6.747886826292901</c:v>
                  </c:pt>
                  <c:pt idx="3">
                    <c:v>7.1063231250528975</c:v>
                  </c:pt>
                  <c:pt idx="4">
                    <c:v>2.4742858549279418</c:v>
                  </c:pt>
                  <c:pt idx="5">
                    <c:v>6.6237325253925379</c:v>
                  </c:pt>
                  <c:pt idx="6">
                    <c:v>3.2788974857809379</c:v>
                  </c:pt>
                  <c:pt idx="7">
                    <c:v>1.178952426823626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9b, Fig S11'!$E$45:$E$52</c:f>
              <c:numCache>
                <c:formatCode>General</c:formatCode>
                <c:ptCount val="8"/>
                <c:pt idx="0">
                  <c:v>-10.88</c:v>
                </c:pt>
                <c:pt idx="1">
                  <c:v>49.12</c:v>
                </c:pt>
                <c:pt idx="2">
                  <c:v>86.240000000000009</c:v>
                </c:pt>
                <c:pt idx="3">
                  <c:v>92.16</c:v>
                </c:pt>
                <c:pt idx="4">
                  <c:v>61.12</c:v>
                </c:pt>
                <c:pt idx="5">
                  <c:v>73.44</c:v>
                </c:pt>
                <c:pt idx="6">
                  <c:v>87.36</c:v>
                </c:pt>
                <c:pt idx="7">
                  <c:v>95.52000000000001</c:v>
                </c:pt>
              </c:numCache>
            </c:numRef>
          </c:xVal>
          <c:yVal>
            <c:numRef>
              <c:f>'Fig 9b, Fig S11'!$F$45:$F$52</c:f>
              <c:numCache>
                <c:formatCode>General</c:formatCode>
                <c:ptCount val="8"/>
                <c:pt idx="0">
                  <c:v>11.597632274850518</c:v>
                </c:pt>
                <c:pt idx="1">
                  <c:v>63.047248444936535</c:v>
                </c:pt>
                <c:pt idx="2">
                  <c:v>63.059292421186555</c:v>
                </c:pt>
                <c:pt idx="3">
                  <c:v>78.615296054504853</c:v>
                </c:pt>
                <c:pt idx="4">
                  <c:v>48.946225261183166</c:v>
                </c:pt>
                <c:pt idx="5">
                  <c:v>65.46315990185434</c:v>
                </c:pt>
                <c:pt idx="6">
                  <c:v>80.244421794375867</c:v>
                </c:pt>
                <c:pt idx="7">
                  <c:v>86.644404607084709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9A-EC41-916D-9061F84A697C}"/>
            </c:ext>
          </c:extLst>
        </c:ser>
        <c:ser>
          <c:idx val="1"/>
          <c:order val="1"/>
          <c:tx>
            <c:strRef>
              <c:f>'Fig 9b, Fig S11'!$B$45</c:f>
              <c:strCache>
                <c:ptCount val="1"/>
                <c:pt idx="0">
                  <c:v>conventional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S11'!$E$45</c:f>
              <c:numCache>
                <c:formatCode>General</c:formatCode>
                <c:ptCount val="1"/>
                <c:pt idx="0">
                  <c:v>-10.88</c:v>
                </c:pt>
              </c:numCache>
            </c:numRef>
          </c:xVal>
          <c:yVal>
            <c:numRef>
              <c:f>'Fig 9b, Fig S11'!$F$45</c:f>
              <c:numCache>
                <c:formatCode>General</c:formatCode>
                <c:ptCount val="1"/>
                <c:pt idx="0">
                  <c:v>11.597632274850518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9A-EC41-916D-9061F84A697C}"/>
            </c:ext>
          </c:extLst>
        </c:ser>
        <c:ser>
          <c:idx val="2"/>
          <c:order val="2"/>
          <c:tx>
            <c:strRef>
              <c:f>'Fig 9b, Fig S11'!$B$46</c:f>
              <c:strCache>
                <c:ptCount val="1"/>
                <c:pt idx="0">
                  <c:v>150 mg/L 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S11'!$E$46</c:f>
              <c:numCache>
                <c:formatCode>General</c:formatCode>
                <c:ptCount val="1"/>
                <c:pt idx="0">
                  <c:v>49.12</c:v>
                </c:pt>
              </c:numCache>
            </c:numRef>
          </c:xVal>
          <c:yVal>
            <c:numRef>
              <c:f>'Fig 9b, Fig S11'!$F$46</c:f>
              <c:numCache>
                <c:formatCode>General</c:formatCode>
                <c:ptCount val="1"/>
                <c:pt idx="0">
                  <c:v>63.047248444936535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9A-EC41-916D-9061F84A697C}"/>
            </c:ext>
          </c:extLst>
        </c:ser>
        <c:ser>
          <c:idx val="3"/>
          <c:order val="3"/>
          <c:tx>
            <c:strRef>
              <c:f>'Fig 9b, Fig S11'!$B$47</c:f>
              <c:strCache>
                <c:ptCount val="1"/>
                <c:pt idx="0">
                  <c:v>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S11'!$E$47</c:f>
              <c:numCache>
                <c:formatCode>General</c:formatCode>
                <c:ptCount val="1"/>
                <c:pt idx="0">
                  <c:v>86.240000000000009</c:v>
                </c:pt>
              </c:numCache>
            </c:numRef>
          </c:xVal>
          <c:yVal>
            <c:numRef>
              <c:f>'Fig 9b, Fig S11'!$F$47</c:f>
              <c:numCache>
                <c:formatCode>General</c:formatCode>
                <c:ptCount val="1"/>
                <c:pt idx="0">
                  <c:v>63.059292421186555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9A-EC41-916D-9061F84A697C}"/>
            </c:ext>
          </c:extLst>
        </c:ser>
        <c:ser>
          <c:idx val="4"/>
          <c:order val="4"/>
          <c:tx>
            <c:strRef>
              <c:f>'Fig 9b, Fig S11'!$B$48</c:f>
              <c:strCache>
                <c:ptCount val="1"/>
                <c:pt idx="0">
                  <c:v>150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S11'!$E$48</c:f>
              <c:numCache>
                <c:formatCode>General</c:formatCode>
                <c:ptCount val="1"/>
                <c:pt idx="0">
                  <c:v>92.16</c:v>
                </c:pt>
              </c:numCache>
            </c:numRef>
          </c:xVal>
          <c:yVal>
            <c:numRef>
              <c:f>'Fig 9b, Fig S11'!$F$48</c:f>
              <c:numCache>
                <c:formatCode>General</c:formatCode>
                <c:ptCount val="1"/>
                <c:pt idx="0">
                  <c:v>78.615296054504853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9A-EC41-916D-9061F84A697C}"/>
            </c:ext>
          </c:extLst>
        </c:ser>
        <c:ser>
          <c:idx val="5"/>
          <c:order val="5"/>
          <c:tx>
            <c:strRef>
              <c:f>'Fig 9b, Fig S11'!$B$49</c:f>
              <c:strCache>
                <c:ptCount val="1"/>
                <c:pt idx="0">
                  <c:v>conv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S11'!$E$49</c:f>
              <c:numCache>
                <c:formatCode>General</c:formatCode>
                <c:ptCount val="1"/>
                <c:pt idx="0">
                  <c:v>61.12</c:v>
                </c:pt>
              </c:numCache>
            </c:numRef>
          </c:xVal>
          <c:yVal>
            <c:numRef>
              <c:f>'Fig 9b, Fig S11'!$F$49</c:f>
              <c:numCache>
                <c:formatCode>General</c:formatCode>
                <c:ptCount val="1"/>
                <c:pt idx="0">
                  <c:v>48.946225261183166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49A-EC41-916D-9061F84A697C}"/>
            </c:ext>
          </c:extLst>
        </c:ser>
        <c:ser>
          <c:idx val="6"/>
          <c:order val="6"/>
          <c:tx>
            <c:strRef>
              <c:f>'Fig 9b, Fig S11'!$B$50</c:f>
              <c:strCache>
                <c:ptCount val="1"/>
                <c:pt idx="0">
                  <c:v>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S11'!$E$50</c:f>
              <c:numCache>
                <c:formatCode>General</c:formatCode>
                <c:ptCount val="1"/>
                <c:pt idx="0">
                  <c:v>73.44</c:v>
                </c:pt>
              </c:numCache>
            </c:numRef>
          </c:xVal>
          <c:yVal>
            <c:numRef>
              <c:f>'Fig 9b, Fig S11'!$F$50</c:f>
              <c:numCache>
                <c:formatCode>General</c:formatCode>
                <c:ptCount val="1"/>
                <c:pt idx="0">
                  <c:v>65.46315990185434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49A-EC41-916D-9061F84A697C}"/>
            </c:ext>
          </c:extLst>
        </c:ser>
        <c:ser>
          <c:idx val="7"/>
          <c:order val="7"/>
          <c:tx>
            <c:strRef>
              <c:f>'Fig 9b, Fig S11'!$B$51</c:f>
              <c:strCache>
                <c:ptCount val="1"/>
                <c:pt idx="0">
                  <c:v>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S11'!$E$51</c:f>
              <c:numCache>
                <c:formatCode>General</c:formatCode>
                <c:ptCount val="1"/>
                <c:pt idx="0">
                  <c:v>87.36</c:v>
                </c:pt>
              </c:numCache>
            </c:numRef>
          </c:xVal>
          <c:yVal>
            <c:numRef>
              <c:f>'Fig 9b, Fig S11'!$F$51</c:f>
              <c:numCache>
                <c:formatCode>General</c:formatCode>
                <c:ptCount val="1"/>
                <c:pt idx="0">
                  <c:v>80.244421794375867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49A-EC41-916D-9061F84A697C}"/>
            </c:ext>
          </c:extLst>
        </c:ser>
        <c:ser>
          <c:idx val="8"/>
          <c:order val="8"/>
          <c:tx>
            <c:strRef>
              <c:f>'Fig 9b, Fig S11'!$B$52</c:f>
              <c:strCache>
                <c:ptCount val="1"/>
                <c:pt idx="0">
                  <c:v>150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S11'!$E$52</c:f>
              <c:numCache>
                <c:formatCode>General</c:formatCode>
                <c:ptCount val="1"/>
                <c:pt idx="0">
                  <c:v>95.52000000000001</c:v>
                </c:pt>
              </c:numCache>
            </c:numRef>
          </c:xVal>
          <c:yVal>
            <c:numRef>
              <c:f>'Fig 9b, Fig S11'!$F$52</c:f>
              <c:numCache>
                <c:formatCode>General</c:formatCode>
                <c:ptCount val="1"/>
                <c:pt idx="0">
                  <c:v>86.644404607084709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49A-EC41-916D-9061F84A6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702288"/>
        <c:axId val="1191975968"/>
      </c:scatterChart>
      <c:valAx>
        <c:axId val="1125702288"/>
        <c:scaling>
          <c:orientation val="minMax"/>
          <c:max val="100"/>
          <c:min val="-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</a:t>
                </a:r>
                <a:r>
                  <a:rPr lang="en-US" sz="800" b="1" baseline="0"/>
                  <a:t> removal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1975968"/>
        <c:crosses val="autoZero"/>
        <c:crossBetween val="midCat"/>
        <c:majorUnit val="20"/>
      </c:valAx>
      <c:valAx>
        <c:axId val="1191975968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total</a:t>
                </a:r>
                <a:r>
                  <a:rPr lang="en-US" sz="800" b="1" baseline="0"/>
                  <a:t> metal removal (%)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70228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5648148148149"/>
          <c:y val="4.1861781758473625E-2"/>
          <c:w val="0.78785277777777774"/>
          <c:h val="0.788544354579088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sq">
                <a:solidFill>
                  <a:schemeClr val="bg2">
                    <a:lumMod val="50000"/>
                  </a:schemeClr>
                </a:solidFill>
                <a:prstDash val="dash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931886481800818"/>
                  <c:y val="0.474830805040681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'Fig 9b, Fig S11'!$I$55:$I$62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plus>
            <c:minus>
              <c:numRef>
                <c:f>'Fig 9b, Fig S11'!$I$55:$I$62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'Fig 9b, Fig S11'!$G$55:$G$62</c:f>
                <c:numCache>
                  <c:formatCode>General</c:formatCode>
                  <c:ptCount val="8"/>
                  <c:pt idx="0">
                    <c:v>6.3795956311210489</c:v>
                  </c:pt>
                  <c:pt idx="1">
                    <c:v>5.7517574228055901</c:v>
                  </c:pt>
                  <c:pt idx="2">
                    <c:v>4.8931325135699604</c:v>
                  </c:pt>
                  <c:pt idx="3">
                    <c:v>4.0196218280019131</c:v>
                  </c:pt>
                  <c:pt idx="4">
                    <c:v>0.54029376637394755</c:v>
                  </c:pt>
                  <c:pt idx="5">
                    <c:v>4.2714470303149064</c:v>
                  </c:pt>
                  <c:pt idx="6">
                    <c:v>1.1524139129315163</c:v>
                  </c:pt>
                  <c:pt idx="7">
                    <c:v>23.039925238992144</c:v>
                  </c:pt>
                </c:numCache>
              </c:numRef>
            </c:plus>
            <c:minus>
              <c:numRef>
                <c:f>'Fig 9b, Fig S11'!$G$55:$G$62</c:f>
                <c:numCache>
                  <c:formatCode>General</c:formatCode>
                  <c:ptCount val="8"/>
                  <c:pt idx="0">
                    <c:v>6.3795956311210489</c:v>
                  </c:pt>
                  <c:pt idx="1">
                    <c:v>5.7517574228055901</c:v>
                  </c:pt>
                  <c:pt idx="2">
                    <c:v>4.8931325135699604</c:v>
                  </c:pt>
                  <c:pt idx="3">
                    <c:v>4.0196218280019131</c:v>
                  </c:pt>
                  <c:pt idx="4">
                    <c:v>0.54029376637394755</c:v>
                  </c:pt>
                  <c:pt idx="5">
                    <c:v>4.2714470303149064</c:v>
                  </c:pt>
                  <c:pt idx="6">
                    <c:v>1.1524139129315163</c:v>
                  </c:pt>
                  <c:pt idx="7">
                    <c:v>23.039925238992144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9b, Fig S11'!$E$55:$E$62</c:f>
              <c:numCache>
                <c:formatCode>General</c:formatCode>
                <c:ptCount val="8"/>
                <c:pt idx="0">
                  <c:v>-10.88</c:v>
                </c:pt>
                <c:pt idx="1">
                  <c:v>49.12</c:v>
                </c:pt>
                <c:pt idx="2">
                  <c:v>86.240000000000009</c:v>
                </c:pt>
                <c:pt idx="3">
                  <c:v>92.16</c:v>
                </c:pt>
                <c:pt idx="4">
                  <c:v>61.12</c:v>
                </c:pt>
                <c:pt idx="5">
                  <c:v>73.44</c:v>
                </c:pt>
                <c:pt idx="6">
                  <c:v>87.36</c:v>
                </c:pt>
                <c:pt idx="7">
                  <c:v>95.52000000000001</c:v>
                </c:pt>
              </c:numCache>
            </c:numRef>
          </c:xVal>
          <c:yVal>
            <c:numRef>
              <c:f>'Fig 9b, Fig S11'!$F$55:$F$62</c:f>
              <c:numCache>
                <c:formatCode>General</c:formatCode>
                <c:ptCount val="8"/>
                <c:pt idx="0">
                  <c:v>19.398022098281722</c:v>
                </c:pt>
                <c:pt idx="1">
                  <c:v>68.571555601994987</c:v>
                </c:pt>
                <c:pt idx="2">
                  <c:v>71.291016496349627</c:v>
                </c:pt>
                <c:pt idx="3">
                  <c:v>83.023787270923805</c:v>
                </c:pt>
                <c:pt idx="4">
                  <c:v>55.447555312590232</c:v>
                </c:pt>
                <c:pt idx="5">
                  <c:v>74.221897350497784</c:v>
                </c:pt>
                <c:pt idx="6">
                  <c:v>84.453086998040433</c:v>
                </c:pt>
                <c:pt idx="7">
                  <c:v>85.871697047082975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C1-4F4B-82B9-D35452CC9829}"/>
            </c:ext>
          </c:extLst>
        </c:ser>
        <c:ser>
          <c:idx val="1"/>
          <c:order val="1"/>
          <c:tx>
            <c:strRef>
              <c:f>'Fig 9b, Fig S11'!$B$55</c:f>
              <c:strCache>
                <c:ptCount val="1"/>
                <c:pt idx="0">
                  <c:v>conventional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S11'!$E$55</c:f>
              <c:numCache>
                <c:formatCode>General</c:formatCode>
                <c:ptCount val="1"/>
                <c:pt idx="0">
                  <c:v>-10.88</c:v>
                </c:pt>
              </c:numCache>
            </c:numRef>
          </c:xVal>
          <c:yVal>
            <c:numRef>
              <c:f>'Fig 9b, Fig S11'!$F$55</c:f>
              <c:numCache>
                <c:formatCode>General</c:formatCode>
                <c:ptCount val="1"/>
                <c:pt idx="0">
                  <c:v>19.398022098281722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C1-4F4B-82B9-D35452CC9829}"/>
            </c:ext>
          </c:extLst>
        </c:ser>
        <c:ser>
          <c:idx val="2"/>
          <c:order val="2"/>
          <c:tx>
            <c:strRef>
              <c:f>'Fig 9b, Fig S11'!$B$56</c:f>
              <c:strCache>
                <c:ptCount val="1"/>
                <c:pt idx="0">
                  <c:v>150 mg/L 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S11'!$E$56</c:f>
              <c:numCache>
                <c:formatCode>General</c:formatCode>
                <c:ptCount val="1"/>
                <c:pt idx="0">
                  <c:v>49.12</c:v>
                </c:pt>
              </c:numCache>
            </c:numRef>
          </c:xVal>
          <c:yVal>
            <c:numRef>
              <c:f>'Fig 9b, Fig S11'!$F$56</c:f>
              <c:numCache>
                <c:formatCode>General</c:formatCode>
                <c:ptCount val="1"/>
                <c:pt idx="0">
                  <c:v>68.571555601994987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C1-4F4B-82B9-D35452CC9829}"/>
            </c:ext>
          </c:extLst>
        </c:ser>
        <c:ser>
          <c:idx val="3"/>
          <c:order val="3"/>
          <c:tx>
            <c:strRef>
              <c:f>'Fig 9b, Fig S11'!$B$57</c:f>
              <c:strCache>
                <c:ptCount val="1"/>
                <c:pt idx="0">
                  <c:v>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S11'!$E$57</c:f>
              <c:numCache>
                <c:formatCode>General</c:formatCode>
                <c:ptCount val="1"/>
                <c:pt idx="0">
                  <c:v>86.240000000000009</c:v>
                </c:pt>
              </c:numCache>
            </c:numRef>
          </c:xVal>
          <c:yVal>
            <c:numRef>
              <c:f>'Fig 9b, Fig S11'!$F$57</c:f>
              <c:numCache>
                <c:formatCode>General</c:formatCode>
                <c:ptCount val="1"/>
                <c:pt idx="0">
                  <c:v>71.291016496349627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C1-4F4B-82B9-D35452CC9829}"/>
            </c:ext>
          </c:extLst>
        </c:ser>
        <c:ser>
          <c:idx val="4"/>
          <c:order val="4"/>
          <c:tx>
            <c:strRef>
              <c:f>'Fig 9b, Fig S11'!$B$58</c:f>
              <c:strCache>
                <c:ptCount val="1"/>
                <c:pt idx="0">
                  <c:v>150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S11'!$E$58</c:f>
              <c:numCache>
                <c:formatCode>General</c:formatCode>
                <c:ptCount val="1"/>
                <c:pt idx="0">
                  <c:v>92.16</c:v>
                </c:pt>
              </c:numCache>
            </c:numRef>
          </c:xVal>
          <c:yVal>
            <c:numRef>
              <c:f>'Fig 9b, Fig S11'!$F$58</c:f>
              <c:numCache>
                <c:formatCode>General</c:formatCode>
                <c:ptCount val="1"/>
                <c:pt idx="0">
                  <c:v>83.023787270923805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C1-4F4B-82B9-D35452CC9829}"/>
            </c:ext>
          </c:extLst>
        </c:ser>
        <c:ser>
          <c:idx val="5"/>
          <c:order val="5"/>
          <c:tx>
            <c:strRef>
              <c:f>'Fig 9b, Fig S11'!$B$59</c:f>
              <c:strCache>
                <c:ptCount val="1"/>
                <c:pt idx="0">
                  <c:v>conv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S11'!$E$59</c:f>
              <c:numCache>
                <c:formatCode>General</c:formatCode>
                <c:ptCount val="1"/>
                <c:pt idx="0">
                  <c:v>61.12</c:v>
                </c:pt>
              </c:numCache>
            </c:numRef>
          </c:xVal>
          <c:yVal>
            <c:numRef>
              <c:f>'Fig 9b, Fig S11'!$F$59</c:f>
              <c:numCache>
                <c:formatCode>General</c:formatCode>
                <c:ptCount val="1"/>
                <c:pt idx="0">
                  <c:v>55.447555312590232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C1-4F4B-82B9-D35452CC9829}"/>
            </c:ext>
          </c:extLst>
        </c:ser>
        <c:ser>
          <c:idx val="6"/>
          <c:order val="6"/>
          <c:tx>
            <c:strRef>
              <c:f>'Fig 9b, Fig S11'!$B$60</c:f>
              <c:strCache>
                <c:ptCount val="1"/>
                <c:pt idx="0">
                  <c:v>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S11'!$E$60</c:f>
              <c:numCache>
                <c:formatCode>General</c:formatCode>
                <c:ptCount val="1"/>
                <c:pt idx="0">
                  <c:v>73.44</c:v>
                </c:pt>
              </c:numCache>
            </c:numRef>
          </c:xVal>
          <c:yVal>
            <c:numRef>
              <c:f>'Fig 9b, Fig S11'!$F$60</c:f>
              <c:numCache>
                <c:formatCode>General</c:formatCode>
                <c:ptCount val="1"/>
                <c:pt idx="0">
                  <c:v>74.221897350497784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C1-4F4B-82B9-D35452CC9829}"/>
            </c:ext>
          </c:extLst>
        </c:ser>
        <c:ser>
          <c:idx val="7"/>
          <c:order val="7"/>
          <c:tx>
            <c:strRef>
              <c:f>'Fig 9b, Fig S11'!$B$61</c:f>
              <c:strCache>
                <c:ptCount val="1"/>
                <c:pt idx="0">
                  <c:v>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S11'!$E$61</c:f>
              <c:numCache>
                <c:formatCode>General</c:formatCode>
                <c:ptCount val="1"/>
                <c:pt idx="0">
                  <c:v>87.36</c:v>
                </c:pt>
              </c:numCache>
            </c:numRef>
          </c:xVal>
          <c:yVal>
            <c:numRef>
              <c:f>'Fig 9b, Fig S11'!$F$61</c:f>
              <c:numCache>
                <c:formatCode>General</c:formatCode>
                <c:ptCount val="1"/>
                <c:pt idx="0">
                  <c:v>84.453086998040433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1C1-4F4B-82B9-D35452CC9829}"/>
            </c:ext>
          </c:extLst>
        </c:ser>
        <c:ser>
          <c:idx val="8"/>
          <c:order val="8"/>
          <c:tx>
            <c:strRef>
              <c:f>'Fig 9b, Fig S11'!$B$62</c:f>
              <c:strCache>
                <c:ptCount val="1"/>
                <c:pt idx="0">
                  <c:v>150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S11'!$E$62</c:f>
              <c:numCache>
                <c:formatCode>General</c:formatCode>
                <c:ptCount val="1"/>
                <c:pt idx="0">
                  <c:v>95.52000000000001</c:v>
                </c:pt>
              </c:numCache>
            </c:numRef>
          </c:xVal>
          <c:yVal>
            <c:numRef>
              <c:f>'Fig 9b, Fig S11'!$F$62</c:f>
              <c:numCache>
                <c:formatCode>General</c:formatCode>
                <c:ptCount val="1"/>
                <c:pt idx="0">
                  <c:v>85.871697047082975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1C1-4F4B-82B9-D35452CC9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702288"/>
        <c:axId val="1191975968"/>
      </c:scatterChart>
      <c:valAx>
        <c:axId val="1125702288"/>
        <c:scaling>
          <c:orientation val="minMax"/>
          <c:max val="100"/>
          <c:min val="-2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1975968"/>
        <c:crosses val="autoZero"/>
        <c:crossBetween val="midCat"/>
        <c:majorUnit val="20"/>
      </c:valAx>
      <c:valAx>
        <c:axId val="1191975968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total</a:t>
                </a:r>
                <a:r>
                  <a:rPr lang="en-US" sz="800" b="1" baseline="0"/>
                  <a:t> metal removal (%)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70228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5648148148149"/>
          <c:y val="4.1861781758473625E-2"/>
          <c:w val="0.78785277777777774"/>
          <c:h val="0.7885443545790884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sq">
                <a:solidFill>
                  <a:schemeClr val="bg2">
                    <a:lumMod val="50000"/>
                  </a:schemeClr>
                </a:solidFill>
                <a:prstDash val="dash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931886481800818"/>
                  <c:y val="0.474830805040681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'Fig 9b, Fig S11'!$I$66:$I$73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plus>
            <c:minus>
              <c:numRef>
                <c:f>'Fig 9b, Fig S11'!$I$66:$I$73</c:f>
                <c:numCache>
                  <c:formatCode>General</c:formatCode>
                  <c:ptCount val="8"/>
                  <c:pt idx="0">
                    <c:v>3.5587097120746947</c:v>
                  </c:pt>
                  <c:pt idx="1">
                    <c:v>5.8200165457318596</c:v>
                  </c:pt>
                  <c:pt idx="2">
                    <c:v>3.510901372075899</c:v>
                  </c:pt>
                  <c:pt idx="3">
                    <c:v>1.3415321257593666</c:v>
                  </c:pt>
                  <c:pt idx="4">
                    <c:v>0.45359469589948609</c:v>
                  </c:pt>
                  <c:pt idx="5">
                    <c:v>2.5523961146197349</c:v>
                  </c:pt>
                  <c:pt idx="6">
                    <c:v>0.45712402077594916</c:v>
                  </c:pt>
                  <c:pt idx="7">
                    <c:v>1.1611651874701523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'Fig 9b, Fig S11'!$G$66:$G$73</c:f>
                <c:numCache>
                  <c:formatCode>General</c:formatCode>
                  <c:ptCount val="8"/>
                  <c:pt idx="0">
                    <c:v>4.0626190809693448</c:v>
                  </c:pt>
                  <c:pt idx="1">
                    <c:v>6.7835691288612585</c:v>
                  </c:pt>
                  <c:pt idx="2">
                    <c:v>27.545363410176272</c:v>
                  </c:pt>
                  <c:pt idx="3">
                    <c:v>4.0660900808091602</c:v>
                  </c:pt>
                  <c:pt idx="4">
                    <c:v>1.7248450638949957</c:v>
                  </c:pt>
                  <c:pt idx="5">
                    <c:v>5.6681839460377406</c:v>
                  </c:pt>
                  <c:pt idx="6">
                    <c:v>3.153316070497624</c:v>
                  </c:pt>
                  <c:pt idx="7">
                    <c:v>2.877956487371335</c:v>
                  </c:pt>
                </c:numCache>
              </c:numRef>
            </c:plus>
            <c:minus>
              <c:numRef>
                <c:f>'Fig 9b, Fig S11'!$G$66:$G$73</c:f>
                <c:numCache>
                  <c:formatCode>General</c:formatCode>
                  <c:ptCount val="8"/>
                  <c:pt idx="0">
                    <c:v>4.0626190809693448</c:v>
                  </c:pt>
                  <c:pt idx="1">
                    <c:v>6.7835691288612585</c:v>
                  </c:pt>
                  <c:pt idx="2">
                    <c:v>27.545363410176272</c:v>
                  </c:pt>
                  <c:pt idx="3">
                    <c:v>4.0660900808091602</c:v>
                  </c:pt>
                  <c:pt idx="4">
                    <c:v>1.7248450638949957</c:v>
                  </c:pt>
                  <c:pt idx="5">
                    <c:v>5.6681839460377406</c:v>
                  </c:pt>
                  <c:pt idx="6">
                    <c:v>3.153316070497624</c:v>
                  </c:pt>
                  <c:pt idx="7">
                    <c:v>2.877956487371335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9b, Fig S11'!$E$66:$E$73</c:f>
              <c:numCache>
                <c:formatCode>General</c:formatCode>
                <c:ptCount val="8"/>
                <c:pt idx="0">
                  <c:v>-10.88</c:v>
                </c:pt>
                <c:pt idx="1">
                  <c:v>49.12</c:v>
                </c:pt>
                <c:pt idx="2">
                  <c:v>86.240000000000009</c:v>
                </c:pt>
                <c:pt idx="3">
                  <c:v>92.16</c:v>
                </c:pt>
                <c:pt idx="4">
                  <c:v>61.12</c:v>
                </c:pt>
                <c:pt idx="5">
                  <c:v>73.44</c:v>
                </c:pt>
                <c:pt idx="6">
                  <c:v>87.36</c:v>
                </c:pt>
                <c:pt idx="7">
                  <c:v>95.52000000000001</c:v>
                </c:pt>
              </c:numCache>
            </c:numRef>
          </c:xVal>
          <c:yVal>
            <c:numRef>
              <c:f>'Fig 9b, Fig S11'!$F$66:$F$73</c:f>
              <c:numCache>
                <c:formatCode>General</c:formatCode>
                <c:ptCount val="8"/>
                <c:pt idx="0">
                  <c:v>25.050330668551606</c:v>
                </c:pt>
                <c:pt idx="1">
                  <c:v>71.202607174694407</c:v>
                </c:pt>
                <c:pt idx="2">
                  <c:v>67.919302115782031</c:v>
                </c:pt>
                <c:pt idx="3">
                  <c:v>84.610983990184891</c:v>
                </c:pt>
                <c:pt idx="4">
                  <c:v>60.529646258529546</c:v>
                </c:pt>
                <c:pt idx="5">
                  <c:v>75.205610149199302</c:v>
                </c:pt>
                <c:pt idx="6">
                  <c:v>83.947999226690811</c:v>
                </c:pt>
                <c:pt idx="7">
                  <c:v>89.312664596621687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C0-264E-9B9B-B13B48C73172}"/>
            </c:ext>
          </c:extLst>
        </c:ser>
        <c:ser>
          <c:idx val="1"/>
          <c:order val="1"/>
          <c:tx>
            <c:strRef>
              <c:f>'Fig 9b, Fig S11'!$B$66</c:f>
              <c:strCache>
                <c:ptCount val="1"/>
                <c:pt idx="0">
                  <c:v>conventional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S11'!$E$66</c:f>
              <c:numCache>
                <c:formatCode>General</c:formatCode>
                <c:ptCount val="1"/>
                <c:pt idx="0">
                  <c:v>-10.88</c:v>
                </c:pt>
              </c:numCache>
            </c:numRef>
          </c:xVal>
          <c:yVal>
            <c:numRef>
              <c:f>'Fig 9b, Fig S11'!$F$66</c:f>
              <c:numCache>
                <c:formatCode>General</c:formatCode>
                <c:ptCount val="1"/>
                <c:pt idx="0">
                  <c:v>25.050330668551606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C0-264E-9B9B-B13B48C73172}"/>
            </c:ext>
          </c:extLst>
        </c:ser>
        <c:ser>
          <c:idx val="2"/>
          <c:order val="2"/>
          <c:tx>
            <c:strRef>
              <c:f>'Fig 9b, Fig S11'!$B$67</c:f>
              <c:strCache>
                <c:ptCount val="1"/>
                <c:pt idx="0">
                  <c:v>150 mg/L 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S11'!$E$67</c:f>
              <c:numCache>
                <c:formatCode>General</c:formatCode>
                <c:ptCount val="1"/>
                <c:pt idx="0">
                  <c:v>49.12</c:v>
                </c:pt>
              </c:numCache>
            </c:numRef>
          </c:xVal>
          <c:yVal>
            <c:numRef>
              <c:f>'Fig 9b, Fig S11'!$F$67</c:f>
              <c:numCache>
                <c:formatCode>General</c:formatCode>
                <c:ptCount val="1"/>
                <c:pt idx="0">
                  <c:v>71.202607174694407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C0-264E-9B9B-B13B48C73172}"/>
            </c:ext>
          </c:extLst>
        </c:ser>
        <c:ser>
          <c:idx val="3"/>
          <c:order val="3"/>
          <c:tx>
            <c:strRef>
              <c:f>'Fig 9b, Fig S11'!$B$68</c:f>
              <c:strCache>
                <c:ptCount val="1"/>
                <c:pt idx="0">
                  <c:v>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S11'!$E$68</c:f>
              <c:numCache>
                <c:formatCode>General</c:formatCode>
                <c:ptCount val="1"/>
                <c:pt idx="0">
                  <c:v>86.240000000000009</c:v>
                </c:pt>
              </c:numCache>
            </c:numRef>
          </c:xVal>
          <c:yVal>
            <c:numRef>
              <c:f>'Fig 9b, Fig S11'!$F$68</c:f>
              <c:numCache>
                <c:formatCode>General</c:formatCode>
                <c:ptCount val="1"/>
                <c:pt idx="0">
                  <c:v>67.919302115782031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C0-264E-9B9B-B13B48C73172}"/>
            </c:ext>
          </c:extLst>
        </c:ser>
        <c:ser>
          <c:idx val="4"/>
          <c:order val="4"/>
          <c:tx>
            <c:strRef>
              <c:f>'Fig 9b, Fig S11'!$B$69</c:f>
              <c:strCache>
                <c:ptCount val="1"/>
                <c:pt idx="0">
                  <c:v>150 mg/L cationic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S11'!$E$69</c:f>
              <c:numCache>
                <c:formatCode>General</c:formatCode>
                <c:ptCount val="1"/>
                <c:pt idx="0">
                  <c:v>92.16</c:v>
                </c:pt>
              </c:numCache>
            </c:numRef>
          </c:xVal>
          <c:yVal>
            <c:numRef>
              <c:f>'Fig 9b, Fig S11'!$F$69</c:f>
              <c:numCache>
                <c:formatCode>General</c:formatCode>
                <c:ptCount val="1"/>
                <c:pt idx="0">
                  <c:v>84.610983990184891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C0-264E-9B9B-B13B48C73172}"/>
            </c:ext>
          </c:extLst>
        </c:ser>
        <c:ser>
          <c:idx val="5"/>
          <c:order val="5"/>
          <c:tx>
            <c:strRef>
              <c:f>'Fig 9b, Fig S11'!$B$70</c:f>
              <c:strCache>
                <c:ptCount val="1"/>
                <c:pt idx="0">
                  <c:v>conv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C5A6D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S11'!$E$70</c:f>
              <c:numCache>
                <c:formatCode>General</c:formatCode>
                <c:ptCount val="1"/>
                <c:pt idx="0">
                  <c:v>61.12</c:v>
                </c:pt>
              </c:numCache>
            </c:numRef>
          </c:xVal>
          <c:yVal>
            <c:numRef>
              <c:f>'Fig 9b, Fig S11'!$F$70</c:f>
              <c:numCache>
                <c:formatCode>General</c:formatCode>
                <c:ptCount val="1"/>
                <c:pt idx="0">
                  <c:v>60.529646258529546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1C0-264E-9B9B-B13B48C73172}"/>
            </c:ext>
          </c:extLst>
        </c:ser>
        <c:ser>
          <c:idx val="6"/>
          <c:order val="6"/>
          <c:tx>
            <c:strRef>
              <c:f>'Fig 9b, Fig S11'!$B$71</c:f>
              <c:strCache>
                <c:ptCount val="1"/>
                <c:pt idx="0">
                  <c:v>pristine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S11'!$E$71</c:f>
              <c:numCache>
                <c:formatCode>General</c:formatCode>
                <c:ptCount val="1"/>
                <c:pt idx="0">
                  <c:v>73.44</c:v>
                </c:pt>
              </c:numCache>
            </c:numRef>
          </c:xVal>
          <c:yVal>
            <c:numRef>
              <c:f>'Fig 9b, Fig S11'!$F$71</c:f>
              <c:numCache>
                <c:formatCode>General</c:formatCode>
                <c:ptCount val="1"/>
                <c:pt idx="0">
                  <c:v>75.205610149199302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1C0-264E-9B9B-B13B48C73172}"/>
            </c:ext>
          </c:extLst>
        </c:ser>
        <c:ser>
          <c:idx val="7"/>
          <c:order val="7"/>
          <c:tx>
            <c:strRef>
              <c:f>'Fig 9b, Fig S11'!$B$72</c:f>
              <c:strCache>
                <c:ptCount val="1"/>
                <c:pt idx="0">
                  <c:v>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F9706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S11'!$E$72</c:f>
              <c:numCache>
                <c:formatCode>General</c:formatCode>
                <c:ptCount val="1"/>
                <c:pt idx="0">
                  <c:v>87.36</c:v>
                </c:pt>
              </c:numCache>
            </c:numRef>
          </c:xVal>
          <c:yVal>
            <c:numRef>
              <c:f>'Fig 9b, Fig S11'!$F$72</c:f>
              <c:numCache>
                <c:formatCode>General</c:formatCode>
                <c:ptCount val="1"/>
                <c:pt idx="0">
                  <c:v>83.947999226690811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1C0-264E-9B9B-B13B48C73172}"/>
            </c:ext>
          </c:extLst>
        </c:ser>
        <c:ser>
          <c:idx val="8"/>
          <c:order val="8"/>
          <c:tx>
            <c:strRef>
              <c:f>'Fig 9b, Fig S11'!$B$73</c:f>
              <c:strCache>
                <c:ptCount val="1"/>
                <c:pt idx="0">
                  <c:v>150 N+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 9b, Fig S11'!$E$73</c:f>
              <c:numCache>
                <c:formatCode>General</c:formatCode>
                <c:ptCount val="1"/>
                <c:pt idx="0">
                  <c:v>95.52000000000001</c:v>
                </c:pt>
              </c:numCache>
            </c:numRef>
          </c:xVal>
          <c:yVal>
            <c:numRef>
              <c:f>'Fig 9b, Fig S11'!$F$73</c:f>
              <c:numCache>
                <c:formatCode>General</c:formatCode>
                <c:ptCount val="1"/>
                <c:pt idx="0">
                  <c:v>89.312664596621687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1C0-264E-9B9B-B13B48C73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702288"/>
        <c:axId val="1191975968"/>
      </c:scatterChart>
      <c:valAx>
        <c:axId val="1125702288"/>
        <c:scaling>
          <c:orientation val="minMax"/>
          <c:max val="100"/>
          <c:min val="-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</a:t>
                </a:r>
                <a:r>
                  <a:rPr lang="en-US" sz="800" b="1" baseline="0"/>
                  <a:t> removal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1975968"/>
        <c:crosses val="autoZero"/>
        <c:crossBetween val="midCat"/>
        <c:majorUnit val="20"/>
      </c:valAx>
      <c:valAx>
        <c:axId val="1191975968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total</a:t>
                </a:r>
                <a:r>
                  <a:rPr lang="en-US" sz="800" b="1" baseline="0"/>
                  <a:t> metal removal (%)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70228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areaChart>
        <c:grouping val="standard"/>
        <c:varyColors val="0"/>
        <c:ser>
          <c:idx val="0"/>
          <c:order val="0"/>
          <c:tx>
            <c:strRef>
              <c:f>'Fig 9c'!$E$2</c:f>
              <c:strCache>
                <c:ptCount val="1"/>
                <c:pt idx="0">
                  <c:v>Zn2p3/2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  <a:alpha val="0"/>
                  </a:schemeClr>
                </a:gs>
                <a:gs pos="100000">
                  <a:srgbClr val="4EA72D"/>
                </a:gs>
              </a:gsLst>
              <a:lin ang="16200000" scaled="1"/>
              <a:tileRect/>
            </a:gradFill>
            <a:ln>
              <a:noFill/>
            </a:ln>
            <a:effectLst>
              <a:softEdge rad="0"/>
            </a:effectLst>
          </c:spPr>
          <c:cat>
            <c:numRef>
              <c:f>'Fig 9c'!$A$6:$A$374</c:f>
              <c:numCache>
                <c:formatCode>General</c:formatCode>
                <c:ptCount val="369"/>
                <c:pt idx="0">
                  <c:v>1052</c:v>
                </c:pt>
                <c:pt idx="1">
                  <c:v>1051.9000000000001</c:v>
                </c:pt>
                <c:pt idx="2">
                  <c:v>1051.8</c:v>
                </c:pt>
                <c:pt idx="3">
                  <c:v>1051.7</c:v>
                </c:pt>
                <c:pt idx="4">
                  <c:v>1051.5999999999999</c:v>
                </c:pt>
                <c:pt idx="5">
                  <c:v>1051.5</c:v>
                </c:pt>
                <c:pt idx="6">
                  <c:v>1051.4000000000001</c:v>
                </c:pt>
                <c:pt idx="7">
                  <c:v>1051.3</c:v>
                </c:pt>
                <c:pt idx="8">
                  <c:v>1051.2</c:v>
                </c:pt>
                <c:pt idx="9">
                  <c:v>1051.0999999999999</c:v>
                </c:pt>
                <c:pt idx="10">
                  <c:v>1051</c:v>
                </c:pt>
                <c:pt idx="11">
                  <c:v>1050.9000000000001</c:v>
                </c:pt>
                <c:pt idx="12">
                  <c:v>1050.8</c:v>
                </c:pt>
                <c:pt idx="13">
                  <c:v>1050.7</c:v>
                </c:pt>
                <c:pt idx="14">
                  <c:v>1050.5999999999999</c:v>
                </c:pt>
                <c:pt idx="15">
                  <c:v>1050.5</c:v>
                </c:pt>
                <c:pt idx="16">
                  <c:v>1050.4000000000001</c:v>
                </c:pt>
                <c:pt idx="17">
                  <c:v>1050.3</c:v>
                </c:pt>
                <c:pt idx="18">
                  <c:v>1050.2</c:v>
                </c:pt>
                <c:pt idx="19">
                  <c:v>1050.0999999999999</c:v>
                </c:pt>
                <c:pt idx="20">
                  <c:v>1050</c:v>
                </c:pt>
                <c:pt idx="21">
                  <c:v>1049.9000000000001</c:v>
                </c:pt>
                <c:pt idx="22">
                  <c:v>1049.8</c:v>
                </c:pt>
                <c:pt idx="23">
                  <c:v>1049.7</c:v>
                </c:pt>
                <c:pt idx="24">
                  <c:v>1049.5999999999999</c:v>
                </c:pt>
                <c:pt idx="25">
                  <c:v>1049.5</c:v>
                </c:pt>
                <c:pt idx="26">
                  <c:v>1049.4000000000001</c:v>
                </c:pt>
                <c:pt idx="27">
                  <c:v>1049.3</c:v>
                </c:pt>
                <c:pt idx="28">
                  <c:v>1049.2</c:v>
                </c:pt>
                <c:pt idx="29">
                  <c:v>1049.0999999999999</c:v>
                </c:pt>
                <c:pt idx="30">
                  <c:v>1049</c:v>
                </c:pt>
                <c:pt idx="31">
                  <c:v>1048.9000000000001</c:v>
                </c:pt>
                <c:pt idx="32">
                  <c:v>1048.8</c:v>
                </c:pt>
                <c:pt idx="33">
                  <c:v>1048.7</c:v>
                </c:pt>
                <c:pt idx="34">
                  <c:v>1048.5999999999999</c:v>
                </c:pt>
                <c:pt idx="35">
                  <c:v>1048.5</c:v>
                </c:pt>
                <c:pt idx="36">
                  <c:v>1048.4000000000001</c:v>
                </c:pt>
                <c:pt idx="37">
                  <c:v>1048.3</c:v>
                </c:pt>
                <c:pt idx="38">
                  <c:v>1048.2</c:v>
                </c:pt>
                <c:pt idx="39">
                  <c:v>1048.0999999999999</c:v>
                </c:pt>
                <c:pt idx="40">
                  <c:v>1048</c:v>
                </c:pt>
                <c:pt idx="41">
                  <c:v>1047.9000000000001</c:v>
                </c:pt>
                <c:pt idx="42">
                  <c:v>1047.8</c:v>
                </c:pt>
                <c:pt idx="43">
                  <c:v>1047.7</c:v>
                </c:pt>
                <c:pt idx="44">
                  <c:v>1047.5999999999999</c:v>
                </c:pt>
                <c:pt idx="45">
                  <c:v>1047.5</c:v>
                </c:pt>
                <c:pt idx="46">
                  <c:v>1047.4000000000001</c:v>
                </c:pt>
                <c:pt idx="47">
                  <c:v>1047.3</c:v>
                </c:pt>
                <c:pt idx="48">
                  <c:v>1047.2</c:v>
                </c:pt>
                <c:pt idx="49">
                  <c:v>1047.0999999999999</c:v>
                </c:pt>
                <c:pt idx="50">
                  <c:v>1047</c:v>
                </c:pt>
                <c:pt idx="51">
                  <c:v>1046.9000000000001</c:v>
                </c:pt>
                <c:pt idx="52">
                  <c:v>1046.8</c:v>
                </c:pt>
                <c:pt idx="53">
                  <c:v>1046.7</c:v>
                </c:pt>
                <c:pt idx="54">
                  <c:v>1046.5999999999999</c:v>
                </c:pt>
                <c:pt idx="55">
                  <c:v>1046.5</c:v>
                </c:pt>
                <c:pt idx="56">
                  <c:v>1046.4000000000001</c:v>
                </c:pt>
                <c:pt idx="57">
                  <c:v>1046.3</c:v>
                </c:pt>
                <c:pt idx="58">
                  <c:v>1046.2</c:v>
                </c:pt>
                <c:pt idx="59">
                  <c:v>1046.0999999999999</c:v>
                </c:pt>
                <c:pt idx="60">
                  <c:v>1046</c:v>
                </c:pt>
                <c:pt idx="61">
                  <c:v>1045.9000000000001</c:v>
                </c:pt>
                <c:pt idx="62">
                  <c:v>1045.8</c:v>
                </c:pt>
                <c:pt idx="63">
                  <c:v>1045.7</c:v>
                </c:pt>
                <c:pt idx="64">
                  <c:v>1045.5999999999999</c:v>
                </c:pt>
                <c:pt idx="65">
                  <c:v>1045.5</c:v>
                </c:pt>
                <c:pt idx="66">
                  <c:v>1045.4000000000001</c:v>
                </c:pt>
                <c:pt idx="67">
                  <c:v>1045.3</c:v>
                </c:pt>
                <c:pt idx="68">
                  <c:v>1045.2</c:v>
                </c:pt>
                <c:pt idx="69">
                  <c:v>1045.0999999999999</c:v>
                </c:pt>
                <c:pt idx="70">
                  <c:v>1045</c:v>
                </c:pt>
                <c:pt idx="71">
                  <c:v>1044.9000000000001</c:v>
                </c:pt>
                <c:pt idx="72">
                  <c:v>1044.8</c:v>
                </c:pt>
                <c:pt idx="73">
                  <c:v>1044.7</c:v>
                </c:pt>
                <c:pt idx="74">
                  <c:v>1044.5999999999999</c:v>
                </c:pt>
                <c:pt idx="75">
                  <c:v>1044.5</c:v>
                </c:pt>
                <c:pt idx="76">
                  <c:v>1044.4000000000001</c:v>
                </c:pt>
                <c:pt idx="77">
                  <c:v>1044.3</c:v>
                </c:pt>
                <c:pt idx="78">
                  <c:v>1044.2</c:v>
                </c:pt>
                <c:pt idx="79">
                  <c:v>1044.0999999999999</c:v>
                </c:pt>
                <c:pt idx="80">
                  <c:v>1044</c:v>
                </c:pt>
                <c:pt idx="81">
                  <c:v>1043.9000000000001</c:v>
                </c:pt>
                <c:pt idx="82">
                  <c:v>1043.8</c:v>
                </c:pt>
                <c:pt idx="83">
                  <c:v>1043.7</c:v>
                </c:pt>
                <c:pt idx="84">
                  <c:v>1043.5999999999999</c:v>
                </c:pt>
                <c:pt idx="85">
                  <c:v>1043.5</c:v>
                </c:pt>
                <c:pt idx="86">
                  <c:v>1043.4000000000001</c:v>
                </c:pt>
                <c:pt idx="87">
                  <c:v>1043.3</c:v>
                </c:pt>
                <c:pt idx="88">
                  <c:v>1043.2</c:v>
                </c:pt>
                <c:pt idx="89">
                  <c:v>1043.0999999999999</c:v>
                </c:pt>
                <c:pt idx="90">
                  <c:v>1043</c:v>
                </c:pt>
                <c:pt idx="91">
                  <c:v>1042.9000000000001</c:v>
                </c:pt>
                <c:pt idx="92">
                  <c:v>1042.8</c:v>
                </c:pt>
                <c:pt idx="93">
                  <c:v>1042.7</c:v>
                </c:pt>
                <c:pt idx="94">
                  <c:v>1042.5999999999999</c:v>
                </c:pt>
                <c:pt idx="95">
                  <c:v>1042.5</c:v>
                </c:pt>
                <c:pt idx="96">
                  <c:v>1042.4000000000001</c:v>
                </c:pt>
                <c:pt idx="97">
                  <c:v>1042.3</c:v>
                </c:pt>
                <c:pt idx="98">
                  <c:v>1042.2</c:v>
                </c:pt>
                <c:pt idx="99">
                  <c:v>1042.0999999999999</c:v>
                </c:pt>
                <c:pt idx="100">
                  <c:v>1042</c:v>
                </c:pt>
                <c:pt idx="101">
                  <c:v>1041.9000000000001</c:v>
                </c:pt>
                <c:pt idx="102">
                  <c:v>1041.8</c:v>
                </c:pt>
                <c:pt idx="103">
                  <c:v>1041.7</c:v>
                </c:pt>
                <c:pt idx="104">
                  <c:v>1041.5999999999999</c:v>
                </c:pt>
                <c:pt idx="105">
                  <c:v>1041.5</c:v>
                </c:pt>
                <c:pt idx="106">
                  <c:v>1041.4000000000001</c:v>
                </c:pt>
                <c:pt idx="107">
                  <c:v>1041.3</c:v>
                </c:pt>
                <c:pt idx="108">
                  <c:v>1041.2</c:v>
                </c:pt>
                <c:pt idx="109">
                  <c:v>1041.0999999999999</c:v>
                </c:pt>
                <c:pt idx="110">
                  <c:v>1041</c:v>
                </c:pt>
                <c:pt idx="111">
                  <c:v>1040.9000000000001</c:v>
                </c:pt>
                <c:pt idx="112">
                  <c:v>1040.8</c:v>
                </c:pt>
                <c:pt idx="113">
                  <c:v>1040.7</c:v>
                </c:pt>
                <c:pt idx="114">
                  <c:v>1040.5999999999999</c:v>
                </c:pt>
                <c:pt idx="115">
                  <c:v>1040.5</c:v>
                </c:pt>
                <c:pt idx="116">
                  <c:v>1040.4000000000001</c:v>
                </c:pt>
                <c:pt idx="117">
                  <c:v>1040.3</c:v>
                </c:pt>
                <c:pt idx="118">
                  <c:v>1040.2</c:v>
                </c:pt>
                <c:pt idx="119">
                  <c:v>1040.0999999999999</c:v>
                </c:pt>
                <c:pt idx="120">
                  <c:v>1040</c:v>
                </c:pt>
                <c:pt idx="121">
                  <c:v>1039.9000000000001</c:v>
                </c:pt>
                <c:pt idx="122">
                  <c:v>1039.8</c:v>
                </c:pt>
                <c:pt idx="123">
                  <c:v>1039.7</c:v>
                </c:pt>
                <c:pt idx="124">
                  <c:v>1039.5999999999999</c:v>
                </c:pt>
                <c:pt idx="125">
                  <c:v>1039.5</c:v>
                </c:pt>
                <c:pt idx="126">
                  <c:v>1039.4000000000001</c:v>
                </c:pt>
                <c:pt idx="127">
                  <c:v>1039.3</c:v>
                </c:pt>
                <c:pt idx="128">
                  <c:v>1039.2</c:v>
                </c:pt>
                <c:pt idx="129">
                  <c:v>1039.0999999999999</c:v>
                </c:pt>
                <c:pt idx="130">
                  <c:v>1039</c:v>
                </c:pt>
                <c:pt idx="131">
                  <c:v>1038.9000000000001</c:v>
                </c:pt>
                <c:pt idx="132">
                  <c:v>1038.8</c:v>
                </c:pt>
                <c:pt idx="133">
                  <c:v>1038.7</c:v>
                </c:pt>
                <c:pt idx="134">
                  <c:v>1038.5999999999999</c:v>
                </c:pt>
                <c:pt idx="135">
                  <c:v>1038.5</c:v>
                </c:pt>
                <c:pt idx="136">
                  <c:v>1038.4000000000001</c:v>
                </c:pt>
                <c:pt idx="137">
                  <c:v>1038.3</c:v>
                </c:pt>
                <c:pt idx="138">
                  <c:v>1038.2</c:v>
                </c:pt>
                <c:pt idx="139">
                  <c:v>1038.0999999999999</c:v>
                </c:pt>
                <c:pt idx="140">
                  <c:v>1038</c:v>
                </c:pt>
                <c:pt idx="141">
                  <c:v>1037.9000000000001</c:v>
                </c:pt>
                <c:pt idx="142">
                  <c:v>1037.8</c:v>
                </c:pt>
                <c:pt idx="143">
                  <c:v>1037.7</c:v>
                </c:pt>
                <c:pt idx="144">
                  <c:v>1037.5999999999999</c:v>
                </c:pt>
                <c:pt idx="145">
                  <c:v>1037.5</c:v>
                </c:pt>
                <c:pt idx="146">
                  <c:v>1037.4000000000001</c:v>
                </c:pt>
                <c:pt idx="147">
                  <c:v>1037.3</c:v>
                </c:pt>
                <c:pt idx="148">
                  <c:v>1037.2</c:v>
                </c:pt>
                <c:pt idx="149">
                  <c:v>1037.0999999999999</c:v>
                </c:pt>
                <c:pt idx="150">
                  <c:v>1037</c:v>
                </c:pt>
                <c:pt idx="151">
                  <c:v>1036.9000000000001</c:v>
                </c:pt>
                <c:pt idx="152">
                  <c:v>1036.8</c:v>
                </c:pt>
                <c:pt idx="153">
                  <c:v>1036.7</c:v>
                </c:pt>
                <c:pt idx="154">
                  <c:v>1036.5999999999999</c:v>
                </c:pt>
                <c:pt idx="155">
                  <c:v>1036.5</c:v>
                </c:pt>
                <c:pt idx="156">
                  <c:v>1036.4000000000001</c:v>
                </c:pt>
                <c:pt idx="157">
                  <c:v>1036.3</c:v>
                </c:pt>
                <c:pt idx="158">
                  <c:v>1036.2</c:v>
                </c:pt>
                <c:pt idx="159">
                  <c:v>1036.0999999999999</c:v>
                </c:pt>
                <c:pt idx="160">
                  <c:v>1036</c:v>
                </c:pt>
                <c:pt idx="161">
                  <c:v>1035.9000000000001</c:v>
                </c:pt>
                <c:pt idx="162">
                  <c:v>1035.8</c:v>
                </c:pt>
                <c:pt idx="163">
                  <c:v>1035.7</c:v>
                </c:pt>
                <c:pt idx="164">
                  <c:v>1035.5999999999999</c:v>
                </c:pt>
                <c:pt idx="165">
                  <c:v>1035.5</c:v>
                </c:pt>
                <c:pt idx="166">
                  <c:v>1035.4000000000001</c:v>
                </c:pt>
                <c:pt idx="167">
                  <c:v>1035.3</c:v>
                </c:pt>
                <c:pt idx="168">
                  <c:v>1035.2</c:v>
                </c:pt>
                <c:pt idx="169">
                  <c:v>1035.0999999999999</c:v>
                </c:pt>
                <c:pt idx="170">
                  <c:v>1035</c:v>
                </c:pt>
                <c:pt idx="171">
                  <c:v>1034.9000000000001</c:v>
                </c:pt>
                <c:pt idx="172">
                  <c:v>1034.8</c:v>
                </c:pt>
                <c:pt idx="173">
                  <c:v>1034.7</c:v>
                </c:pt>
                <c:pt idx="174">
                  <c:v>1034.5999999999999</c:v>
                </c:pt>
                <c:pt idx="175">
                  <c:v>1034.5</c:v>
                </c:pt>
                <c:pt idx="176">
                  <c:v>1034.4000000000001</c:v>
                </c:pt>
                <c:pt idx="177">
                  <c:v>1034.3</c:v>
                </c:pt>
                <c:pt idx="178">
                  <c:v>1034.2</c:v>
                </c:pt>
                <c:pt idx="179">
                  <c:v>1034.0999999999999</c:v>
                </c:pt>
                <c:pt idx="180">
                  <c:v>1034</c:v>
                </c:pt>
                <c:pt idx="181">
                  <c:v>1033.9000000000001</c:v>
                </c:pt>
                <c:pt idx="182">
                  <c:v>1033.8</c:v>
                </c:pt>
                <c:pt idx="183">
                  <c:v>1033.7</c:v>
                </c:pt>
                <c:pt idx="184">
                  <c:v>1033.5999999999999</c:v>
                </c:pt>
                <c:pt idx="185">
                  <c:v>1033.5</c:v>
                </c:pt>
                <c:pt idx="186">
                  <c:v>1033.4000000000001</c:v>
                </c:pt>
                <c:pt idx="187">
                  <c:v>1033.3</c:v>
                </c:pt>
                <c:pt idx="188">
                  <c:v>1033.2</c:v>
                </c:pt>
                <c:pt idx="189">
                  <c:v>1033.0999999999999</c:v>
                </c:pt>
                <c:pt idx="190">
                  <c:v>1033</c:v>
                </c:pt>
                <c:pt idx="191">
                  <c:v>1032.9000000000001</c:v>
                </c:pt>
                <c:pt idx="192">
                  <c:v>1032.8</c:v>
                </c:pt>
                <c:pt idx="193">
                  <c:v>1032.7</c:v>
                </c:pt>
                <c:pt idx="194">
                  <c:v>1032.5999999999999</c:v>
                </c:pt>
                <c:pt idx="195">
                  <c:v>1032.5</c:v>
                </c:pt>
                <c:pt idx="196">
                  <c:v>1032.4000000000001</c:v>
                </c:pt>
                <c:pt idx="197">
                  <c:v>1032.3</c:v>
                </c:pt>
                <c:pt idx="198">
                  <c:v>1032.2</c:v>
                </c:pt>
                <c:pt idx="199">
                  <c:v>1032.0999999999999</c:v>
                </c:pt>
                <c:pt idx="200">
                  <c:v>1032</c:v>
                </c:pt>
                <c:pt idx="201">
                  <c:v>1031.9000000000001</c:v>
                </c:pt>
                <c:pt idx="202">
                  <c:v>1031.8</c:v>
                </c:pt>
                <c:pt idx="203">
                  <c:v>1031.7</c:v>
                </c:pt>
                <c:pt idx="204">
                  <c:v>1031.5999999999999</c:v>
                </c:pt>
                <c:pt idx="205">
                  <c:v>1031.5</c:v>
                </c:pt>
                <c:pt idx="206">
                  <c:v>1031.4000000000001</c:v>
                </c:pt>
                <c:pt idx="207">
                  <c:v>1031.3</c:v>
                </c:pt>
                <c:pt idx="208">
                  <c:v>1031.2</c:v>
                </c:pt>
                <c:pt idx="209">
                  <c:v>1031.0999999999999</c:v>
                </c:pt>
                <c:pt idx="210">
                  <c:v>1031</c:v>
                </c:pt>
                <c:pt idx="211">
                  <c:v>1030.9000000000001</c:v>
                </c:pt>
                <c:pt idx="212">
                  <c:v>1030.8</c:v>
                </c:pt>
                <c:pt idx="213">
                  <c:v>1030.7</c:v>
                </c:pt>
                <c:pt idx="214">
                  <c:v>1030.5999999999999</c:v>
                </c:pt>
                <c:pt idx="215">
                  <c:v>1030.5</c:v>
                </c:pt>
                <c:pt idx="216">
                  <c:v>1030.4000000000001</c:v>
                </c:pt>
                <c:pt idx="217">
                  <c:v>1030.3</c:v>
                </c:pt>
                <c:pt idx="218">
                  <c:v>1030.2</c:v>
                </c:pt>
                <c:pt idx="219">
                  <c:v>1030.0999999999999</c:v>
                </c:pt>
                <c:pt idx="220">
                  <c:v>1030</c:v>
                </c:pt>
                <c:pt idx="221">
                  <c:v>1029.9000000000001</c:v>
                </c:pt>
                <c:pt idx="222">
                  <c:v>1029.8</c:v>
                </c:pt>
                <c:pt idx="223">
                  <c:v>1029.7</c:v>
                </c:pt>
                <c:pt idx="224">
                  <c:v>1029.5999999999999</c:v>
                </c:pt>
                <c:pt idx="225">
                  <c:v>1029.5</c:v>
                </c:pt>
                <c:pt idx="226">
                  <c:v>1029.4000000000001</c:v>
                </c:pt>
                <c:pt idx="227">
                  <c:v>1029.3</c:v>
                </c:pt>
                <c:pt idx="228">
                  <c:v>1029.2</c:v>
                </c:pt>
                <c:pt idx="229">
                  <c:v>1029.0999999999999</c:v>
                </c:pt>
                <c:pt idx="230">
                  <c:v>1029</c:v>
                </c:pt>
                <c:pt idx="231">
                  <c:v>1028.9000000000001</c:v>
                </c:pt>
                <c:pt idx="232">
                  <c:v>1028.8</c:v>
                </c:pt>
                <c:pt idx="233">
                  <c:v>1028.7</c:v>
                </c:pt>
                <c:pt idx="234">
                  <c:v>1028.5999999999999</c:v>
                </c:pt>
                <c:pt idx="235">
                  <c:v>1028.5</c:v>
                </c:pt>
                <c:pt idx="236">
                  <c:v>1028.4000000000001</c:v>
                </c:pt>
                <c:pt idx="237">
                  <c:v>1028.3</c:v>
                </c:pt>
                <c:pt idx="238">
                  <c:v>1028.2</c:v>
                </c:pt>
                <c:pt idx="239">
                  <c:v>1028.0999999999999</c:v>
                </c:pt>
                <c:pt idx="240">
                  <c:v>1028</c:v>
                </c:pt>
                <c:pt idx="241">
                  <c:v>1027.9000000000001</c:v>
                </c:pt>
                <c:pt idx="242">
                  <c:v>1027.8</c:v>
                </c:pt>
                <c:pt idx="243">
                  <c:v>1027.7</c:v>
                </c:pt>
                <c:pt idx="244">
                  <c:v>1027.5999999999999</c:v>
                </c:pt>
                <c:pt idx="245">
                  <c:v>1027.5</c:v>
                </c:pt>
                <c:pt idx="246">
                  <c:v>1027.4000000000001</c:v>
                </c:pt>
                <c:pt idx="247">
                  <c:v>1027.3</c:v>
                </c:pt>
                <c:pt idx="248">
                  <c:v>1027.2</c:v>
                </c:pt>
                <c:pt idx="249">
                  <c:v>1027.0999999999999</c:v>
                </c:pt>
                <c:pt idx="250">
                  <c:v>1027</c:v>
                </c:pt>
                <c:pt idx="251">
                  <c:v>1026.9000000000001</c:v>
                </c:pt>
                <c:pt idx="252">
                  <c:v>1026.8</c:v>
                </c:pt>
                <c:pt idx="253">
                  <c:v>1026.7</c:v>
                </c:pt>
                <c:pt idx="254">
                  <c:v>1026.5999999999999</c:v>
                </c:pt>
                <c:pt idx="255">
                  <c:v>1026.5</c:v>
                </c:pt>
                <c:pt idx="256">
                  <c:v>1026.4000000000001</c:v>
                </c:pt>
                <c:pt idx="257">
                  <c:v>1026.3</c:v>
                </c:pt>
                <c:pt idx="258">
                  <c:v>1026.2</c:v>
                </c:pt>
                <c:pt idx="259">
                  <c:v>1026.0999999999999</c:v>
                </c:pt>
                <c:pt idx="260">
                  <c:v>1026</c:v>
                </c:pt>
                <c:pt idx="261">
                  <c:v>1025.9000000000001</c:v>
                </c:pt>
                <c:pt idx="262">
                  <c:v>1025.8</c:v>
                </c:pt>
                <c:pt idx="263">
                  <c:v>1025.7</c:v>
                </c:pt>
                <c:pt idx="264">
                  <c:v>1025.5999999999999</c:v>
                </c:pt>
                <c:pt idx="265">
                  <c:v>1025.5</c:v>
                </c:pt>
                <c:pt idx="266">
                  <c:v>1025.4000000000001</c:v>
                </c:pt>
                <c:pt idx="267">
                  <c:v>1025.3</c:v>
                </c:pt>
                <c:pt idx="268">
                  <c:v>1025.2</c:v>
                </c:pt>
                <c:pt idx="269">
                  <c:v>1025.0999999999999</c:v>
                </c:pt>
                <c:pt idx="270">
                  <c:v>1025</c:v>
                </c:pt>
                <c:pt idx="271">
                  <c:v>1024.9000000000001</c:v>
                </c:pt>
                <c:pt idx="272">
                  <c:v>1024.8</c:v>
                </c:pt>
                <c:pt idx="273">
                  <c:v>1024.7</c:v>
                </c:pt>
                <c:pt idx="274">
                  <c:v>1024.5999999999999</c:v>
                </c:pt>
                <c:pt idx="275">
                  <c:v>1024.5</c:v>
                </c:pt>
                <c:pt idx="276">
                  <c:v>1024.4000000000001</c:v>
                </c:pt>
                <c:pt idx="277">
                  <c:v>1024.3</c:v>
                </c:pt>
                <c:pt idx="278">
                  <c:v>1024.2</c:v>
                </c:pt>
                <c:pt idx="279">
                  <c:v>1024.0999999999999</c:v>
                </c:pt>
                <c:pt idx="280">
                  <c:v>1024</c:v>
                </c:pt>
                <c:pt idx="281">
                  <c:v>1023.9</c:v>
                </c:pt>
                <c:pt idx="282">
                  <c:v>1023.8</c:v>
                </c:pt>
                <c:pt idx="283">
                  <c:v>1023.7</c:v>
                </c:pt>
                <c:pt idx="284">
                  <c:v>1023.6</c:v>
                </c:pt>
                <c:pt idx="285">
                  <c:v>1023.5</c:v>
                </c:pt>
                <c:pt idx="286">
                  <c:v>1023.4</c:v>
                </c:pt>
                <c:pt idx="287">
                  <c:v>1023.3</c:v>
                </c:pt>
                <c:pt idx="288">
                  <c:v>1023.2</c:v>
                </c:pt>
                <c:pt idx="289">
                  <c:v>1023.1</c:v>
                </c:pt>
                <c:pt idx="290">
                  <c:v>1023</c:v>
                </c:pt>
                <c:pt idx="291">
                  <c:v>1022.9</c:v>
                </c:pt>
                <c:pt idx="292">
                  <c:v>1022.8</c:v>
                </c:pt>
                <c:pt idx="293">
                  <c:v>1022.7</c:v>
                </c:pt>
                <c:pt idx="294">
                  <c:v>1022.6</c:v>
                </c:pt>
                <c:pt idx="295">
                  <c:v>1022.5</c:v>
                </c:pt>
                <c:pt idx="296">
                  <c:v>1022.4</c:v>
                </c:pt>
                <c:pt idx="297">
                  <c:v>1022.3</c:v>
                </c:pt>
                <c:pt idx="298">
                  <c:v>1022.2</c:v>
                </c:pt>
                <c:pt idx="299">
                  <c:v>1022.1</c:v>
                </c:pt>
                <c:pt idx="300">
                  <c:v>1022</c:v>
                </c:pt>
                <c:pt idx="301">
                  <c:v>1021.9</c:v>
                </c:pt>
                <c:pt idx="302">
                  <c:v>1021.8</c:v>
                </c:pt>
                <c:pt idx="303">
                  <c:v>1021.7</c:v>
                </c:pt>
                <c:pt idx="304">
                  <c:v>1021.6</c:v>
                </c:pt>
                <c:pt idx="305">
                  <c:v>1021.5</c:v>
                </c:pt>
                <c:pt idx="306">
                  <c:v>1021.4</c:v>
                </c:pt>
                <c:pt idx="307">
                  <c:v>1021.3</c:v>
                </c:pt>
                <c:pt idx="308">
                  <c:v>1021.2</c:v>
                </c:pt>
                <c:pt idx="309">
                  <c:v>1021.1</c:v>
                </c:pt>
                <c:pt idx="310">
                  <c:v>1021</c:v>
                </c:pt>
                <c:pt idx="311">
                  <c:v>1020.9</c:v>
                </c:pt>
                <c:pt idx="312">
                  <c:v>1020.8</c:v>
                </c:pt>
                <c:pt idx="313">
                  <c:v>1020.7</c:v>
                </c:pt>
                <c:pt idx="314">
                  <c:v>1020.6</c:v>
                </c:pt>
                <c:pt idx="315">
                  <c:v>1020.5</c:v>
                </c:pt>
                <c:pt idx="316">
                  <c:v>1020.4</c:v>
                </c:pt>
                <c:pt idx="317">
                  <c:v>1020.3</c:v>
                </c:pt>
                <c:pt idx="318">
                  <c:v>1020.2</c:v>
                </c:pt>
                <c:pt idx="319">
                  <c:v>1020.1</c:v>
                </c:pt>
                <c:pt idx="320">
                  <c:v>1020</c:v>
                </c:pt>
                <c:pt idx="321">
                  <c:v>1019.9</c:v>
                </c:pt>
                <c:pt idx="322">
                  <c:v>1019.8</c:v>
                </c:pt>
                <c:pt idx="323">
                  <c:v>1019.7</c:v>
                </c:pt>
                <c:pt idx="324">
                  <c:v>1019.6</c:v>
                </c:pt>
                <c:pt idx="325">
                  <c:v>1019.5</c:v>
                </c:pt>
                <c:pt idx="326">
                  <c:v>1019.4</c:v>
                </c:pt>
                <c:pt idx="327">
                  <c:v>1019.3</c:v>
                </c:pt>
                <c:pt idx="328">
                  <c:v>1019.2</c:v>
                </c:pt>
                <c:pt idx="329">
                  <c:v>1019.1</c:v>
                </c:pt>
                <c:pt idx="330">
                  <c:v>1019</c:v>
                </c:pt>
                <c:pt idx="331">
                  <c:v>1018.9</c:v>
                </c:pt>
                <c:pt idx="332">
                  <c:v>1018.8</c:v>
                </c:pt>
                <c:pt idx="333">
                  <c:v>1018.7</c:v>
                </c:pt>
                <c:pt idx="334">
                  <c:v>1018.6</c:v>
                </c:pt>
                <c:pt idx="335">
                  <c:v>1018.5</c:v>
                </c:pt>
                <c:pt idx="336">
                  <c:v>1018.4</c:v>
                </c:pt>
                <c:pt idx="337">
                  <c:v>1018.3</c:v>
                </c:pt>
                <c:pt idx="338">
                  <c:v>1018.2</c:v>
                </c:pt>
                <c:pt idx="339">
                  <c:v>1018.1</c:v>
                </c:pt>
                <c:pt idx="340">
                  <c:v>1018</c:v>
                </c:pt>
                <c:pt idx="341">
                  <c:v>1017.9</c:v>
                </c:pt>
                <c:pt idx="342">
                  <c:v>1017.8</c:v>
                </c:pt>
                <c:pt idx="343">
                  <c:v>1017.7</c:v>
                </c:pt>
                <c:pt idx="344">
                  <c:v>1017.6</c:v>
                </c:pt>
                <c:pt idx="345">
                  <c:v>1017.5</c:v>
                </c:pt>
                <c:pt idx="346">
                  <c:v>1017.4</c:v>
                </c:pt>
                <c:pt idx="347">
                  <c:v>1017.3</c:v>
                </c:pt>
                <c:pt idx="348">
                  <c:v>1017.2</c:v>
                </c:pt>
                <c:pt idx="349">
                  <c:v>1017.1</c:v>
                </c:pt>
                <c:pt idx="350">
                  <c:v>1017</c:v>
                </c:pt>
                <c:pt idx="351">
                  <c:v>1016.9</c:v>
                </c:pt>
                <c:pt idx="352">
                  <c:v>1016.8</c:v>
                </c:pt>
                <c:pt idx="353">
                  <c:v>1016.7</c:v>
                </c:pt>
                <c:pt idx="354">
                  <c:v>1016.6</c:v>
                </c:pt>
                <c:pt idx="355">
                  <c:v>1016.5</c:v>
                </c:pt>
                <c:pt idx="356">
                  <c:v>1016.4</c:v>
                </c:pt>
                <c:pt idx="357">
                  <c:v>1016.3</c:v>
                </c:pt>
                <c:pt idx="358">
                  <c:v>1016.2</c:v>
                </c:pt>
                <c:pt idx="359">
                  <c:v>1016.1</c:v>
                </c:pt>
                <c:pt idx="360">
                  <c:v>1016</c:v>
                </c:pt>
                <c:pt idx="361">
                  <c:v>1015.9</c:v>
                </c:pt>
                <c:pt idx="362">
                  <c:v>1015.8</c:v>
                </c:pt>
                <c:pt idx="363">
                  <c:v>1015.7</c:v>
                </c:pt>
                <c:pt idx="364">
                  <c:v>1015.6</c:v>
                </c:pt>
                <c:pt idx="365">
                  <c:v>1015.5</c:v>
                </c:pt>
                <c:pt idx="366">
                  <c:v>1015.4</c:v>
                </c:pt>
                <c:pt idx="367">
                  <c:v>1015.3</c:v>
                </c:pt>
                <c:pt idx="368">
                  <c:v>1015.2</c:v>
                </c:pt>
              </c:numCache>
            </c:numRef>
          </c:cat>
          <c:val>
            <c:numRef>
              <c:f>'Fig 9c'!$E$6:$E$374</c:f>
              <c:numCache>
                <c:formatCode>General</c:formatCode>
                <c:ptCount val="369"/>
                <c:pt idx="0">
                  <c:v>10638.3</c:v>
                </c:pt>
                <c:pt idx="1">
                  <c:v>10628.3</c:v>
                </c:pt>
                <c:pt idx="2">
                  <c:v>10630.1</c:v>
                </c:pt>
                <c:pt idx="3">
                  <c:v>10632</c:v>
                </c:pt>
                <c:pt idx="4">
                  <c:v>10633.8</c:v>
                </c:pt>
                <c:pt idx="5">
                  <c:v>10635.6</c:v>
                </c:pt>
                <c:pt idx="6">
                  <c:v>10637.4</c:v>
                </c:pt>
                <c:pt idx="7">
                  <c:v>10639.3</c:v>
                </c:pt>
                <c:pt idx="8">
                  <c:v>10641.1</c:v>
                </c:pt>
                <c:pt idx="9">
                  <c:v>10642.9</c:v>
                </c:pt>
                <c:pt idx="10">
                  <c:v>10644.7</c:v>
                </c:pt>
                <c:pt idx="11">
                  <c:v>10646.5</c:v>
                </c:pt>
                <c:pt idx="12">
                  <c:v>10648.4</c:v>
                </c:pt>
                <c:pt idx="13">
                  <c:v>10650.2</c:v>
                </c:pt>
                <c:pt idx="14">
                  <c:v>10652</c:v>
                </c:pt>
                <c:pt idx="15">
                  <c:v>10653.8</c:v>
                </c:pt>
                <c:pt idx="16">
                  <c:v>10655.7</c:v>
                </c:pt>
                <c:pt idx="17">
                  <c:v>10657.5</c:v>
                </c:pt>
                <c:pt idx="18">
                  <c:v>10659.3</c:v>
                </c:pt>
                <c:pt idx="19">
                  <c:v>10661.1</c:v>
                </c:pt>
                <c:pt idx="20">
                  <c:v>10663</c:v>
                </c:pt>
                <c:pt idx="21">
                  <c:v>10664.8</c:v>
                </c:pt>
                <c:pt idx="22">
                  <c:v>10666.6</c:v>
                </c:pt>
                <c:pt idx="23">
                  <c:v>10668.4</c:v>
                </c:pt>
                <c:pt idx="24">
                  <c:v>10670.3</c:v>
                </c:pt>
                <c:pt idx="25">
                  <c:v>10672.1</c:v>
                </c:pt>
                <c:pt idx="26">
                  <c:v>10673.9</c:v>
                </c:pt>
                <c:pt idx="27">
                  <c:v>10675.7</c:v>
                </c:pt>
                <c:pt idx="28">
                  <c:v>10677.5</c:v>
                </c:pt>
                <c:pt idx="29">
                  <c:v>10679.4</c:v>
                </c:pt>
                <c:pt idx="30">
                  <c:v>10681.2</c:v>
                </c:pt>
                <c:pt idx="31">
                  <c:v>10683</c:v>
                </c:pt>
                <c:pt idx="32">
                  <c:v>10684.9</c:v>
                </c:pt>
                <c:pt idx="33">
                  <c:v>10686.7</c:v>
                </c:pt>
                <c:pt idx="34">
                  <c:v>10688.5</c:v>
                </c:pt>
                <c:pt idx="35">
                  <c:v>10690.3</c:v>
                </c:pt>
                <c:pt idx="36">
                  <c:v>10692.2</c:v>
                </c:pt>
                <c:pt idx="37">
                  <c:v>10694</c:v>
                </c:pt>
                <c:pt idx="38">
                  <c:v>10695.8</c:v>
                </c:pt>
                <c:pt idx="39">
                  <c:v>10697.6</c:v>
                </c:pt>
                <c:pt idx="40">
                  <c:v>10699.5</c:v>
                </c:pt>
                <c:pt idx="41">
                  <c:v>10701.3</c:v>
                </c:pt>
                <c:pt idx="42">
                  <c:v>10703.1</c:v>
                </c:pt>
                <c:pt idx="43">
                  <c:v>10704.9</c:v>
                </c:pt>
                <c:pt idx="44">
                  <c:v>10706.8</c:v>
                </c:pt>
                <c:pt idx="45">
                  <c:v>10708.6</c:v>
                </c:pt>
                <c:pt idx="46">
                  <c:v>10710.4</c:v>
                </c:pt>
                <c:pt idx="47">
                  <c:v>10712.3</c:v>
                </c:pt>
                <c:pt idx="48">
                  <c:v>10714.1</c:v>
                </c:pt>
                <c:pt idx="49">
                  <c:v>10715.9</c:v>
                </c:pt>
                <c:pt idx="50">
                  <c:v>10717.7</c:v>
                </c:pt>
                <c:pt idx="51">
                  <c:v>10719.6</c:v>
                </c:pt>
                <c:pt idx="52">
                  <c:v>10721.4</c:v>
                </c:pt>
                <c:pt idx="53">
                  <c:v>10723.2</c:v>
                </c:pt>
                <c:pt idx="54">
                  <c:v>10725.1</c:v>
                </c:pt>
                <c:pt idx="55">
                  <c:v>10726.9</c:v>
                </c:pt>
                <c:pt idx="56">
                  <c:v>10728.7</c:v>
                </c:pt>
                <c:pt idx="57">
                  <c:v>10730.5</c:v>
                </c:pt>
                <c:pt idx="58">
                  <c:v>10732.4</c:v>
                </c:pt>
                <c:pt idx="59">
                  <c:v>10734.2</c:v>
                </c:pt>
                <c:pt idx="60">
                  <c:v>10736</c:v>
                </c:pt>
                <c:pt idx="61">
                  <c:v>10737.9</c:v>
                </c:pt>
                <c:pt idx="62">
                  <c:v>10739.7</c:v>
                </c:pt>
                <c:pt idx="63">
                  <c:v>10741.5</c:v>
                </c:pt>
                <c:pt idx="64">
                  <c:v>10743.4</c:v>
                </c:pt>
                <c:pt idx="65">
                  <c:v>10745.2</c:v>
                </c:pt>
                <c:pt idx="66">
                  <c:v>10747</c:v>
                </c:pt>
                <c:pt idx="67">
                  <c:v>10748.9</c:v>
                </c:pt>
                <c:pt idx="68">
                  <c:v>10750.7</c:v>
                </c:pt>
                <c:pt idx="69">
                  <c:v>10752.5</c:v>
                </c:pt>
                <c:pt idx="70">
                  <c:v>10754.4</c:v>
                </c:pt>
                <c:pt idx="71">
                  <c:v>10756.2</c:v>
                </c:pt>
                <c:pt idx="72">
                  <c:v>10758</c:v>
                </c:pt>
                <c:pt idx="73">
                  <c:v>10759.9</c:v>
                </c:pt>
                <c:pt idx="74">
                  <c:v>10761.7</c:v>
                </c:pt>
                <c:pt idx="75">
                  <c:v>10763.5</c:v>
                </c:pt>
                <c:pt idx="76">
                  <c:v>10765.4</c:v>
                </c:pt>
                <c:pt idx="77">
                  <c:v>10767.2</c:v>
                </c:pt>
                <c:pt idx="78">
                  <c:v>10769</c:v>
                </c:pt>
                <c:pt idx="79">
                  <c:v>10770.9</c:v>
                </c:pt>
                <c:pt idx="80">
                  <c:v>10772.7</c:v>
                </c:pt>
                <c:pt idx="81">
                  <c:v>10774.5</c:v>
                </c:pt>
                <c:pt idx="82">
                  <c:v>10776.4</c:v>
                </c:pt>
                <c:pt idx="83">
                  <c:v>10778.2</c:v>
                </c:pt>
                <c:pt idx="84">
                  <c:v>10780.1</c:v>
                </c:pt>
                <c:pt idx="85">
                  <c:v>10781.9</c:v>
                </c:pt>
                <c:pt idx="86">
                  <c:v>10783.7</c:v>
                </c:pt>
                <c:pt idx="87">
                  <c:v>10785.6</c:v>
                </c:pt>
                <c:pt idx="88">
                  <c:v>10787.4</c:v>
                </c:pt>
                <c:pt idx="89">
                  <c:v>10789.2</c:v>
                </c:pt>
                <c:pt idx="90">
                  <c:v>10791.1</c:v>
                </c:pt>
                <c:pt idx="91">
                  <c:v>10792.9</c:v>
                </c:pt>
                <c:pt idx="92">
                  <c:v>10794.8</c:v>
                </c:pt>
                <c:pt idx="93">
                  <c:v>10796.6</c:v>
                </c:pt>
                <c:pt idx="94">
                  <c:v>10798.4</c:v>
                </c:pt>
                <c:pt idx="95">
                  <c:v>10800.3</c:v>
                </c:pt>
                <c:pt idx="96">
                  <c:v>10802.1</c:v>
                </c:pt>
                <c:pt idx="97">
                  <c:v>10804</c:v>
                </c:pt>
                <c:pt idx="98">
                  <c:v>10805.8</c:v>
                </c:pt>
                <c:pt idx="99">
                  <c:v>10807.7</c:v>
                </c:pt>
                <c:pt idx="100">
                  <c:v>10809.5</c:v>
                </c:pt>
                <c:pt idx="101">
                  <c:v>10811.4</c:v>
                </c:pt>
                <c:pt idx="102">
                  <c:v>10813.2</c:v>
                </c:pt>
                <c:pt idx="103">
                  <c:v>10815</c:v>
                </c:pt>
                <c:pt idx="104">
                  <c:v>10816.9</c:v>
                </c:pt>
                <c:pt idx="105">
                  <c:v>10818.7</c:v>
                </c:pt>
                <c:pt idx="106">
                  <c:v>10820.6</c:v>
                </c:pt>
                <c:pt idx="107">
                  <c:v>10822.4</c:v>
                </c:pt>
                <c:pt idx="108">
                  <c:v>10824.3</c:v>
                </c:pt>
                <c:pt idx="109">
                  <c:v>10826.1</c:v>
                </c:pt>
                <c:pt idx="110">
                  <c:v>10828</c:v>
                </c:pt>
                <c:pt idx="111">
                  <c:v>10829.8</c:v>
                </c:pt>
                <c:pt idx="112">
                  <c:v>10831.7</c:v>
                </c:pt>
                <c:pt idx="113">
                  <c:v>10833.5</c:v>
                </c:pt>
                <c:pt idx="114">
                  <c:v>10835.4</c:v>
                </c:pt>
                <c:pt idx="115">
                  <c:v>10837.2</c:v>
                </c:pt>
                <c:pt idx="116">
                  <c:v>10839.1</c:v>
                </c:pt>
                <c:pt idx="117">
                  <c:v>10841</c:v>
                </c:pt>
                <c:pt idx="118">
                  <c:v>10842.8</c:v>
                </c:pt>
                <c:pt idx="119">
                  <c:v>10844.7</c:v>
                </c:pt>
                <c:pt idx="120">
                  <c:v>10846.5</c:v>
                </c:pt>
                <c:pt idx="121">
                  <c:v>10848.4</c:v>
                </c:pt>
                <c:pt idx="122">
                  <c:v>10850.2</c:v>
                </c:pt>
                <c:pt idx="123">
                  <c:v>10852.1</c:v>
                </c:pt>
                <c:pt idx="124">
                  <c:v>10854</c:v>
                </c:pt>
                <c:pt idx="125">
                  <c:v>10855.8</c:v>
                </c:pt>
                <c:pt idx="126">
                  <c:v>10857.7</c:v>
                </c:pt>
                <c:pt idx="127">
                  <c:v>10859.5</c:v>
                </c:pt>
                <c:pt idx="128">
                  <c:v>10861.4</c:v>
                </c:pt>
                <c:pt idx="129">
                  <c:v>10863.3</c:v>
                </c:pt>
                <c:pt idx="130">
                  <c:v>10865.1</c:v>
                </c:pt>
                <c:pt idx="131">
                  <c:v>10867</c:v>
                </c:pt>
                <c:pt idx="132">
                  <c:v>10868.9</c:v>
                </c:pt>
                <c:pt idx="133">
                  <c:v>10870.7</c:v>
                </c:pt>
                <c:pt idx="134">
                  <c:v>10872.6</c:v>
                </c:pt>
                <c:pt idx="135">
                  <c:v>10874.5</c:v>
                </c:pt>
                <c:pt idx="136">
                  <c:v>10876.4</c:v>
                </c:pt>
                <c:pt idx="137">
                  <c:v>10878.2</c:v>
                </c:pt>
                <c:pt idx="138">
                  <c:v>10880.1</c:v>
                </c:pt>
                <c:pt idx="139">
                  <c:v>10882</c:v>
                </c:pt>
                <c:pt idx="140">
                  <c:v>10883.9</c:v>
                </c:pt>
                <c:pt idx="141">
                  <c:v>10885.7</c:v>
                </c:pt>
                <c:pt idx="142">
                  <c:v>10887.6</c:v>
                </c:pt>
                <c:pt idx="143">
                  <c:v>10889.5</c:v>
                </c:pt>
                <c:pt idx="144">
                  <c:v>10891.4</c:v>
                </c:pt>
                <c:pt idx="145">
                  <c:v>10893.3</c:v>
                </c:pt>
                <c:pt idx="146">
                  <c:v>10895.1</c:v>
                </c:pt>
                <c:pt idx="147">
                  <c:v>10897</c:v>
                </c:pt>
                <c:pt idx="148">
                  <c:v>10898.9</c:v>
                </c:pt>
                <c:pt idx="149">
                  <c:v>10900.8</c:v>
                </c:pt>
                <c:pt idx="150">
                  <c:v>10902.7</c:v>
                </c:pt>
                <c:pt idx="151">
                  <c:v>10904.6</c:v>
                </c:pt>
                <c:pt idx="152">
                  <c:v>10906.5</c:v>
                </c:pt>
                <c:pt idx="153">
                  <c:v>10908.4</c:v>
                </c:pt>
                <c:pt idx="154">
                  <c:v>10910.3</c:v>
                </c:pt>
                <c:pt idx="155">
                  <c:v>10912.2</c:v>
                </c:pt>
                <c:pt idx="156">
                  <c:v>10914.1</c:v>
                </c:pt>
                <c:pt idx="157">
                  <c:v>10916</c:v>
                </c:pt>
                <c:pt idx="158">
                  <c:v>10917.9</c:v>
                </c:pt>
                <c:pt idx="159">
                  <c:v>10919.8</c:v>
                </c:pt>
                <c:pt idx="160">
                  <c:v>10921.7</c:v>
                </c:pt>
                <c:pt idx="161">
                  <c:v>10923.6</c:v>
                </c:pt>
                <c:pt idx="162">
                  <c:v>10925.5</c:v>
                </c:pt>
                <c:pt idx="163">
                  <c:v>10927.5</c:v>
                </c:pt>
                <c:pt idx="164">
                  <c:v>10929.4</c:v>
                </c:pt>
                <c:pt idx="165">
                  <c:v>10931.3</c:v>
                </c:pt>
                <c:pt idx="166">
                  <c:v>10933.2</c:v>
                </c:pt>
                <c:pt idx="167">
                  <c:v>10935.2</c:v>
                </c:pt>
                <c:pt idx="168">
                  <c:v>10937.1</c:v>
                </c:pt>
                <c:pt idx="169">
                  <c:v>10939</c:v>
                </c:pt>
                <c:pt idx="170">
                  <c:v>10941</c:v>
                </c:pt>
                <c:pt idx="171">
                  <c:v>10942.9</c:v>
                </c:pt>
                <c:pt idx="172">
                  <c:v>10944.8</c:v>
                </c:pt>
                <c:pt idx="173">
                  <c:v>10946.8</c:v>
                </c:pt>
                <c:pt idx="174">
                  <c:v>10948.7</c:v>
                </c:pt>
                <c:pt idx="175">
                  <c:v>10950.7</c:v>
                </c:pt>
                <c:pt idx="176">
                  <c:v>10952.7</c:v>
                </c:pt>
                <c:pt idx="177">
                  <c:v>10954.6</c:v>
                </c:pt>
                <c:pt idx="178">
                  <c:v>10956.6</c:v>
                </c:pt>
                <c:pt idx="179">
                  <c:v>10958.5</c:v>
                </c:pt>
                <c:pt idx="180">
                  <c:v>10960.5</c:v>
                </c:pt>
                <c:pt idx="181">
                  <c:v>10962.5</c:v>
                </c:pt>
                <c:pt idx="182">
                  <c:v>10964.5</c:v>
                </c:pt>
                <c:pt idx="183">
                  <c:v>10966.5</c:v>
                </c:pt>
                <c:pt idx="184">
                  <c:v>10968.5</c:v>
                </c:pt>
                <c:pt idx="185">
                  <c:v>10970.4</c:v>
                </c:pt>
                <c:pt idx="186">
                  <c:v>10972.4</c:v>
                </c:pt>
                <c:pt idx="187">
                  <c:v>10974.5</c:v>
                </c:pt>
                <c:pt idx="188">
                  <c:v>10976.5</c:v>
                </c:pt>
                <c:pt idx="189">
                  <c:v>10978.5</c:v>
                </c:pt>
                <c:pt idx="190">
                  <c:v>10980.5</c:v>
                </c:pt>
                <c:pt idx="191">
                  <c:v>10982.5</c:v>
                </c:pt>
                <c:pt idx="192">
                  <c:v>10984.9</c:v>
                </c:pt>
                <c:pt idx="193">
                  <c:v>10987.3</c:v>
                </c:pt>
                <c:pt idx="194">
                  <c:v>10989.7</c:v>
                </c:pt>
                <c:pt idx="195">
                  <c:v>10992.1</c:v>
                </c:pt>
                <c:pt idx="196">
                  <c:v>10994.5</c:v>
                </c:pt>
                <c:pt idx="197">
                  <c:v>10996.9</c:v>
                </c:pt>
                <c:pt idx="198">
                  <c:v>10999.3</c:v>
                </c:pt>
                <c:pt idx="199">
                  <c:v>11001.7</c:v>
                </c:pt>
                <c:pt idx="200">
                  <c:v>11004.2</c:v>
                </c:pt>
                <c:pt idx="201">
                  <c:v>11006.6</c:v>
                </c:pt>
                <c:pt idx="202">
                  <c:v>11009.1</c:v>
                </c:pt>
                <c:pt idx="203">
                  <c:v>11011.5</c:v>
                </c:pt>
                <c:pt idx="204">
                  <c:v>11014</c:v>
                </c:pt>
                <c:pt idx="205">
                  <c:v>11016.5</c:v>
                </c:pt>
                <c:pt idx="206">
                  <c:v>11019</c:v>
                </c:pt>
                <c:pt idx="207">
                  <c:v>11021.5</c:v>
                </c:pt>
                <c:pt idx="208">
                  <c:v>11024</c:v>
                </c:pt>
                <c:pt idx="209">
                  <c:v>11026.6</c:v>
                </c:pt>
                <c:pt idx="210">
                  <c:v>11029.1</c:v>
                </c:pt>
                <c:pt idx="211">
                  <c:v>11031.7</c:v>
                </c:pt>
                <c:pt idx="212">
                  <c:v>11034.3</c:v>
                </c:pt>
                <c:pt idx="213">
                  <c:v>11036.9</c:v>
                </c:pt>
                <c:pt idx="214">
                  <c:v>11039.5</c:v>
                </c:pt>
                <c:pt idx="215">
                  <c:v>11042.2</c:v>
                </c:pt>
                <c:pt idx="216">
                  <c:v>11044.9</c:v>
                </c:pt>
                <c:pt idx="217">
                  <c:v>11047.6</c:v>
                </c:pt>
                <c:pt idx="218">
                  <c:v>11050.3</c:v>
                </c:pt>
                <c:pt idx="219">
                  <c:v>11054.2</c:v>
                </c:pt>
                <c:pt idx="220">
                  <c:v>11058.2</c:v>
                </c:pt>
                <c:pt idx="221">
                  <c:v>11062.3</c:v>
                </c:pt>
                <c:pt idx="222">
                  <c:v>11066.4</c:v>
                </c:pt>
                <c:pt idx="223">
                  <c:v>11070.5</c:v>
                </c:pt>
                <c:pt idx="224">
                  <c:v>11074.7</c:v>
                </c:pt>
                <c:pt idx="225">
                  <c:v>11078.9</c:v>
                </c:pt>
                <c:pt idx="226">
                  <c:v>11083.2</c:v>
                </c:pt>
                <c:pt idx="227">
                  <c:v>11087.6</c:v>
                </c:pt>
                <c:pt idx="228">
                  <c:v>11092.1</c:v>
                </c:pt>
                <c:pt idx="229">
                  <c:v>11096.6</c:v>
                </c:pt>
                <c:pt idx="230">
                  <c:v>11101.3</c:v>
                </c:pt>
                <c:pt idx="231">
                  <c:v>11106.1</c:v>
                </c:pt>
                <c:pt idx="232">
                  <c:v>11111.1</c:v>
                </c:pt>
                <c:pt idx="233">
                  <c:v>11116.1</c:v>
                </c:pt>
                <c:pt idx="234">
                  <c:v>11121.4</c:v>
                </c:pt>
                <c:pt idx="235">
                  <c:v>11126.9</c:v>
                </c:pt>
                <c:pt idx="236">
                  <c:v>11132.6</c:v>
                </c:pt>
                <c:pt idx="237">
                  <c:v>11138.5</c:v>
                </c:pt>
                <c:pt idx="238">
                  <c:v>11144.8</c:v>
                </c:pt>
                <c:pt idx="239">
                  <c:v>11151.3</c:v>
                </c:pt>
                <c:pt idx="240">
                  <c:v>11158.2</c:v>
                </c:pt>
                <c:pt idx="241">
                  <c:v>11165.4</c:v>
                </c:pt>
                <c:pt idx="242">
                  <c:v>11173.1</c:v>
                </c:pt>
                <c:pt idx="243">
                  <c:v>11181.2</c:v>
                </c:pt>
                <c:pt idx="244">
                  <c:v>11189.9</c:v>
                </c:pt>
                <c:pt idx="245">
                  <c:v>11199</c:v>
                </c:pt>
                <c:pt idx="246">
                  <c:v>11208.8</c:v>
                </c:pt>
                <c:pt idx="247">
                  <c:v>11219.2</c:v>
                </c:pt>
                <c:pt idx="248">
                  <c:v>11230.4</c:v>
                </c:pt>
                <c:pt idx="249">
                  <c:v>11242.2</c:v>
                </c:pt>
                <c:pt idx="250">
                  <c:v>11254.9</c:v>
                </c:pt>
                <c:pt idx="251">
                  <c:v>11268.4</c:v>
                </c:pt>
                <c:pt idx="252">
                  <c:v>11282.7</c:v>
                </c:pt>
                <c:pt idx="253">
                  <c:v>11298</c:v>
                </c:pt>
                <c:pt idx="254">
                  <c:v>11314.3</c:v>
                </c:pt>
                <c:pt idx="255">
                  <c:v>11331.6</c:v>
                </c:pt>
                <c:pt idx="256">
                  <c:v>11350</c:v>
                </c:pt>
                <c:pt idx="257">
                  <c:v>11369.4</c:v>
                </c:pt>
                <c:pt idx="258">
                  <c:v>11389.9</c:v>
                </c:pt>
                <c:pt idx="259">
                  <c:v>11411.5</c:v>
                </c:pt>
                <c:pt idx="260">
                  <c:v>11434.2</c:v>
                </c:pt>
                <c:pt idx="261">
                  <c:v>11457.9</c:v>
                </c:pt>
                <c:pt idx="262">
                  <c:v>11482.8</c:v>
                </c:pt>
                <c:pt idx="263">
                  <c:v>11508.7</c:v>
                </c:pt>
                <c:pt idx="264">
                  <c:v>11535.6</c:v>
                </c:pt>
                <c:pt idx="265">
                  <c:v>11563.5</c:v>
                </c:pt>
                <c:pt idx="266">
                  <c:v>11592.2</c:v>
                </c:pt>
                <c:pt idx="267">
                  <c:v>11621.7</c:v>
                </c:pt>
                <c:pt idx="268">
                  <c:v>11651.9</c:v>
                </c:pt>
                <c:pt idx="269">
                  <c:v>11682.7</c:v>
                </c:pt>
                <c:pt idx="270">
                  <c:v>11713.9</c:v>
                </c:pt>
                <c:pt idx="271">
                  <c:v>11745.4</c:v>
                </c:pt>
                <c:pt idx="272">
                  <c:v>11777.1</c:v>
                </c:pt>
                <c:pt idx="273">
                  <c:v>11808.7</c:v>
                </c:pt>
                <c:pt idx="274">
                  <c:v>11840.1</c:v>
                </c:pt>
                <c:pt idx="275">
                  <c:v>11871</c:v>
                </c:pt>
                <c:pt idx="276">
                  <c:v>11901.2</c:v>
                </c:pt>
                <c:pt idx="277">
                  <c:v>11930.5</c:v>
                </c:pt>
                <c:pt idx="278">
                  <c:v>11958.7</c:v>
                </c:pt>
                <c:pt idx="279">
                  <c:v>11985.4</c:v>
                </c:pt>
                <c:pt idx="280">
                  <c:v>12010.4</c:v>
                </c:pt>
                <c:pt idx="281">
                  <c:v>12033.5</c:v>
                </c:pt>
                <c:pt idx="282">
                  <c:v>12054.4</c:v>
                </c:pt>
                <c:pt idx="283">
                  <c:v>12072.8</c:v>
                </c:pt>
                <c:pt idx="284">
                  <c:v>12088.5</c:v>
                </c:pt>
                <c:pt idx="285">
                  <c:v>12101.3</c:v>
                </c:pt>
                <c:pt idx="286">
                  <c:v>12111.2</c:v>
                </c:pt>
                <c:pt idx="287">
                  <c:v>12117.9</c:v>
                </c:pt>
                <c:pt idx="288">
                  <c:v>12121.4</c:v>
                </c:pt>
                <c:pt idx="289">
                  <c:v>12121.7</c:v>
                </c:pt>
                <c:pt idx="290">
                  <c:v>12118.9</c:v>
                </c:pt>
                <c:pt idx="291">
                  <c:v>12113.1</c:v>
                </c:pt>
                <c:pt idx="292">
                  <c:v>12104.3</c:v>
                </c:pt>
                <c:pt idx="293">
                  <c:v>12092.9</c:v>
                </c:pt>
                <c:pt idx="294">
                  <c:v>12079</c:v>
                </c:pt>
                <c:pt idx="295">
                  <c:v>12062.8</c:v>
                </c:pt>
                <c:pt idx="296">
                  <c:v>12044.7</c:v>
                </c:pt>
                <c:pt idx="297">
                  <c:v>12024.9</c:v>
                </c:pt>
                <c:pt idx="298">
                  <c:v>12003.5</c:v>
                </c:pt>
                <c:pt idx="299">
                  <c:v>11981</c:v>
                </c:pt>
                <c:pt idx="300">
                  <c:v>11957.6</c:v>
                </c:pt>
                <c:pt idx="301">
                  <c:v>11933.5</c:v>
                </c:pt>
                <c:pt idx="302">
                  <c:v>11908.8</c:v>
                </c:pt>
                <c:pt idx="303">
                  <c:v>11883.9</c:v>
                </c:pt>
                <c:pt idx="304">
                  <c:v>11859</c:v>
                </c:pt>
                <c:pt idx="305">
                  <c:v>11834.2</c:v>
                </c:pt>
                <c:pt idx="306">
                  <c:v>11809.6</c:v>
                </c:pt>
                <c:pt idx="307">
                  <c:v>11785.5</c:v>
                </c:pt>
                <c:pt idx="308">
                  <c:v>11761.9</c:v>
                </c:pt>
                <c:pt idx="309">
                  <c:v>11739.1</c:v>
                </c:pt>
                <c:pt idx="310">
                  <c:v>11717</c:v>
                </c:pt>
                <c:pt idx="311">
                  <c:v>11695.7</c:v>
                </c:pt>
                <c:pt idx="312">
                  <c:v>11675.4</c:v>
                </c:pt>
                <c:pt idx="313">
                  <c:v>11656.1</c:v>
                </c:pt>
                <c:pt idx="314">
                  <c:v>11637.9</c:v>
                </c:pt>
                <c:pt idx="315">
                  <c:v>11620.7</c:v>
                </c:pt>
                <c:pt idx="316">
                  <c:v>11604.6</c:v>
                </c:pt>
                <c:pt idx="317">
                  <c:v>11589.6</c:v>
                </c:pt>
                <c:pt idx="318">
                  <c:v>11575.7</c:v>
                </c:pt>
                <c:pt idx="319">
                  <c:v>11562.9</c:v>
                </c:pt>
                <c:pt idx="320">
                  <c:v>11551.1</c:v>
                </c:pt>
                <c:pt idx="321">
                  <c:v>11540.4</c:v>
                </c:pt>
                <c:pt idx="322">
                  <c:v>11530.8</c:v>
                </c:pt>
                <c:pt idx="323">
                  <c:v>11522.1</c:v>
                </c:pt>
                <c:pt idx="324">
                  <c:v>11514.3</c:v>
                </c:pt>
                <c:pt idx="325">
                  <c:v>11507.4</c:v>
                </c:pt>
                <c:pt idx="326">
                  <c:v>11501.4</c:v>
                </c:pt>
                <c:pt idx="327">
                  <c:v>11496.2</c:v>
                </c:pt>
                <c:pt idx="328">
                  <c:v>11491.7</c:v>
                </c:pt>
                <c:pt idx="329">
                  <c:v>11487.9</c:v>
                </c:pt>
                <c:pt idx="330">
                  <c:v>11484.8</c:v>
                </c:pt>
                <c:pt idx="331">
                  <c:v>11482.2</c:v>
                </c:pt>
                <c:pt idx="332">
                  <c:v>11480.3</c:v>
                </c:pt>
                <c:pt idx="333">
                  <c:v>11478.8</c:v>
                </c:pt>
                <c:pt idx="334">
                  <c:v>11477.8</c:v>
                </c:pt>
                <c:pt idx="335">
                  <c:v>11477.2</c:v>
                </c:pt>
                <c:pt idx="336">
                  <c:v>11477</c:v>
                </c:pt>
                <c:pt idx="337">
                  <c:v>11477.1</c:v>
                </c:pt>
                <c:pt idx="338">
                  <c:v>11477.6</c:v>
                </c:pt>
                <c:pt idx="339">
                  <c:v>11478.3</c:v>
                </c:pt>
                <c:pt idx="340">
                  <c:v>11479.3</c:v>
                </c:pt>
                <c:pt idx="341">
                  <c:v>11480.5</c:v>
                </c:pt>
                <c:pt idx="342">
                  <c:v>11481.9</c:v>
                </c:pt>
                <c:pt idx="343">
                  <c:v>11483.5</c:v>
                </c:pt>
                <c:pt idx="344">
                  <c:v>11485.3</c:v>
                </c:pt>
                <c:pt idx="345">
                  <c:v>11487.2</c:v>
                </c:pt>
                <c:pt idx="346">
                  <c:v>11489.2</c:v>
                </c:pt>
                <c:pt idx="347">
                  <c:v>11491.3</c:v>
                </c:pt>
                <c:pt idx="348">
                  <c:v>11493.6</c:v>
                </c:pt>
                <c:pt idx="349">
                  <c:v>11495.9</c:v>
                </c:pt>
                <c:pt idx="350">
                  <c:v>11498.3</c:v>
                </c:pt>
                <c:pt idx="351">
                  <c:v>11500.7</c:v>
                </c:pt>
                <c:pt idx="352">
                  <c:v>11503.3</c:v>
                </c:pt>
                <c:pt idx="353">
                  <c:v>11505.8</c:v>
                </c:pt>
                <c:pt idx="354">
                  <c:v>11508.5</c:v>
                </c:pt>
                <c:pt idx="355">
                  <c:v>11511.1</c:v>
                </c:pt>
                <c:pt idx="356">
                  <c:v>11513.8</c:v>
                </c:pt>
                <c:pt idx="357">
                  <c:v>11516.6</c:v>
                </c:pt>
                <c:pt idx="358">
                  <c:v>11519.3</c:v>
                </c:pt>
                <c:pt idx="359">
                  <c:v>11522.1</c:v>
                </c:pt>
                <c:pt idx="360">
                  <c:v>11525</c:v>
                </c:pt>
                <c:pt idx="361">
                  <c:v>11527.8</c:v>
                </c:pt>
                <c:pt idx="362">
                  <c:v>11530.7</c:v>
                </c:pt>
                <c:pt idx="363">
                  <c:v>11533.6</c:v>
                </c:pt>
                <c:pt idx="364">
                  <c:v>11536.5</c:v>
                </c:pt>
                <c:pt idx="365">
                  <c:v>11539.4</c:v>
                </c:pt>
                <c:pt idx="366">
                  <c:v>11549.8</c:v>
                </c:pt>
                <c:pt idx="367">
                  <c:v>11560.2</c:v>
                </c:pt>
                <c:pt idx="368">
                  <c:v>11570.5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F-D34A-8C59-97D745BC9734}"/>
            </c:ext>
          </c:extLst>
        </c:ser>
        <c:ser>
          <c:idx val="1"/>
          <c:order val="1"/>
          <c:tx>
            <c:strRef>
              <c:f>'Fig 9c'!$F$2</c:f>
              <c:strCache>
                <c:ptCount val="1"/>
                <c:pt idx="0">
                  <c:v>Zn2p1/2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100000"/>
                    <a:alpha val="0"/>
                  </a:schemeClr>
                </a:gs>
                <a:gs pos="100000">
                  <a:srgbClr val="146082"/>
                </a:gs>
              </a:gsLst>
              <a:lin ang="16200000" scaled="1"/>
            </a:gradFill>
            <a:ln w="25400">
              <a:noFill/>
            </a:ln>
            <a:effectLst/>
          </c:spPr>
          <c:cat>
            <c:numRef>
              <c:f>'Fig 9c'!$A$6:$A$374</c:f>
              <c:numCache>
                <c:formatCode>General</c:formatCode>
                <c:ptCount val="369"/>
                <c:pt idx="0">
                  <c:v>1052</c:v>
                </c:pt>
                <c:pt idx="1">
                  <c:v>1051.9000000000001</c:v>
                </c:pt>
                <c:pt idx="2">
                  <c:v>1051.8</c:v>
                </c:pt>
                <c:pt idx="3">
                  <c:v>1051.7</c:v>
                </c:pt>
                <c:pt idx="4">
                  <c:v>1051.5999999999999</c:v>
                </c:pt>
                <c:pt idx="5">
                  <c:v>1051.5</c:v>
                </c:pt>
                <c:pt idx="6">
                  <c:v>1051.4000000000001</c:v>
                </c:pt>
                <c:pt idx="7">
                  <c:v>1051.3</c:v>
                </c:pt>
                <c:pt idx="8">
                  <c:v>1051.2</c:v>
                </c:pt>
                <c:pt idx="9">
                  <c:v>1051.0999999999999</c:v>
                </c:pt>
                <c:pt idx="10">
                  <c:v>1051</c:v>
                </c:pt>
                <c:pt idx="11">
                  <c:v>1050.9000000000001</c:v>
                </c:pt>
                <c:pt idx="12">
                  <c:v>1050.8</c:v>
                </c:pt>
                <c:pt idx="13">
                  <c:v>1050.7</c:v>
                </c:pt>
                <c:pt idx="14">
                  <c:v>1050.5999999999999</c:v>
                </c:pt>
                <c:pt idx="15">
                  <c:v>1050.5</c:v>
                </c:pt>
                <c:pt idx="16">
                  <c:v>1050.4000000000001</c:v>
                </c:pt>
                <c:pt idx="17">
                  <c:v>1050.3</c:v>
                </c:pt>
                <c:pt idx="18">
                  <c:v>1050.2</c:v>
                </c:pt>
                <c:pt idx="19">
                  <c:v>1050.0999999999999</c:v>
                </c:pt>
                <c:pt idx="20">
                  <c:v>1050</c:v>
                </c:pt>
                <c:pt idx="21">
                  <c:v>1049.9000000000001</c:v>
                </c:pt>
                <c:pt idx="22">
                  <c:v>1049.8</c:v>
                </c:pt>
                <c:pt idx="23">
                  <c:v>1049.7</c:v>
                </c:pt>
                <c:pt idx="24">
                  <c:v>1049.5999999999999</c:v>
                </c:pt>
                <c:pt idx="25">
                  <c:v>1049.5</c:v>
                </c:pt>
                <c:pt idx="26">
                  <c:v>1049.4000000000001</c:v>
                </c:pt>
                <c:pt idx="27">
                  <c:v>1049.3</c:v>
                </c:pt>
                <c:pt idx="28">
                  <c:v>1049.2</c:v>
                </c:pt>
                <c:pt idx="29">
                  <c:v>1049.0999999999999</c:v>
                </c:pt>
                <c:pt idx="30">
                  <c:v>1049</c:v>
                </c:pt>
                <c:pt idx="31">
                  <c:v>1048.9000000000001</c:v>
                </c:pt>
                <c:pt idx="32">
                  <c:v>1048.8</c:v>
                </c:pt>
                <c:pt idx="33">
                  <c:v>1048.7</c:v>
                </c:pt>
                <c:pt idx="34">
                  <c:v>1048.5999999999999</c:v>
                </c:pt>
                <c:pt idx="35">
                  <c:v>1048.5</c:v>
                </c:pt>
                <c:pt idx="36">
                  <c:v>1048.4000000000001</c:v>
                </c:pt>
                <c:pt idx="37">
                  <c:v>1048.3</c:v>
                </c:pt>
                <c:pt idx="38">
                  <c:v>1048.2</c:v>
                </c:pt>
                <c:pt idx="39">
                  <c:v>1048.0999999999999</c:v>
                </c:pt>
                <c:pt idx="40">
                  <c:v>1048</c:v>
                </c:pt>
                <c:pt idx="41">
                  <c:v>1047.9000000000001</c:v>
                </c:pt>
                <c:pt idx="42">
                  <c:v>1047.8</c:v>
                </c:pt>
                <c:pt idx="43">
                  <c:v>1047.7</c:v>
                </c:pt>
                <c:pt idx="44">
                  <c:v>1047.5999999999999</c:v>
                </c:pt>
                <c:pt idx="45">
                  <c:v>1047.5</c:v>
                </c:pt>
                <c:pt idx="46">
                  <c:v>1047.4000000000001</c:v>
                </c:pt>
                <c:pt idx="47">
                  <c:v>1047.3</c:v>
                </c:pt>
                <c:pt idx="48">
                  <c:v>1047.2</c:v>
                </c:pt>
                <c:pt idx="49">
                  <c:v>1047.0999999999999</c:v>
                </c:pt>
                <c:pt idx="50">
                  <c:v>1047</c:v>
                </c:pt>
                <c:pt idx="51">
                  <c:v>1046.9000000000001</c:v>
                </c:pt>
                <c:pt idx="52">
                  <c:v>1046.8</c:v>
                </c:pt>
                <c:pt idx="53">
                  <c:v>1046.7</c:v>
                </c:pt>
                <c:pt idx="54">
                  <c:v>1046.5999999999999</c:v>
                </c:pt>
                <c:pt idx="55">
                  <c:v>1046.5</c:v>
                </c:pt>
                <c:pt idx="56">
                  <c:v>1046.4000000000001</c:v>
                </c:pt>
                <c:pt idx="57">
                  <c:v>1046.3</c:v>
                </c:pt>
                <c:pt idx="58">
                  <c:v>1046.2</c:v>
                </c:pt>
                <c:pt idx="59">
                  <c:v>1046.0999999999999</c:v>
                </c:pt>
                <c:pt idx="60">
                  <c:v>1046</c:v>
                </c:pt>
                <c:pt idx="61">
                  <c:v>1045.9000000000001</c:v>
                </c:pt>
                <c:pt idx="62">
                  <c:v>1045.8</c:v>
                </c:pt>
                <c:pt idx="63">
                  <c:v>1045.7</c:v>
                </c:pt>
                <c:pt idx="64">
                  <c:v>1045.5999999999999</c:v>
                </c:pt>
                <c:pt idx="65">
                  <c:v>1045.5</c:v>
                </c:pt>
                <c:pt idx="66">
                  <c:v>1045.4000000000001</c:v>
                </c:pt>
                <c:pt idx="67">
                  <c:v>1045.3</c:v>
                </c:pt>
                <c:pt idx="68">
                  <c:v>1045.2</c:v>
                </c:pt>
                <c:pt idx="69">
                  <c:v>1045.0999999999999</c:v>
                </c:pt>
                <c:pt idx="70">
                  <c:v>1045</c:v>
                </c:pt>
                <c:pt idx="71">
                  <c:v>1044.9000000000001</c:v>
                </c:pt>
                <c:pt idx="72">
                  <c:v>1044.8</c:v>
                </c:pt>
                <c:pt idx="73">
                  <c:v>1044.7</c:v>
                </c:pt>
                <c:pt idx="74">
                  <c:v>1044.5999999999999</c:v>
                </c:pt>
                <c:pt idx="75">
                  <c:v>1044.5</c:v>
                </c:pt>
                <c:pt idx="76">
                  <c:v>1044.4000000000001</c:v>
                </c:pt>
                <c:pt idx="77">
                  <c:v>1044.3</c:v>
                </c:pt>
                <c:pt idx="78">
                  <c:v>1044.2</c:v>
                </c:pt>
                <c:pt idx="79">
                  <c:v>1044.0999999999999</c:v>
                </c:pt>
                <c:pt idx="80">
                  <c:v>1044</c:v>
                </c:pt>
                <c:pt idx="81">
                  <c:v>1043.9000000000001</c:v>
                </c:pt>
                <c:pt idx="82">
                  <c:v>1043.8</c:v>
                </c:pt>
                <c:pt idx="83">
                  <c:v>1043.7</c:v>
                </c:pt>
                <c:pt idx="84">
                  <c:v>1043.5999999999999</c:v>
                </c:pt>
                <c:pt idx="85">
                  <c:v>1043.5</c:v>
                </c:pt>
                <c:pt idx="86">
                  <c:v>1043.4000000000001</c:v>
                </c:pt>
                <c:pt idx="87">
                  <c:v>1043.3</c:v>
                </c:pt>
                <c:pt idx="88">
                  <c:v>1043.2</c:v>
                </c:pt>
                <c:pt idx="89">
                  <c:v>1043.0999999999999</c:v>
                </c:pt>
                <c:pt idx="90">
                  <c:v>1043</c:v>
                </c:pt>
                <c:pt idx="91">
                  <c:v>1042.9000000000001</c:v>
                </c:pt>
                <c:pt idx="92">
                  <c:v>1042.8</c:v>
                </c:pt>
                <c:pt idx="93">
                  <c:v>1042.7</c:v>
                </c:pt>
                <c:pt idx="94">
                  <c:v>1042.5999999999999</c:v>
                </c:pt>
                <c:pt idx="95">
                  <c:v>1042.5</c:v>
                </c:pt>
                <c:pt idx="96">
                  <c:v>1042.4000000000001</c:v>
                </c:pt>
                <c:pt idx="97">
                  <c:v>1042.3</c:v>
                </c:pt>
                <c:pt idx="98">
                  <c:v>1042.2</c:v>
                </c:pt>
                <c:pt idx="99">
                  <c:v>1042.0999999999999</c:v>
                </c:pt>
                <c:pt idx="100">
                  <c:v>1042</c:v>
                </c:pt>
                <c:pt idx="101">
                  <c:v>1041.9000000000001</c:v>
                </c:pt>
                <c:pt idx="102">
                  <c:v>1041.8</c:v>
                </c:pt>
                <c:pt idx="103">
                  <c:v>1041.7</c:v>
                </c:pt>
                <c:pt idx="104">
                  <c:v>1041.5999999999999</c:v>
                </c:pt>
                <c:pt idx="105">
                  <c:v>1041.5</c:v>
                </c:pt>
                <c:pt idx="106">
                  <c:v>1041.4000000000001</c:v>
                </c:pt>
                <c:pt idx="107">
                  <c:v>1041.3</c:v>
                </c:pt>
                <c:pt idx="108">
                  <c:v>1041.2</c:v>
                </c:pt>
                <c:pt idx="109">
                  <c:v>1041.0999999999999</c:v>
                </c:pt>
                <c:pt idx="110">
                  <c:v>1041</c:v>
                </c:pt>
                <c:pt idx="111">
                  <c:v>1040.9000000000001</c:v>
                </c:pt>
                <c:pt idx="112">
                  <c:v>1040.8</c:v>
                </c:pt>
                <c:pt idx="113">
                  <c:v>1040.7</c:v>
                </c:pt>
                <c:pt idx="114">
                  <c:v>1040.5999999999999</c:v>
                </c:pt>
                <c:pt idx="115">
                  <c:v>1040.5</c:v>
                </c:pt>
                <c:pt idx="116">
                  <c:v>1040.4000000000001</c:v>
                </c:pt>
                <c:pt idx="117">
                  <c:v>1040.3</c:v>
                </c:pt>
                <c:pt idx="118">
                  <c:v>1040.2</c:v>
                </c:pt>
                <c:pt idx="119">
                  <c:v>1040.0999999999999</c:v>
                </c:pt>
                <c:pt idx="120">
                  <c:v>1040</c:v>
                </c:pt>
                <c:pt idx="121">
                  <c:v>1039.9000000000001</c:v>
                </c:pt>
                <c:pt idx="122">
                  <c:v>1039.8</c:v>
                </c:pt>
                <c:pt idx="123">
                  <c:v>1039.7</c:v>
                </c:pt>
                <c:pt idx="124">
                  <c:v>1039.5999999999999</c:v>
                </c:pt>
                <c:pt idx="125">
                  <c:v>1039.5</c:v>
                </c:pt>
                <c:pt idx="126">
                  <c:v>1039.4000000000001</c:v>
                </c:pt>
                <c:pt idx="127">
                  <c:v>1039.3</c:v>
                </c:pt>
                <c:pt idx="128">
                  <c:v>1039.2</c:v>
                </c:pt>
                <c:pt idx="129">
                  <c:v>1039.0999999999999</c:v>
                </c:pt>
                <c:pt idx="130">
                  <c:v>1039</c:v>
                </c:pt>
                <c:pt idx="131">
                  <c:v>1038.9000000000001</c:v>
                </c:pt>
                <c:pt idx="132">
                  <c:v>1038.8</c:v>
                </c:pt>
                <c:pt idx="133">
                  <c:v>1038.7</c:v>
                </c:pt>
                <c:pt idx="134">
                  <c:v>1038.5999999999999</c:v>
                </c:pt>
                <c:pt idx="135">
                  <c:v>1038.5</c:v>
                </c:pt>
                <c:pt idx="136">
                  <c:v>1038.4000000000001</c:v>
                </c:pt>
                <c:pt idx="137">
                  <c:v>1038.3</c:v>
                </c:pt>
                <c:pt idx="138">
                  <c:v>1038.2</c:v>
                </c:pt>
                <c:pt idx="139">
                  <c:v>1038.0999999999999</c:v>
                </c:pt>
                <c:pt idx="140">
                  <c:v>1038</c:v>
                </c:pt>
                <c:pt idx="141">
                  <c:v>1037.9000000000001</c:v>
                </c:pt>
                <c:pt idx="142">
                  <c:v>1037.8</c:v>
                </c:pt>
                <c:pt idx="143">
                  <c:v>1037.7</c:v>
                </c:pt>
                <c:pt idx="144">
                  <c:v>1037.5999999999999</c:v>
                </c:pt>
                <c:pt idx="145">
                  <c:v>1037.5</c:v>
                </c:pt>
                <c:pt idx="146">
                  <c:v>1037.4000000000001</c:v>
                </c:pt>
                <c:pt idx="147">
                  <c:v>1037.3</c:v>
                </c:pt>
                <c:pt idx="148">
                  <c:v>1037.2</c:v>
                </c:pt>
                <c:pt idx="149">
                  <c:v>1037.0999999999999</c:v>
                </c:pt>
                <c:pt idx="150">
                  <c:v>1037</c:v>
                </c:pt>
                <c:pt idx="151">
                  <c:v>1036.9000000000001</c:v>
                </c:pt>
                <c:pt idx="152">
                  <c:v>1036.8</c:v>
                </c:pt>
                <c:pt idx="153">
                  <c:v>1036.7</c:v>
                </c:pt>
                <c:pt idx="154">
                  <c:v>1036.5999999999999</c:v>
                </c:pt>
                <c:pt idx="155">
                  <c:v>1036.5</c:v>
                </c:pt>
                <c:pt idx="156">
                  <c:v>1036.4000000000001</c:v>
                </c:pt>
                <c:pt idx="157">
                  <c:v>1036.3</c:v>
                </c:pt>
                <c:pt idx="158">
                  <c:v>1036.2</c:v>
                </c:pt>
                <c:pt idx="159">
                  <c:v>1036.0999999999999</c:v>
                </c:pt>
                <c:pt idx="160">
                  <c:v>1036</c:v>
                </c:pt>
                <c:pt idx="161">
                  <c:v>1035.9000000000001</c:v>
                </c:pt>
                <c:pt idx="162">
                  <c:v>1035.8</c:v>
                </c:pt>
                <c:pt idx="163">
                  <c:v>1035.7</c:v>
                </c:pt>
                <c:pt idx="164">
                  <c:v>1035.5999999999999</c:v>
                </c:pt>
                <c:pt idx="165">
                  <c:v>1035.5</c:v>
                </c:pt>
                <c:pt idx="166">
                  <c:v>1035.4000000000001</c:v>
                </c:pt>
                <c:pt idx="167">
                  <c:v>1035.3</c:v>
                </c:pt>
                <c:pt idx="168">
                  <c:v>1035.2</c:v>
                </c:pt>
                <c:pt idx="169">
                  <c:v>1035.0999999999999</c:v>
                </c:pt>
                <c:pt idx="170">
                  <c:v>1035</c:v>
                </c:pt>
                <c:pt idx="171">
                  <c:v>1034.9000000000001</c:v>
                </c:pt>
                <c:pt idx="172">
                  <c:v>1034.8</c:v>
                </c:pt>
                <c:pt idx="173">
                  <c:v>1034.7</c:v>
                </c:pt>
                <c:pt idx="174">
                  <c:v>1034.5999999999999</c:v>
                </c:pt>
                <c:pt idx="175">
                  <c:v>1034.5</c:v>
                </c:pt>
                <c:pt idx="176">
                  <c:v>1034.4000000000001</c:v>
                </c:pt>
                <c:pt idx="177">
                  <c:v>1034.3</c:v>
                </c:pt>
                <c:pt idx="178">
                  <c:v>1034.2</c:v>
                </c:pt>
                <c:pt idx="179">
                  <c:v>1034.0999999999999</c:v>
                </c:pt>
                <c:pt idx="180">
                  <c:v>1034</c:v>
                </c:pt>
                <c:pt idx="181">
                  <c:v>1033.9000000000001</c:v>
                </c:pt>
                <c:pt idx="182">
                  <c:v>1033.8</c:v>
                </c:pt>
                <c:pt idx="183">
                  <c:v>1033.7</c:v>
                </c:pt>
                <c:pt idx="184">
                  <c:v>1033.5999999999999</c:v>
                </c:pt>
                <c:pt idx="185">
                  <c:v>1033.5</c:v>
                </c:pt>
                <c:pt idx="186">
                  <c:v>1033.4000000000001</c:v>
                </c:pt>
                <c:pt idx="187">
                  <c:v>1033.3</c:v>
                </c:pt>
                <c:pt idx="188">
                  <c:v>1033.2</c:v>
                </c:pt>
                <c:pt idx="189">
                  <c:v>1033.0999999999999</c:v>
                </c:pt>
                <c:pt idx="190">
                  <c:v>1033</c:v>
                </c:pt>
                <c:pt idx="191">
                  <c:v>1032.9000000000001</c:v>
                </c:pt>
                <c:pt idx="192">
                  <c:v>1032.8</c:v>
                </c:pt>
                <c:pt idx="193">
                  <c:v>1032.7</c:v>
                </c:pt>
                <c:pt idx="194">
                  <c:v>1032.5999999999999</c:v>
                </c:pt>
                <c:pt idx="195">
                  <c:v>1032.5</c:v>
                </c:pt>
                <c:pt idx="196">
                  <c:v>1032.4000000000001</c:v>
                </c:pt>
                <c:pt idx="197">
                  <c:v>1032.3</c:v>
                </c:pt>
                <c:pt idx="198">
                  <c:v>1032.2</c:v>
                </c:pt>
                <c:pt idx="199">
                  <c:v>1032.0999999999999</c:v>
                </c:pt>
                <c:pt idx="200">
                  <c:v>1032</c:v>
                </c:pt>
                <c:pt idx="201">
                  <c:v>1031.9000000000001</c:v>
                </c:pt>
                <c:pt idx="202">
                  <c:v>1031.8</c:v>
                </c:pt>
                <c:pt idx="203">
                  <c:v>1031.7</c:v>
                </c:pt>
                <c:pt idx="204">
                  <c:v>1031.5999999999999</c:v>
                </c:pt>
                <c:pt idx="205">
                  <c:v>1031.5</c:v>
                </c:pt>
                <c:pt idx="206">
                  <c:v>1031.4000000000001</c:v>
                </c:pt>
                <c:pt idx="207">
                  <c:v>1031.3</c:v>
                </c:pt>
                <c:pt idx="208">
                  <c:v>1031.2</c:v>
                </c:pt>
                <c:pt idx="209">
                  <c:v>1031.0999999999999</c:v>
                </c:pt>
                <c:pt idx="210">
                  <c:v>1031</c:v>
                </c:pt>
                <c:pt idx="211">
                  <c:v>1030.9000000000001</c:v>
                </c:pt>
                <c:pt idx="212">
                  <c:v>1030.8</c:v>
                </c:pt>
                <c:pt idx="213">
                  <c:v>1030.7</c:v>
                </c:pt>
                <c:pt idx="214">
                  <c:v>1030.5999999999999</c:v>
                </c:pt>
                <c:pt idx="215">
                  <c:v>1030.5</c:v>
                </c:pt>
                <c:pt idx="216">
                  <c:v>1030.4000000000001</c:v>
                </c:pt>
                <c:pt idx="217">
                  <c:v>1030.3</c:v>
                </c:pt>
                <c:pt idx="218">
                  <c:v>1030.2</c:v>
                </c:pt>
                <c:pt idx="219">
                  <c:v>1030.0999999999999</c:v>
                </c:pt>
                <c:pt idx="220">
                  <c:v>1030</c:v>
                </c:pt>
                <c:pt idx="221">
                  <c:v>1029.9000000000001</c:v>
                </c:pt>
                <c:pt idx="222">
                  <c:v>1029.8</c:v>
                </c:pt>
                <c:pt idx="223">
                  <c:v>1029.7</c:v>
                </c:pt>
                <c:pt idx="224">
                  <c:v>1029.5999999999999</c:v>
                </c:pt>
                <c:pt idx="225">
                  <c:v>1029.5</c:v>
                </c:pt>
                <c:pt idx="226">
                  <c:v>1029.4000000000001</c:v>
                </c:pt>
                <c:pt idx="227">
                  <c:v>1029.3</c:v>
                </c:pt>
                <c:pt idx="228">
                  <c:v>1029.2</c:v>
                </c:pt>
                <c:pt idx="229">
                  <c:v>1029.0999999999999</c:v>
                </c:pt>
                <c:pt idx="230">
                  <c:v>1029</c:v>
                </c:pt>
                <c:pt idx="231">
                  <c:v>1028.9000000000001</c:v>
                </c:pt>
                <c:pt idx="232">
                  <c:v>1028.8</c:v>
                </c:pt>
                <c:pt idx="233">
                  <c:v>1028.7</c:v>
                </c:pt>
                <c:pt idx="234">
                  <c:v>1028.5999999999999</c:v>
                </c:pt>
                <c:pt idx="235">
                  <c:v>1028.5</c:v>
                </c:pt>
                <c:pt idx="236">
                  <c:v>1028.4000000000001</c:v>
                </c:pt>
                <c:pt idx="237">
                  <c:v>1028.3</c:v>
                </c:pt>
                <c:pt idx="238">
                  <c:v>1028.2</c:v>
                </c:pt>
                <c:pt idx="239">
                  <c:v>1028.0999999999999</c:v>
                </c:pt>
                <c:pt idx="240">
                  <c:v>1028</c:v>
                </c:pt>
                <c:pt idx="241">
                  <c:v>1027.9000000000001</c:v>
                </c:pt>
                <c:pt idx="242">
                  <c:v>1027.8</c:v>
                </c:pt>
                <c:pt idx="243">
                  <c:v>1027.7</c:v>
                </c:pt>
                <c:pt idx="244">
                  <c:v>1027.5999999999999</c:v>
                </c:pt>
                <c:pt idx="245">
                  <c:v>1027.5</c:v>
                </c:pt>
                <c:pt idx="246">
                  <c:v>1027.4000000000001</c:v>
                </c:pt>
                <c:pt idx="247">
                  <c:v>1027.3</c:v>
                </c:pt>
                <c:pt idx="248">
                  <c:v>1027.2</c:v>
                </c:pt>
                <c:pt idx="249">
                  <c:v>1027.0999999999999</c:v>
                </c:pt>
                <c:pt idx="250">
                  <c:v>1027</c:v>
                </c:pt>
                <c:pt idx="251">
                  <c:v>1026.9000000000001</c:v>
                </c:pt>
                <c:pt idx="252">
                  <c:v>1026.8</c:v>
                </c:pt>
                <c:pt idx="253">
                  <c:v>1026.7</c:v>
                </c:pt>
                <c:pt idx="254">
                  <c:v>1026.5999999999999</c:v>
                </c:pt>
                <c:pt idx="255">
                  <c:v>1026.5</c:v>
                </c:pt>
                <c:pt idx="256">
                  <c:v>1026.4000000000001</c:v>
                </c:pt>
                <c:pt idx="257">
                  <c:v>1026.3</c:v>
                </c:pt>
                <c:pt idx="258">
                  <c:v>1026.2</c:v>
                </c:pt>
                <c:pt idx="259">
                  <c:v>1026.0999999999999</c:v>
                </c:pt>
                <c:pt idx="260">
                  <c:v>1026</c:v>
                </c:pt>
                <c:pt idx="261">
                  <c:v>1025.9000000000001</c:v>
                </c:pt>
                <c:pt idx="262">
                  <c:v>1025.8</c:v>
                </c:pt>
                <c:pt idx="263">
                  <c:v>1025.7</c:v>
                </c:pt>
                <c:pt idx="264">
                  <c:v>1025.5999999999999</c:v>
                </c:pt>
                <c:pt idx="265">
                  <c:v>1025.5</c:v>
                </c:pt>
                <c:pt idx="266">
                  <c:v>1025.4000000000001</c:v>
                </c:pt>
                <c:pt idx="267">
                  <c:v>1025.3</c:v>
                </c:pt>
                <c:pt idx="268">
                  <c:v>1025.2</c:v>
                </c:pt>
                <c:pt idx="269">
                  <c:v>1025.0999999999999</c:v>
                </c:pt>
                <c:pt idx="270">
                  <c:v>1025</c:v>
                </c:pt>
                <c:pt idx="271">
                  <c:v>1024.9000000000001</c:v>
                </c:pt>
                <c:pt idx="272">
                  <c:v>1024.8</c:v>
                </c:pt>
                <c:pt idx="273">
                  <c:v>1024.7</c:v>
                </c:pt>
                <c:pt idx="274">
                  <c:v>1024.5999999999999</c:v>
                </c:pt>
                <c:pt idx="275">
                  <c:v>1024.5</c:v>
                </c:pt>
                <c:pt idx="276">
                  <c:v>1024.4000000000001</c:v>
                </c:pt>
                <c:pt idx="277">
                  <c:v>1024.3</c:v>
                </c:pt>
                <c:pt idx="278">
                  <c:v>1024.2</c:v>
                </c:pt>
                <c:pt idx="279">
                  <c:v>1024.0999999999999</c:v>
                </c:pt>
                <c:pt idx="280">
                  <c:v>1024</c:v>
                </c:pt>
                <c:pt idx="281">
                  <c:v>1023.9</c:v>
                </c:pt>
                <c:pt idx="282">
                  <c:v>1023.8</c:v>
                </c:pt>
                <c:pt idx="283">
                  <c:v>1023.7</c:v>
                </c:pt>
                <c:pt idx="284">
                  <c:v>1023.6</c:v>
                </c:pt>
                <c:pt idx="285">
                  <c:v>1023.5</c:v>
                </c:pt>
                <c:pt idx="286">
                  <c:v>1023.4</c:v>
                </c:pt>
                <c:pt idx="287">
                  <c:v>1023.3</c:v>
                </c:pt>
                <c:pt idx="288">
                  <c:v>1023.2</c:v>
                </c:pt>
                <c:pt idx="289">
                  <c:v>1023.1</c:v>
                </c:pt>
                <c:pt idx="290">
                  <c:v>1023</c:v>
                </c:pt>
                <c:pt idx="291">
                  <c:v>1022.9</c:v>
                </c:pt>
                <c:pt idx="292">
                  <c:v>1022.8</c:v>
                </c:pt>
                <c:pt idx="293">
                  <c:v>1022.7</c:v>
                </c:pt>
                <c:pt idx="294">
                  <c:v>1022.6</c:v>
                </c:pt>
                <c:pt idx="295">
                  <c:v>1022.5</c:v>
                </c:pt>
                <c:pt idx="296">
                  <c:v>1022.4</c:v>
                </c:pt>
                <c:pt idx="297">
                  <c:v>1022.3</c:v>
                </c:pt>
                <c:pt idx="298">
                  <c:v>1022.2</c:v>
                </c:pt>
                <c:pt idx="299">
                  <c:v>1022.1</c:v>
                </c:pt>
                <c:pt idx="300">
                  <c:v>1022</c:v>
                </c:pt>
                <c:pt idx="301">
                  <c:v>1021.9</c:v>
                </c:pt>
                <c:pt idx="302">
                  <c:v>1021.8</c:v>
                </c:pt>
                <c:pt idx="303">
                  <c:v>1021.7</c:v>
                </c:pt>
                <c:pt idx="304">
                  <c:v>1021.6</c:v>
                </c:pt>
                <c:pt idx="305">
                  <c:v>1021.5</c:v>
                </c:pt>
                <c:pt idx="306">
                  <c:v>1021.4</c:v>
                </c:pt>
                <c:pt idx="307">
                  <c:v>1021.3</c:v>
                </c:pt>
                <c:pt idx="308">
                  <c:v>1021.2</c:v>
                </c:pt>
                <c:pt idx="309">
                  <c:v>1021.1</c:v>
                </c:pt>
                <c:pt idx="310">
                  <c:v>1021</c:v>
                </c:pt>
                <c:pt idx="311">
                  <c:v>1020.9</c:v>
                </c:pt>
                <c:pt idx="312">
                  <c:v>1020.8</c:v>
                </c:pt>
                <c:pt idx="313">
                  <c:v>1020.7</c:v>
                </c:pt>
                <c:pt idx="314">
                  <c:v>1020.6</c:v>
                </c:pt>
                <c:pt idx="315">
                  <c:v>1020.5</c:v>
                </c:pt>
                <c:pt idx="316">
                  <c:v>1020.4</c:v>
                </c:pt>
                <c:pt idx="317">
                  <c:v>1020.3</c:v>
                </c:pt>
                <c:pt idx="318">
                  <c:v>1020.2</c:v>
                </c:pt>
                <c:pt idx="319">
                  <c:v>1020.1</c:v>
                </c:pt>
                <c:pt idx="320">
                  <c:v>1020</c:v>
                </c:pt>
                <c:pt idx="321">
                  <c:v>1019.9</c:v>
                </c:pt>
                <c:pt idx="322">
                  <c:v>1019.8</c:v>
                </c:pt>
                <c:pt idx="323">
                  <c:v>1019.7</c:v>
                </c:pt>
                <c:pt idx="324">
                  <c:v>1019.6</c:v>
                </c:pt>
                <c:pt idx="325">
                  <c:v>1019.5</c:v>
                </c:pt>
                <c:pt idx="326">
                  <c:v>1019.4</c:v>
                </c:pt>
                <c:pt idx="327">
                  <c:v>1019.3</c:v>
                </c:pt>
                <c:pt idx="328">
                  <c:v>1019.2</c:v>
                </c:pt>
                <c:pt idx="329">
                  <c:v>1019.1</c:v>
                </c:pt>
                <c:pt idx="330">
                  <c:v>1019</c:v>
                </c:pt>
                <c:pt idx="331">
                  <c:v>1018.9</c:v>
                </c:pt>
                <c:pt idx="332">
                  <c:v>1018.8</c:v>
                </c:pt>
                <c:pt idx="333">
                  <c:v>1018.7</c:v>
                </c:pt>
                <c:pt idx="334">
                  <c:v>1018.6</c:v>
                </c:pt>
                <c:pt idx="335">
                  <c:v>1018.5</c:v>
                </c:pt>
                <c:pt idx="336">
                  <c:v>1018.4</c:v>
                </c:pt>
                <c:pt idx="337">
                  <c:v>1018.3</c:v>
                </c:pt>
                <c:pt idx="338">
                  <c:v>1018.2</c:v>
                </c:pt>
                <c:pt idx="339">
                  <c:v>1018.1</c:v>
                </c:pt>
                <c:pt idx="340">
                  <c:v>1018</c:v>
                </c:pt>
                <c:pt idx="341">
                  <c:v>1017.9</c:v>
                </c:pt>
                <c:pt idx="342">
                  <c:v>1017.8</c:v>
                </c:pt>
                <c:pt idx="343">
                  <c:v>1017.7</c:v>
                </c:pt>
                <c:pt idx="344">
                  <c:v>1017.6</c:v>
                </c:pt>
                <c:pt idx="345">
                  <c:v>1017.5</c:v>
                </c:pt>
                <c:pt idx="346">
                  <c:v>1017.4</c:v>
                </c:pt>
                <c:pt idx="347">
                  <c:v>1017.3</c:v>
                </c:pt>
                <c:pt idx="348">
                  <c:v>1017.2</c:v>
                </c:pt>
                <c:pt idx="349">
                  <c:v>1017.1</c:v>
                </c:pt>
                <c:pt idx="350">
                  <c:v>1017</c:v>
                </c:pt>
                <c:pt idx="351">
                  <c:v>1016.9</c:v>
                </c:pt>
                <c:pt idx="352">
                  <c:v>1016.8</c:v>
                </c:pt>
                <c:pt idx="353">
                  <c:v>1016.7</c:v>
                </c:pt>
                <c:pt idx="354">
                  <c:v>1016.6</c:v>
                </c:pt>
                <c:pt idx="355">
                  <c:v>1016.5</c:v>
                </c:pt>
                <c:pt idx="356">
                  <c:v>1016.4</c:v>
                </c:pt>
                <c:pt idx="357">
                  <c:v>1016.3</c:v>
                </c:pt>
                <c:pt idx="358">
                  <c:v>1016.2</c:v>
                </c:pt>
                <c:pt idx="359">
                  <c:v>1016.1</c:v>
                </c:pt>
                <c:pt idx="360">
                  <c:v>1016</c:v>
                </c:pt>
                <c:pt idx="361">
                  <c:v>1015.9</c:v>
                </c:pt>
                <c:pt idx="362">
                  <c:v>1015.8</c:v>
                </c:pt>
                <c:pt idx="363">
                  <c:v>1015.7</c:v>
                </c:pt>
                <c:pt idx="364">
                  <c:v>1015.6</c:v>
                </c:pt>
                <c:pt idx="365">
                  <c:v>1015.5</c:v>
                </c:pt>
                <c:pt idx="366">
                  <c:v>1015.4</c:v>
                </c:pt>
                <c:pt idx="367">
                  <c:v>1015.3</c:v>
                </c:pt>
                <c:pt idx="368">
                  <c:v>1015.2</c:v>
                </c:pt>
              </c:numCache>
            </c:numRef>
          </c:cat>
          <c:val>
            <c:numRef>
              <c:f>'Fig 9c'!$F$6:$F$374</c:f>
              <c:numCache>
                <c:formatCode>General</c:formatCode>
                <c:ptCount val="369"/>
                <c:pt idx="0">
                  <c:v>10648.9</c:v>
                </c:pt>
                <c:pt idx="1">
                  <c:v>10639.4</c:v>
                </c:pt>
                <c:pt idx="2">
                  <c:v>10641.8</c:v>
                </c:pt>
                <c:pt idx="3">
                  <c:v>10644.1</c:v>
                </c:pt>
                <c:pt idx="4">
                  <c:v>10646.5</c:v>
                </c:pt>
                <c:pt idx="5">
                  <c:v>10649</c:v>
                </c:pt>
                <c:pt idx="6">
                  <c:v>10651.6</c:v>
                </c:pt>
                <c:pt idx="7">
                  <c:v>10654.2</c:v>
                </c:pt>
                <c:pt idx="8">
                  <c:v>10656.9</c:v>
                </c:pt>
                <c:pt idx="9">
                  <c:v>10659.7</c:v>
                </c:pt>
                <c:pt idx="10">
                  <c:v>10662.6</c:v>
                </c:pt>
                <c:pt idx="11">
                  <c:v>10665.7</c:v>
                </c:pt>
                <c:pt idx="12">
                  <c:v>10668.9</c:v>
                </c:pt>
                <c:pt idx="13">
                  <c:v>10672.3</c:v>
                </c:pt>
                <c:pt idx="14">
                  <c:v>10675.9</c:v>
                </c:pt>
                <c:pt idx="15">
                  <c:v>10679.7</c:v>
                </c:pt>
                <c:pt idx="16">
                  <c:v>10683.7</c:v>
                </c:pt>
                <c:pt idx="17">
                  <c:v>10688</c:v>
                </c:pt>
                <c:pt idx="18">
                  <c:v>10692.6</c:v>
                </c:pt>
                <c:pt idx="19">
                  <c:v>10697.6</c:v>
                </c:pt>
                <c:pt idx="20">
                  <c:v>10702.8</c:v>
                </c:pt>
                <c:pt idx="21">
                  <c:v>10708.5</c:v>
                </c:pt>
                <c:pt idx="22">
                  <c:v>10714.6</c:v>
                </c:pt>
                <c:pt idx="23">
                  <c:v>10721.2</c:v>
                </c:pt>
                <c:pt idx="24">
                  <c:v>10728.3</c:v>
                </c:pt>
                <c:pt idx="25">
                  <c:v>10735.9</c:v>
                </c:pt>
                <c:pt idx="26">
                  <c:v>10744.1</c:v>
                </c:pt>
                <c:pt idx="27">
                  <c:v>10752.8</c:v>
                </c:pt>
                <c:pt idx="28">
                  <c:v>10762.2</c:v>
                </c:pt>
                <c:pt idx="29">
                  <c:v>10772.2</c:v>
                </c:pt>
                <c:pt idx="30">
                  <c:v>10782.9</c:v>
                </c:pt>
                <c:pt idx="31">
                  <c:v>10794.3</c:v>
                </c:pt>
                <c:pt idx="32">
                  <c:v>10806.3</c:v>
                </c:pt>
                <c:pt idx="33">
                  <c:v>10819</c:v>
                </c:pt>
                <c:pt idx="34">
                  <c:v>10832.4</c:v>
                </c:pt>
                <c:pt idx="35">
                  <c:v>10846.4</c:v>
                </c:pt>
                <c:pt idx="36">
                  <c:v>10861</c:v>
                </c:pt>
                <c:pt idx="37">
                  <c:v>10876.2</c:v>
                </c:pt>
                <c:pt idx="38">
                  <c:v>10891.9</c:v>
                </c:pt>
                <c:pt idx="39">
                  <c:v>10908.2</c:v>
                </c:pt>
                <c:pt idx="40">
                  <c:v>10924.8</c:v>
                </c:pt>
                <c:pt idx="41">
                  <c:v>10941.7</c:v>
                </c:pt>
                <c:pt idx="42">
                  <c:v>10958.8</c:v>
                </c:pt>
                <c:pt idx="43">
                  <c:v>10976.1</c:v>
                </c:pt>
                <c:pt idx="44">
                  <c:v>10993.3</c:v>
                </c:pt>
                <c:pt idx="45">
                  <c:v>11010.4</c:v>
                </c:pt>
                <c:pt idx="46">
                  <c:v>11027.2</c:v>
                </c:pt>
                <c:pt idx="47">
                  <c:v>11043.6</c:v>
                </c:pt>
                <c:pt idx="48">
                  <c:v>11059.3</c:v>
                </c:pt>
                <c:pt idx="49">
                  <c:v>11074.3</c:v>
                </c:pt>
                <c:pt idx="50">
                  <c:v>11088.2</c:v>
                </c:pt>
                <c:pt idx="51">
                  <c:v>11101.1</c:v>
                </c:pt>
                <c:pt idx="52">
                  <c:v>11112.5</c:v>
                </c:pt>
                <c:pt idx="53">
                  <c:v>11122.5</c:v>
                </c:pt>
                <c:pt idx="54">
                  <c:v>11130.8</c:v>
                </c:pt>
                <c:pt idx="55">
                  <c:v>11137.3</c:v>
                </c:pt>
                <c:pt idx="56">
                  <c:v>11142</c:v>
                </c:pt>
                <c:pt idx="57">
                  <c:v>11144.7</c:v>
                </c:pt>
                <c:pt idx="58">
                  <c:v>11145.4</c:v>
                </c:pt>
                <c:pt idx="59">
                  <c:v>11144.2</c:v>
                </c:pt>
                <c:pt idx="60">
                  <c:v>11141.1</c:v>
                </c:pt>
                <c:pt idx="61">
                  <c:v>11136.3</c:v>
                </c:pt>
                <c:pt idx="62">
                  <c:v>11129.8</c:v>
                </c:pt>
                <c:pt idx="63">
                  <c:v>11121.8</c:v>
                </c:pt>
                <c:pt idx="64">
                  <c:v>11112.5</c:v>
                </c:pt>
                <c:pt idx="65">
                  <c:v>11102.1</c:v>
                </c:pt>
                <c:pt idx="66">
                  <c:v>11090.7</c:v>
                </c:pt>
                <c:pt idx="67">
                  <c:v>11078.5</c:v>
                </c:pt>
                <c:pt idx="68">
                  <c:v>11065.7</c:v>
                </c:pt>
                <c:pt idx="69">
                  <c:v>11052.5</c:v>
                </c:pt>
                <c:pt idx="70">
                  <c:v>11039</c:v>
                </c:pt>
                <c:pt idx="71">
                  <c:v>11025.4</c:v>
                </c:pt>
                <c:pt idx="72">
                  <c:v>11011.7</c:v>
                </c:pt>
                <c:pt idx="73">
                  <c:v>10998.2</c:v>
                </c:pt>
                <c:pt idx="74">
                  <c:v>10985</c:v>
                </c:pt>
                <c:pt idx="75">
                  <c:v>10972</c:v>
                </c:pt>
                <c:pt idx="76">
                  <c:v>10959.5</c:v>
                </c:pt>
                <c:pt idx="77">
                  <c:v>10947.4</c:v>
                </c:pt>
                <c:pt idx="78">
                  <c:v>10935.9</c:v>
                </c:pt>
                <c:pt idx="79">
                  <c:v>10924.9</c:v>
                </c:pt>
                <c:pt idx="80">
                  <c:v>10914.6</c:v>
                </c:pt>
                <c:pt idx="81">
                  <c:v>10904.9</c:v>
                </c:pt>
                <c:pt idx="82">
                  <c:v>10895.9</c:v>
                </c:pt>
                <c:pt idx="83">
                  <c:v>10887.6</c:v>
                </c:pt>
                <c:pt idx="84">
                  <c:v>10879.9</c:v>
                </c:pt>
                <c:pt idx="85">
                  <c:v>10872.9</c:v>
                </c:pt>
                <c:pt idx="86">
                  <c:v>10866.6</c:v>
                </c:pt>
                <c:pt idx="87">
                  <c:v>10860.9</c:v>
                </c:pt>
                <c:pt idx="88">
                  <c:v>10855.8</c:v>
                </c:pt>
                <c:pt idx="89">
                  <c:v>10851.4</c:v>
                </c:pt>
                <c:pt idx="90">
                  <c:v>10847.4</c:v>
                </c:pt>
                <c:pt idx="91">
                  <c:v>10844</c:v>
                </c:pt>
                <c:pt idx="92">
                  <c:v>10841.1</c:v>
                </c:pt>
                <c:pt idx="93">
                  <c:v>10838.7</c:v>
                </c:pt>
                <c:pt idx="94">
                  <c:v>10836.6</c:v>
                </c:pt>
                <c:pt idx="95">
                  <c:v>10835</c:v>
                </c:pt>
                <c:pt idx="96">
                  <c:v>10833.7</c:v>
                </c:pt>
                <c:pt idx="97">
                  <c:v>10832.8</c:v>
                </c:pt>
                <c:pt idx="98">
                  <c:v>10832.1</c:v>
                </c:pt>
                <c:pt idx="99">
                  <c:v>10831.7</c:v>
                </c:pt>
                <c:pt idx="100">
                  <c:v>10831.6</c:v>
                </c:pt>
                <c:pt idx="101">
                  <c:v>10831.7</c:v>
                </c:pt>
                <c:pt idx="102">
                  <c:v>10831.9</c:v>
                </c:pt>
                <c:pt idx="103">
                  <c:v>10832.3</c:v>
                </c:pt>
                <c:pt idx="104">
                  <c:v>10832.9</c:v>
                </c:pt>
                <c:pt idx="105">
                  <c:v>10833.6</c:v>
                </c:pt>
                <c:pt idx="106">
                  <c:v>10834.4</c:v>
                </c:pt>
                <c:pt idx="107">
                  <c:v>10835.4</c:v>
                </c:pt>
                <c:pt idx="108">
                  <c:v>10836.4</c:v>
                </c:pt>
                <c:pt idx="109">
                  <c:v>10837.5</c:v>
                </c:pt>
                <c:pt idx="110">
                  <c:v>10838.6</c:v>
                </c:pt>
                <c:pt idx="111">
                  <c:v>10839.8</c:v>
                </c:pt>
                <c:pt idx="112">
                  <c:v>10841.1</c:v>
                </c:pt>
                <c:pt idx="113">
                  <c:v>10842.4</c:v>
                </c:pt>
                <c:pt idx="114">
                  <c:v>10843.8</c:v>
                </c:pt>
                <c:pt idx="115">
                  <c:v>10845.1</c:v>
                </c:pt>
                <c:pt idx="116">
                  <c:v>10846.5</c:v>
                </c:pt>
                <c:pt idx="117">
                  <c:v>10848</c:v>
                </c:pt>
                <c:pt idx="118">
                  <c:v>10849.5</c:v>
                </c:pt>
                <c:pt idx="119">
                  <c:v>10850.9</c:v>
                </c:pt>
                <c:pt idx="120">
                  <c:v>10852.4</c:v>
                </c:pt>
                <c:pt idx="121">
                  <c:v>10854</c:v>
                </c:pt>
                <c:pt idx="122">
                  <c:v>10855.5</c:v>
                </c:pt>
                <c:pt idx="123">
                  <c:v>10857</c:v>
                </c:pt>
                <c:pt idx="124">
                  <c:v>10858.6</c:v>
                </c:pt>
                <c:pt idx="125">
                  <c:v>10860.2</c:v>
                </c:pt>
                <c:pt idx="126">
                  <c:v>10861.8</c:v>
                </c:pt>
                <c:pt idx="127">
                  <c:v>10863.3</c:v>
                </c:pt>
                <c:pt idx="128">
                  <c:v>10864.9</c:v>
                </c:pt>
                <c:pt idx="129">
                  <c:v>10866.6</c:v>
                </c:pt>
                <c:pt idx="130">
                  <c:v>10868.2</c:v>
                </c:pt>
                <c:pt idx="131">
                  <c:v>10869.8</c:v>
                </c:pt>
                <c:pt idx="132">
                  <c:v>10871.4</c:v>
                </c:pt>
                <c:pt idx="133">
                  <c:v>10873.1</c:v>
                </c:pt>
                <c:pt idx="134">
                  <c:v>10874.7</c:v>
                </c:pt>
                <c:pt idx="135">
                  <c:v>10876.4</c:v>
                </c:pt>
                <c:pt idx="136">
                  <c:v>10878</c:v>
                </c:pt>
                <c:pt idx="137">
                  <c:v>10879.7</c:v>
                </c:pt>
                <c:pt idx="138">
                  <c:v>10881.4</c:v>
                </c:pt>
                <c:pt idx="139">
                  <c:v>10883</c:v>
                </c:pt>
                <c:pt idx="140">
                  <c:v>10884.7</c:v>
                </c:pt>
                <c:pt idx="141">
                  <c:v>10886.4</c:v>
                </c:pt>
                <c:pt idx="142">
                  <c:v>10888.1</c:v>
                </c:pt>
                <c:pt idx="143">
                  <c:v>10889.8</c:v>
                </c:pt>
                <c:pt idx="144">
                  <c:v>10891.5</c:v>
                </c:pt>
                <c:pt idx="145">
                  <c:v>10893.2</c:v>
                </c:pt>
                <c:pt idx="146">
                  <c:v>10894.9</c:v>
                </c:pt>
                <c:pt idx="147">
                  <c:v>10896.6</c:v>
                </c:pt>
                <c:pt idx="148">
                  <c:v>10898.3</c:v>
                </c:pt>
                <c:pt idx="149">
                  <c:v>10900</c:v>
                </c:pt>
                <c:pt idx="150">
                  <c:v>10901.7</c:v>
                </c:pt>
                <c:pt idx="151">
                  <c:v>10903.4</c:v>
                </c:pt>
                <c:pt idx="152">
                  <c:v>10905.2</c:v>
                </c:pt>
                <c:pt idx="153">
                  <c:v>10906.9</c:v>
                </c:pt>
                <c:pt idx="154">
                  <c:v>10908.6</c:v>
                </c:pt>
                <c:pt idx="155">
                  <c:v>10910.3</c:v>
                </c:pt>
                <c:pt idx="156">
                  <c:v>10912.1</c:v>
                </c:pt>
                <c:pt idx="157">
                  <c:v>10913.8</c:v>
                </c:pt>
                <c:pt idx="158">
                  <c:v>10915.5</c:v>
                </c:pt>
                <c:pt idx="159">
                  <c:v>10917.3</c:v>
                </c:pt>
                <c:pt idx="160">
                  <c:v>10919</c:v>
                </c:pt>
                <c:pt idx="161">
                  <c:v>10920.8</c:v>
                </c:pt>
                <c:pt idx="162">
                  <c:v>10922.5</c:v>
                </c:pt>
                <c:pt idx="163">
                  <c:v>10924.3</c:v>
                </c:pt>
                <c:pt idx="164">
                  <c:v>10926</c:v>
                </c:pt>
                <c:pt idx="165">
                  <c:v>10927.8</c:v>
                </c:pt>
                <c:pt idx="166">
                  <c:v>10929.5</c:v>
                </c:pt>
                <c:pt idx="167">
                  <c:v>10931.3</c:v>
                </c:pt>
                <c:pt idx="168">
                  <c:v>10933</c:v>
                </c:pt>
                <c:pt idx="169">
                  <c:v>10934.8</c:v>
                </c:pt>
                <c:pt idx="170">
                  <c:v>10936.5</c:v>
                </c:pt>
                <c:pt idx="171">
                  <c:v>10938.3</c:v>
                </c:pt>
                <c:pt idx="172">
                  <c:v>10940</c:v>
                </c:pt>
                <c:pt idx="173">
                  <c:v>10941.8</c:v>
                </c:pt>
                <c:pt idx="174">
                  <c:v>10943.6</c:v>
                </c:pt>
                <c:pt idx="175">
                  <c:v>10945.3</c:v>
                </c:pt>
                <c:pt idx="176">
                  <c:v>10947.1</c:v>
                </c:pt>
                <c:pt idx="177">
                  <c:v>10948.9</c:v>
                </c:pt>
                <c:pt idx="178">
                  <c:v>10950.6</c:v>
                </c:pt>
                <c:pt idx="179">
                  <c:v>10952.4</c:v>
                </c:pt>
                <c:pt idx="180">
                  <c:v>10954.2</c:v>
                </c:pt>
                <c:pt idx="181">
                  <c:v>10955.9</c:v>
                </c:pt>
                <c:pt idx="182">
                  <c:v>10957.7</c:v>
                </c:pt>
                <c:pt idx="183">
                  <c:v>10959.5</c:v>
                </c:pt>
                <c:pt idx="184">
                  <c:v>10961.3</c:v>
                </c:pt>
                <c:pt idx="185">
                  <c:v>10963</c:v>
                </c:pt>
                <c:pt idx="186">
                  <c:v>10964.8</c:v>
                </c:pt>
                <c:pt idx="187">
                  <c:v>10966.6</c:v>
                </c:pt>
                <c:pt idx="188">
                  <c:v>10968.4</c:v>
                </c:pt>
                <c:pt idx="189">
                  <c:v>10970.1</c:v>
                </c:pt>
                <c:pt idx="190">
                  <c:v>10971.9</c:v>
                </c:pt>
                <c:pt idx="191">
                  <c:v>10973.7</c:v>
                </c:pt>
                <c:pt idx="192">
                  <c:v>10975.8</c:v>
                </c:pt>
                <c:pt idx="193">
                  <c:v>10977.9</c:v>
                </c:pt>
                <c:pt idx="194">
                  <c:v>10980</c:v>
                </c:pt>
                <c:pt idx="195">
                  <c:v>10982.2</c:v>
                </c:pt>
                <c:pt idx="196">
                  <c:v>10984.3</c:v>
                </c:pt>
                <c:pt idx="197">
                  <c:v>10986.4</c:v>
                </c:pt>
                <c:pt idx="198">
                  <c:v>10988.5</c:v>
                </c:pt>
                <c:pt idx="199">
                  <c:v>10990.6</c:v>
                </c:pt>
                <c:pt idx="200">
                  <c:v>10992.8</c:v>
                </c:pt>
                <c:pt idx="201">
                  <c:v>10994.9</c:v>
                </c:pt>
                <c:pt idx="202">
                  <c:v>10997</c:v>
                </c:pt>
                <c:pt idx="203">
                  <c:v>10999.1</c:v>
                </c:pt>
                <c:pt idx="204">
                  <c:v>11001.3</c:v>
                </c:pt>
                <c:pt idx="205">
                  <c:v>11003.4</c:v>
                </c:pt>
                <c:pt idx="206">
                  <c:v>11005.5</c:v>
                </c:pt>
                <c:pt idx="207">
                  <c:v>11007.6</c:v>
                </c:pt>
                <c:pt idx="208">
                  <c:v>11009.8</c:v>
                </c:pt>
                <c:pt idx="209">
                  <c:v>11011.9</c:v>
                </c:pt>
                <c:pt idx="210">
                  <c:v>11014</c:v>
                </c:pt>
                <c:pt idx="211">
                  <c:v>11016.2</c:v>
                </c:pt>
                <c:pt idx="212">
                  <c:v>11018.3</c:v>
                </c:pt>
                <c:pt idx="213">
                  <c:v>11020.4</c:v>
                </c:pt>
                <c:pt idx="214">
                  <c:v>11022.5</c:v>
                </c:pt>
                <c:pt idx="215">
                  <c:v>11024.7</c:v>
                </c:pt>
                <c:pt idx="216">
                  <c:v>11026.8</c:v>
                </c:pt>
                <c:pt idx="217">
                  <c:v>11028.9</c:v>
                </c:pt>
                <c:pt idx="218">
                  <c:v>11031.1</c:v>
                </c:pt>
                <c:pt idx="219">
                  <c:v>11034.4</c:v>
                </c:pt>
                <c:pt idx="220">
                  <c:v>11037.7</c:v>
                </c:pt>
                <c:pt idx="221">
                  <c:v>11041.1</c:v>
                </c:pt>
                <c:pt idx="222">
                  <c:v>11044.4</c:v>
                </c:pt>
                <c:pt idx="223">
                  <c:v>11047.7</c:v>
                </c:pt>
                <c:pt idx="224">
                  <c:v>11051.1</c:v>
                </c:pt>
                <c:pt idx="225">
                  <c:v>11054.4</c:v>
                </c:pt>
                <c:pt idx="226">
                  <c:v>11057.7</c:v>
                </c:pt>
                <c:pt idx="227">
                  <c:v>11061.1</c:v>
                </c:pt>
                <c:pt idx="228">
                  <c:v>11064.4</c:v>
                </c:pt>
                <c:pt idx="229">
                  <c:v>11067.8</c:v>
                </c:pt>
                <c:pt idx="230">
                  <c:v>11071.1</c:v>
                </c:pt>
                <c:pt idx="231">
                  <c:v>11074.4</c:v>
                </c:pt>
                <c:pt idx="232">
                  <c:v>11077.8</c:v>
                </c:pt>
                <c:pt idx="233">
                  <c:v>11081.1</c:v>
                </c:pt>
                <c:pt idx="234">
                  <c:v>11084.5</c:v>
                </c:pt>
                <c:pt idx="235">
                  <c:v>11087.8</c:v>
                </c:pt>
                <c:pt idx="236">
                  <c:v>11091.1</c:v>
                </c:pt>
                <c:pt idx="237">
                  <c:v>11094.5</c:v>
                </c:pt>
                <c:pt idx="238">
                  <c:v>11097.8</c:v>
                </c:pt>
                <c:pt idx="239">
                  <c:v>11101.2</c:v>
                </c:pt>
                <c:pt idx="240">
                  <c:v>11104.5</c:v>
                </c:pt>
                <c:pt idx="241">
                  <c:v>11107.8</c:v>
                </c:pt>
                <c:pt idx="242">
                  <c:v>11111.2</c:v>
                </c:pt>
                <c:pt idx="243">
                  <c:v>11114.5</c:v>
                </c:pt>
                <c:pt idx="244">
                  <c:v>11117.9</c:v>
                </c:pt>
                <c:pt idx="245">
                  <c:v>11121.2</c:v>
                </c:pt>
                <c:pt idx="246">
                  <c:v>11124.5</c:v>
                </c:pt>
                <c:pt idx="247">
                  <c:v>11127.9</c:v>
                </c:pt>
                <c:pt idx="248">
                  <c:v>11131.2</c:v>
                </c:pt>
                <c:pt idx="249">
                  <c:v>11134.6</c:v>
                </c:pt>
                <c:pt idx="250">
                  <c:v>11137.9</c:v>
                </c:pt>
                <c:pt idx="251">
                  <c:v>11141.3</c:v>
                </c:pt>
                <c:pt idx="252">
                  <c:v>11144.6</c:v>
                </c:pt>
                <c:pt idx="253">
                  <c:v>11147.9</c:v>
                </c:pt>
                <c:pt idx="254">
                  <c:v>11151.3</c:v>
                </c:pt>
                <c:pt idx="255">
                  <c:v>11154.6</c:v>
                </c:pt>
                <c:pt idx="256">
                  <c:v>11158</c:v>
                </c:pt>
                <c:pt idx="257">
                  <c:v>11161.3</c:v>
                </c:pt>
                <c:pt idx="258">
                  <c:v>11164.7</c:v>
                </c:pt>
                <c:pt idx="259">
                  <c:v>11168</c:v>
                </c:pt>
                <c:pt idx="260">
                  <c:v>11171.4</c:v>
                </c:pt>
                <c:pt idx="261">
                  <c:v>11174.7</c:v>
                </c:pt>
                <c:pt idx="262">
                  <c:v>11178</c:v>
                </c:pt>
                <c:pt idx="263">
                  <c:v>11181.4</c:v>
                </c:pt>
                <c:pt idx="264">
                  <c:v>11184.7</c:v>
                </c:pt>
                <c:pt idx="265">
                  <c:v>11188.1</c:v>
                </c:pt>
                <c:pt idx="266">
                  <c:v>11191.4</c:v>
                </c:pt>
                <c:pt idx="267">
                  <c:v>11194.8</c:v>
                </c:pt>
                <c:pt idx="268">
                  <c:v>11198.1</c:v>
                </c:pt>
                <c:pt idx="269">
                  <c:v>11201.5</c:v>
                </c:pt>
                <c:pt idx="270">
                  <c:v>11204.8</c:v>
                </c:pt>
                <c:pt idx="271">
                  <c:v>11208.1</c:v>
                </c:pt>
                <c:pt idx="272">
                  <c:v>11211.5</c:v>
                </c:pt>
                <c:pt idx="273">
                  <c:v>11214.8</c:v>
                </c:pt>
                <c:pt idx="274">
                  <c:v>11218.2</c:v>
                </c:pt>
                <c:pt idx="275">
                  <c:v>11221.5</c:v>
                </c:pt>
                <c:pt idx="276">
                  <c:v>11224.9</c:v>
                </c:pt>
                <c:pt idx="277">
                  <c:v>11228.2</c:v>
                </c:pt>
                <c:pt idx="278">
                  <c:v>11231.6</c:v>
                </c:pt>
                <c:pt idx="279">
                  <c:v>11234.9</c:v>
                </c:pt>
                <c:pt idx="280">
                  <c:v>11238.3</c:v>
                </c:pt>
                <c:pt idx="281">
                  <c:v>11241.6</c:v>
                </c:pt>
                <c:pt idx="282">
                  <c:v>11245</c:v>
                </c:pt>
                <c:pt idx="283">
                  <c:v>11248.3</c:v>
                </c:pt>
                <c:pt idx="284">
                  <c:v>11251.7</c:v>
                </c:pt>
                <c:pt idx="285">
                  <c:v>11255</c:v>
                </c:pt>
                <c:pt idx="286">
                  <c:v>11258.3</c:v>
                </c:pt>
                <c:pt idx="287">
                  <c:v>11261.7</c:v>
                </c:pt>
                <c:pt idx="288">
                  <c:v>11265</c:v>
                </c:pt>
                <c:pt idx="289">
                  <c:v>11268.4</c:v>
                </c:pt>
                <c:pt idx="290">
                  <c:v>11271.7</c:v>
                </c:pt>
                <c:pt idx="291">
                  <c:v>11275.1</c:v>
                </c:pt>
                <c:pt idx="292">
                  <c:v>11278.4</c:v>
                </c:pt>
                <c:pt idx="293">
                  <c:v>11281.8</c:v>
                </c:pt>
                <c:pt idx="294">
                  <c:v>11285.1</c:v>
                </c:pt>
                <c:pt idx="295">
                  <c:v>11288.5</c:v>
                </c:pt>
                <c:pt idx="296">
                  <c:v>11291.8</c:v>
                </c:pt>
                <c:pt idx="297">
                  <c:v>11295.2</c:v>
                </c:pt>
                <c:pt idx="298">
                  <c:v>11298.5</c:v>
                </c:pt>
                <c:pt idx="299">
                  <c:v>11301.9</c:v>
                </c:pt>
                <c:pt idx="300">
                  <c:v>11305.2</c:v>
                </c:pt>
                <c:pt idx="301">
                  <c:v>11308.6</c:v>
                </c:pt>
                <c:pt idx="302">
                  <c:v>11311.9</c:v>
                </c:pt>
                <c:pt idx="303">
                  <c:v>11315.3</c:v>
                </c:pt>
                <c:pt idx="304">
                  <c:v>11318.6</c:v>
                </c:pt>
                <c:pt idx="305">
                  <c:v>11322</c:v>
                </c:pt>
                <c:pt idx="306">
                  <c:v>11325.3</c:v>
                </c:pt>
                <c:pt idx="307">
                  <c:v>11328.7</c:v>
                </c:pt>
                <c:pt idx="308">
                  <c:v>11332</c:v>
                </c:pt>
                <c:pt idx="309">
                  <c:v>11335.4</c:v>
                </c:pt>
                <c:pt idx="310">
                  <c:v>11338.7</c:v>
                </c:pt>
                <c:pt idx="311">
                  <c:v>11342.1</c:v>
                </c:pt>
                <c:pt idx="312">
                  <c:v>11345.4</c:v>
                </c:pt>
                <c:pt idx="313">
                  <c:v>11348.8</c:v>
                </c:pt>
                <c:pt idx="314">
                  <c:v>11352.1</c:v>
                </c:pt>
                <c:pt idx="315">
                  <c:v>11355.5</c:v>
                </c:pt>
                <c:pt idx="316">
                  <c:v>11358.8</c:v>
                </c:pt>
                <c:pt idx="317">
                  <c:v>11362.2</c:v>
                </c:pt>
                <c:pt idx="318">
                  <c:v>11365.5</c:v>
                </c:pt>
                <c:pt idx="319">
                  <c:v>11368.8</c:v>
                </c:pt>
                <c:pt idx="320">
                  <c:v>11372.2</c:v>
                </c:pt>
                <c:pt idx="321">
                  <c:v>11375.5</c:v>
                </c:pt>
                <c:pt idx="322">
                  <c:v>11378.9</c:v>
                </c:pt>
                <c:pt idx="323">
                  <c:v>11382.2</c:v>
                </c:pt>
                <c:pt idx="324">
                  <c:v>11385.6</c:v>
                </c:pt>
                <c:pt idx="325">
                  <c:v>11388.9</c:v>
                </c:pt>
                <c:pt idx="326">
                  <c:v>11392.3</c:v>
                </c:pt>
                <c:pt idx="327">
                  <c:v>11395.6</c:v>
                </c:pt>
                <c:pt idx="328">
                  <c:v>11399</c:v>
                </c:pt>
                <c:pt idx="329">
                  <c:v>11402.3</c:v>
                </c:pt>
                <c:pt idx="330">
                  <c:v>11405.7</c:v>
                </c:pt>
                <c:pt idx="331">
                  <c:v>11409</c:v>
                </c:pt>
                <c:pt idx="332">
                  <c:v>11412.4</c:v>
                </c:pt>
                <c:pt idx="333">
                  <c:v>11415.7</c:v>
                </c:pt>
                <c:pt idx="334">
                  <c:v>11419.1</c:v>
                </c:pt>
                <c:pt idx="335">
                  <c:v>11422.4</c:v>
                </c:pt>
                <c:pt idx="336">
                  <c:v>11425.8</c:v>
                </c:pt>
                <c:pt idx="337">
                  <c:v>11429.1</c:v>
                </c:pt>
                <c:pt idx="338">
                  <c:v>11432.5</c:v>
                </c:pt>
                <c:pt idx="339">
                  <c:v>11435.9</c:v>
                </c:pt>
                <c:pt idx="340">
                  <c:v>11439.2</c:v>
                </c:pt>
                <c:pt idx="341">
                  <c:v>11442.6</c:v>
                </c:pt>
                <c:pt idx="342">
                  <c:v>11445.9</c:v>
                </c:pt>
                <c:pt idx="343">
                  <c:v>11449.3</c:v>
                </c:pt>
                <c:pt idx="344">
                  <c:v>11452.6</c:v>
                </c:pt>
                <c:pt idx="345">
                  <c:v>11456</c:v>
                </c:pt>
                <c:pt idx="346">
                  <c:v>11459.3</c:v>
                </c:pt>
                <c:pt idx="347">
                  <c:v>11462.7</c:v>
                </c:pt>
                <c:pt idx="348">
                  <c:v>11466</c:v>
                </c:pt>
                <c:pt idx="349">
                  <c:v>11469.4</c:v>
                </c:pt>
                <c:pt idx="350">
                  <c:v>11472.7</c:v>
                </c:pt>
                <c:pt idx="351">
                  <c:v>11476.1</c:v>
                </c:pt>
                <c:pt idx="352">
                  <c:v>11479.4</c:v>
                </c:pt>
                <c:pt idx="353">
                  <c:v>11482.8</c:v>
                </c:pt>
                <c:pt idx="354">
                  <c:v>11486.1</c:v>
                </c:pt>
                <c:pt idx="355">
                  <c:v>11489.5</c:v>
                </c:pt>
                <c:pt idx="356">
                  <c:v>11492.8</c:v>
                </c:pt>
                <c:pt idx="357">
                  <c:v>11496.2</c:v>
                </c:pt>
                <c:pt idx="358">
                  <c:v>11499.5</c:v>
                </c:pt>
                <c:pt idx="359">
                  <c:v>11502.9</c:v>
                </c:pt>
                <c:pt idx="360">
                  <c:v>11506.2</c:v>
                </c:pt>
                <c:pt idx="361">
                  <c:v>11509.6</c:v>
                </c:pt>
                <c:pt idx="362">
                  <c:v>11512.9</c:v>
                </c:pt>
                <c:pt idx="363">
                  <c:v>11516.3</c:v>
                </c:pt>
                <c:pt idx="364">
                  <c:v>11519.6</c:v>
                </c:pt>
                <c:pt idx="365">
                  <c:v>11523</c:v>
                </c:pt>
                <c:pt idx="366">
                  <c:v>11533.7</c:v>
                </c:pt>
                <c:pt idx="367">
                  <c:v>11544.5</c:v>
                </c:pt>
                <c:pt idx="368">
                  <c:v>11555.2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F-D34A-8C59-97D745BC9734}"/>
            </c:ext>
          </c:extLst>
        </c:ser>
        <c:ser>
          <c:idx val="3"/>
          <c:order val="2"/>
          <c:tx>
            <c:strRef>
              <c:f>'[1]Fe2p Scan'!$H$15</c:f>
              <c:strCache>
                <c:ptCount val="1"/>
                <c:pt idx="0">
                  <c:v>Backgnd.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'Fig 9c'!$A$6:$A$374</c:f>
              <c:numCache>
                <c:formatCode>General</c:formatCode>
                <c:ptCount val="369"/>
                <c:pt idx="0">
                  <c:v>1052</c:v>
                </c:pt>
                <c:pt idx="1">
                  <c:v>1051.9000000000001</c:v>
                </c:pt>
                <c:pt idx="2">
                  <c:v>1051.8</c:v>
                </c:pt>
                <c:pt idx="3">
                  <c:v>1051.7</c:v>
                </c:pt>
                <c:pt idx="4">
                  <c:v>1051.5999999999999</c:v>
                </c:pt>
                <c:pt idx="5">
                  <c:v>1051.5</c:v>
                </c:pt>
                <c:pt idx="6">
                  <c:v>1051.4000000000001</c:v>
                </c:pt>
                <c:pt idx="7">
                  <c:v>1051.3</c:v>
                </c:pt>
                <c:pt idx="8">
                  <c:v>1051.2</c:v>
                </c:pt>
                <c:pt idx="9">
                  <c:v>1051.0999999999999</c:v>
                </c:pt>
                <c:pt idx="10">
                  <c:v>1051</c:v>
                </c:pt>
                <c:pt idx="11">
                  <c:v>1050.9000000000001</c:v>
                </c:pt>
                <c:pt idx="12">
                  <c:v>1050.8</c:v>
                </c:pt>
                <c:pt idx="13">
                  <c:v>1050.7</c:v>
                </c:pt>
                <c:pt idx="14">
                  <c:v>1050.5999999999999</c:v>
                </c:pt>
                <c:pt idx="15">
                  <c:v>1050.5</c:v>
                </c:pt>
                <c:pt idx="16">
                  <c:v>1050.4000000000001</c:v>
                </c:pt>
                <c:pt idx="17">
                  <c:v>1050.3</c:v>
                </c:pt>
                <c:pt idx="18">
                  <c:v>1050.2</c:v>
                </c:pt>
                <c:pt idx="19">
                  <c:v>1050.0999999999999</c:v>
                </c:pt>
                <c:pt idx="20">
                  <c:v>1050</c:v>
                </c:pt>
                <c:pt idx="21">
                  <c:v>1049.9000000000001</c:v>
                </c:pt>
                <c:pt idx="22">
                  <c:v>1049.8</c:v>
                </c:pt>
                <c:pt idx="23">
                  <c:v>1049.7</c:v>
                </c:pt>
                <c:pt idx="24">
                  <c:v>1049.5999999999999</c:v>
                </c:pt>
                <c:pt idx="25">
                  <c:v>1049.5</c:v>
                </c:pt>
                <c:pt idx="26">
                  <c:v>1049.4000000000001</c:v>
                </c:pt>
                <c:pt idx="27">
                  <c:v>1049.3</c:v>
                </c:pt>
                <c:pt idx="28">
                  <c:v>1049.2</c:v>
                </c:pt>
                <c:pt idx="29">
                  <c:v>1049.0999999999999</c:v>
                </c:pt>
                <c:pt idx="30">
                  <c:v>1049</c:v>
                </c:pt>
                <c:pt idx="31">
                  <c:v>1048.9000000000001</c:v>
                </c:pt>
                <c:pt idx="32">
                  <c:v>1048.8</c:v>
                </c:pt>
                <c:pt idx="33">
                  <c:v>1048.7</c:v>
                </c:pt>
                <c:pt idx="34">
                  <c:v>1048.5999999999999</c:v>
                </c:pt>
                <c:pt idx="35">
                  <c:v>1048.5</c:v>
                </c:pt>
                <c:pt idx="36">
                  <c:v>1048.4000000000001</c:v>
                </c:pt>
                <c:pt idx="37">
                  <c:v>1048.3</c:v>
                </c:pt>
                <c:pt idx="38">
                  <c:v>1048.2</c:v>
                </c:pt>
                <c:pt idx="39">
                  <c:v>1048.0999999999999</c:v>
                </c:pt>
                <c:pt idx="40">
                  <c:v>1048</c:v>
                </c:pt>
                <c:pt idx="41">
                  <c:v>1047.9000000000001</c:v>
                </c:pt>
                <c:pt idx="42">
                  <c:v>1047.8</c:v>
                </c:pt>
                <c:pt idx="43">
                  <c:v>1047.7</c:v>
                </c:pt>
                <c:pt idx="44">
                  <c:v>1047.5999999999999</c:v>
                </c:pt>
                <c:pt idx="45">
                  <c:v>1047.5</c:v>
                </c:pt>
                <c:pt idx="46">
                  <c:v>1047.4000000000001</c:v>
                </c:pt>
                <c:pt idx="47">
                  <c:v>1047.3</c:v>
                </c:pt>
                <c:pt idx="48">
                  <c:v>1047.2</c:v>
                </c:pt>
                <c:pt idx="49">
                  <c:v>1047.0999999999999</c:v>
                </c:pt>
                <c:pt idx="50">
                  <c:v>1047</c:v>
                </c:pt>
                <c:pt idx="51">
                  <c:v>1046.9000000000001</c:v>
                </c:pt>
                <c:pt idx="52">
                  <c:v>1046.8</c:v>
                </c:pt>
                <c:pt idx="53">
                  <c:v>1046.7</c:v>
                </c:pt>
                <c:pt idx="54">
                  <c:v>1046.5999999999999</c:v>
                </c:pt>
                <c:pt idx="55">
                  <c:v>1046.5</c:v>
                </c:pt>
                <c:pt idx="56">
                  <c:v>1046.4000000000001</c:v>
                </c:pt>
                <c:pt idx="57">
                  <c:v>1046.3</c:v>
                </c:pt>
                <c:pt idx="58">
                  <c:v>1046.2</c:v>
                </c:pt>
                <c:pt idx="59">
                  <c:v>1046.0999999999999</c:v>
                </c:pt>
                <c:pt idx="60">
                  <c:v>1046</c:v>
                </c:pt>
                <c:pt idx="61">
                  <c:v>1045.9000000000001</c:v>
                </c:pt>
                <c:pt idx="62">
                  <c:v>1045.8</c:v>
                </c:pt>
                <c:pt idx="63">
                  <c:v>1045.7</c:v>
                </c:pt>
                <c:pt idx="64">
                  <c:v>1045.5999999999999</c:v>
                </c:pt>
                <c:pt idx="65">
                  <c:v>1045.5</c:v>
                </c:pt>
                <c:pt idx="66">
                  <c:v>1045.4000000000001</c:v>
                </c:pt>
                <c:pt idx="67">
                  <c:v>1045.3</c:v>
                </c:pt>
                <c:pt idx="68">
                  <c:v>1045.2</c:v>
                </c:pt>
                <c:pt idx="69">
                  <c:v>1045.0999999999999</c:v>
                </c:pt>
                <c:pt idx="70">
                  <c:v>1045</c:v>
                </c:pt>
                <c:pt idx="71">
                  <c:v>1044.9000000000001</c:v>
                </c:pt>
                <c:pt idx="72">
                  <c:v>1044.8</c:v>
                </c:pt>
                <c:pt idx="73">
                  <c:v>1044.7</c:v>
                </c:pt>
                <c:pt idx="74">
                  <c:v>1044.5999999999999</c:v>
                </c:pt>
                <c:pt idx="75">
                  <c:v>1044.5</c:v>
                </c:pt>
                <c:pt idx="76">
                  <c:v>1044.4000000000001</c:v>
                </c:pt>
                <c:pt idx="77">
                  <c:v>1044.3</c:v>
                </c:pt>
                <c:pt idx="78">
                  <c:v>1044.2</c:v>
                </c:pt>
                <c:pt idx="79">
                  <c:v>1044.0999999999999</c:v>
                </c:pt>
                <c:pt idx="80">
                  <c:v>1044</c:v>
                </c:pt>
                <c:pt idx="81">
                  <c:v>1043.9000000000001</c:v>
                </c:pt>
                <c:pt idx="82">
                  <c:v>1043.8</c:v>
                </c:pt>
                <c:pt idx="83">
                  <c:v>1043.7</c:v>
                </c:pt>
                <c:pt idx="84">
                  <c:v>1043.5999999999999</c:v>
                </c:pt>
                <c:pt idx="85">
                  <c:v>1043.5</c:v>
                </c:pt>
                <c:pt idx="86">
                  <c:v>1043.4000000000001</c:v>
                </c:pt>
                <c:pt idx="87">
                  <c:v>1043.3</c:v>
                </c:pt>
                <c:pt idx="88">
                  <c:v>1043.2</c:v>
                </c:pt>
                <c:pt idx="89">
                  <c:v>1043.0999999999999</c:v>
                </c:pt>
                <c:pt idx="90">
                  <c:v>1043</c:v>
                </c:pt>
                <c:pt idx="91">
                  <c:v>1042.9000000000001</c:v>
                </c:pt>
                <c:pt idx="92">
                  <c:v>1042.8</c:v>
                </c:pt>
                <c:pt idx="93">
                  <c:v>1042.7</c:v>
                </c:pt>
                <c:pt idx="94">
                  <c:v>1042.5999999999999</c:v>
                </c:pt>
                <c:pt idx="95">
                  <c:v>1042.5</c:v>
                </c:pt>
                <c:pt idx="96">
                  <c:v>1042.4000000000001</c:v>
                </c:pt>
                <c:pt idx="97">
                  <c:v>1042.3</c:v>
                </c:pt>
                <c:pt idx="98">
                  <c:v>1042.2</c:v>
                </c:pt>
                <c:pt idx="99">
                  <c:v>1042.0999999999999</c:v>
                </c:pt>
                <c:pt idx="100">
                  <c:v>1042</c:v>
                </c:pt>
                <c:pt idx="101">
                  <c:v>1041.9000000000001</c:v>
                </c:pt>
                <c:pt idx="102">
                  <c:v>1041.8</c:v>
                </c:pt>
                <c:pt idx="103">
                  <c:v>1041.7</c:v>
                </c:pt>
                <c:pt idx="104">
                  <c:v>1041.5999999999999</c:v>
                </c:pt>
                <c:pt idx="105">
                  <c:v>1041.5</c:v>
                </c:pt>
                <c:pt idx="106">
                  <c:v>1041.4000000000001</c:v>
                </c:pt>
                <c:pt idx="107">
                  <c:v>1041.3</c:v>
                </c:pt>
                <c:pt idx="108">
                  <c:v>1041.2</c:v>
                </c:pt>
                <c:pt idx="109">
                  <c:v>1041.0999999999999</c:v>
                </c:pt>
                <c:pt idx="110">
                  <c:v>1041</c:v>
                </c:pt>
                <c:pt idx="111">
                  <c:v>1040.9000000000001</c:v>
                </c:pt>
                <c:pt idx="112">
                  <c:v>1040.8</c:v>
                </c:pt>
                <c:pt idx="113">
                  <c:v>1040.7</c:v>
                </c:pt>
                <c:pt idx="114">
                  <c:v>1040.5999999999999</c:v>
                </c:pt>
                <c:pt idx="115">
                  <c:v>1040.5</c:v>
                </c:pt>
                <c:pt idx="116">
                  <c:v>1040.4000000000001</c:v>
                </c:pt>
                <c:pt idx="117">
                  <c:v>1040.3</c:v>
                </c:pt>
                <c:pt idx="118">
                  <c:v>1040.2</c:v>
                </c:pt>
                <c:pt idx="119">
                  <c:v>1040.0999999999999</c:v>
                </c:pt>
                <c:pt idx="120">
                  <c:v>1040</c:v>
                </c:pt>
                <c:pt idx="121">
                  <c:v>1039.9000000000001</c:v>
                </c:pt>
                <c:pt idx="122">
                  <c:v>1039.8</c:v>
                </c:pt>
                <c:pt idx="123">
                  <c:v>1039.7</c:v>
                </c:pt>
                <c:pt idx="124">
                  <c:v>1039.5999999999999</c:v>
                </c:pt>
                <c:pt idx="125">
                  <c:v>1039.5</c:v>
                </c:pt>
                <c:pt idx="126">
                  <c:v>1039.4000000000001</c:v>
                </c:pt>
                <c:pt idx="127">
                  <c:v>1039.3</c:v>
                </c:pt>
                <c:pt idx="128">
                  <c:v>1039.2</c:v>
                </c:pt>
                <c:pt idx="129">
                  <c:v>1039.0999999999999</c:v>
                </c:pt>
                <c:pt idx="130">
                  <c:v>1039</c:v>
                </c:pt>
                <c:pt idx="131">
                  <c:v>1038.9000000000001</c:v>
                </c:pt>
                <c:pt idx="132">
                  <c:v>1038.8</c:v>
                </c:pt>
                <c:pt idx="133">
                  <c:v>1038.7</c:v>
                </c:pt>
                <c:pt idx="134">
                  <c:v>1038.5999999999999</c:v>
                </c:pt>
                <c:pt idx="135">
                  <c:v>1038.5</c:v>
                </c:pt>
                <c:pt idx="136">
                  <c:v>1038.4000000000001</c:v>
                </c:pt>
                <c:pt idx="137">
                  <c:v>1038.3</c:v>
                </c:pt>
                <c:pt idx="138">
                  <c:v>1038.2</c:v>
                </c:pt>
                <c:pt idx="139">
                  <c:v>1038.0999999999999</c:v>
                </c:pt>
                <c:pt idx="140">
                  <c:v>1038</c:v>
                </c:pt>
                <c:pt idx="141">
                  <c:v>1037.9000000000001</c:v>
                </c:pt>
                <c:pt idx="142">
                  <c:v>1037.8</c:v>
                </c:pt>
                <c:pt idx="143">
                  <c:v>1037.7</c:v>
                </c:pt>
                <c:pt idx="144">
                  <c:v>1037.5999999999999</c:v>
                </c:pt>
                <c:pt idx="145">
                  <c:v>1037.5</c:v>
                </c:pt>
                <c:pt idx="146">
                  <c:v>1037.4000000000001</c:v>
                </c:pt>
                <c:pt idx="147">
                  <c:v>1037.3</c:v>
                </c:pt>
                <c:pt idx="148">
                  <c:v>1037.2</c:v>
                </c:pt>
                <c:pt idx="149">
                  <c:v>1037.0999999999999</c:v>
                </c:pt>
                <c:pt idx="150">
                  <c:v>1037</c:v>
                </c:pt>
                <c:pt idx="151">
                  <c:v>1036.9000000000001</c:v>
                </c:pt>
                <c:pt idx="152">
                  <c:v>1036.8</c:v>
                </c:pt>
                <c:pt idx="153">
                  <c:v>1036.7</c:v>
                </c:pt>
                <c:pt idx="154">
                  <c:v>1036.5999999999999</c:v>
                </c:pt>
                <c:pt idx="155">
                  <c:v>1036.5</c:v>
                </c:pt>
                <c:pt idx="156">
                  <c:v>1036.4000000000001</c:v>
                </c:pt>
                <c:pt idx="157">
                  <c:v>1036.3</c:v>
                </c:pt>
                <c:pt idx="158">
                  <c:v>1036.2</c:v>
                </c:pt>
                <c:pt idx="159">
                  <c:v>1036.0999999999999</c:v>
                </c:pt>
                <c:pt idx="160">
                  <c:v>1036</c:v>
                </c:pt>
                <c:pt idx="161">
                  <c:v>1035.9000000000001</c:v>
                </c:pt>
                <c:pt idx="162">
                  <c:v>1035.8</c:v>
                </c:pt>
                <c:pt idx="163">
                  <c:v>1035.7</c:v>
                </c:pt>
                <c:pt idx="164">
                  <c:v>1035.5999999999999</c:v>
                </c:pt>
                <c:pt idx="165">
                  <c:v>1035.5</c:v>
                </c:pt>
                <c:pt idx="166">
                  <c:v>1035.4000000000001</c:v>
                </c:pt>
                <c:pt idx="167">
                  <c:v>1035.3</c:v>
                </c:pt>
                <c:pt idx="168">
                  <c:v>1035.2</c:v>
                </c:pt>
                <c:pt idx="169">
                  <c:v>1035.0999999999999</c:v>
                </c:pt>
                <c:pt idx="170">
                  <c:v>1035</c:v>
                </c:pt>
                <c:pt idx="171">
                  <c:v>1034.9000000000001</c:v>
                </c:pt>
                <c:pt idx="172">
                  <c:v>1034.8</c:v>
                </c:pt>
                <c:pt idx="173">
                  <c:v>1034.7</c:v>
                </c:pt>
                <c:pt idx="174">
                  <c:v>1034.5999999999999</c:v>
                </c:pt>
                <c:pt idx="175">
                  <c:v>1034.5</c:v>
                </c:pt>
                <c:pt idx="176">
                  <c:v>1034.4000000000001</c:v>
                </c:pt>
                <c:pt idx="177">
                  <c:v>1034.3</c:v>
                </c:pt>
                <c:pt idx="178">
                  <c:v>1034.2</c:v>
                </c:pt>
                <c:pt idx="179">
                  <c:v>1034.0999999999999</c:v>
                </c:pt>
                <c:pt idx="180">
                  <c:v>1034</c:v>
                </c:pt>
                <c:pt idx="181">
                  <c:v>1033.9000000000001</c:v>
                </c:pt>
                <c:pt idx="182">
                  <c:v>1033.8</c:v>
                </c:pt>
                <c:pt idx="183">
                  <c:v>1033.7</c:v>
                </c:pt>
                <c:pt idx="184">
                  <c:v>1033.5999999999999</c:v>
                </c:pt>
                <c:pt idx="185">
                  <c:v>1033.5</c:v>
                </c:pt>
                <c:pt idx="186">
                  <c:v>1033.4000000000001</c:v>
                </c:pt>
                <c:pt idx="187">
                  <c:v>1033.3</c:v>
                </c:pt>
                <c:pt idx="188">
                  <c:v>1033.2</c:v>
                </c:pt>
                <c:pt idx="189">
                  <c:v>1033.0999999999999</c:v>
                </c:pt>
                <c:pt idx="190">
                  <c:v>1033</c:v>
                </c:pt>
                <c:pt idx="191">
                  <c:v>1032.9000000000001</c:v>
                </c:pt>
                <c:pt idx="192">
                  <c:v>1032.8</c:v>
                </c:pt>
                <c:pt idx="193">
                  <c:v>1032.7</c:v>
                </c:pt>
                <c:pt idx="194">
                  <c:v>1032.5999999999999</c:v>
                </c:pt>
                <c:pt idx="195">
                  <c:v>1032.5</c:v>
                </c:pt>
                <c:pt idx="196">
                  <c:v>1032.4000000000001</c:v>
                </c:pt>
                <c:pt idx="197">
                  <c:v>1032.3</c:v>
                </c:pt>
                <c:pt idx="198">
                  <c:v>1032.2</c:v>
                </c:pt>
                <c:pt idx="199">
                  <c:v>1032.0999999999999</c:v>
                </c:pt>
                <c:pt idx="200">
                  <c:v>1032</c:v>
                </c:pt>
                <c:pt idx="201">
                  <c:v>1031.9000000000001</c:v>
                </c:pt>
                <c:pt idx="202">
                  <c:v>1031.8</c:v>
                </c:pt>
                <c:pt idx="203">
                  <c:v>1031.7</c:v>
                </c:pt>
                <c:pt idx="204">
                  <c:v>1031.5999999999999</c:v>
                </c:pt>
                <c:pt idx="205">
                  <c:v>1031.5</c:v>
                </c:pt>
                <c:pt idx="206">
                  <c:v>1031.4000000000001</c:v>
                </c:pt>
                <c:pt idx="207">
                  <c:v>1031.3</c:v>
                </c:pt>
                <c:pt idx="208">
                  <c:v>1031.2</c:v>
                </c:pt>
                <c:pt idx="209">
                  <c:v>1031.0999999999999</c:v>
                </c:pt>
                <c:pt idx="210">
                  <c:v>1031</c:v>
                </c:pt>
                <c:pt idx="211">
                  <c:v>1030.9000000000001</c:v>
                </c:pt>
                <c:pt idx="212">
                  <c:v>1030.8</c:v>
                </c:pt>
                <c:pt idx="213">
                  <c:v>1030.7</c:v>
                </c:pt>
                <c:pt idx="214">
                  <c:v>1030.5999999999999</c:v>
                </c:pt>
                <c:pt idx="215">
                  <c:v>1030.5</c:v>
                </c:pt>
                <c:pt idx="216">
                  <c:v>1030.4000000000001</c:v>
                </c:pt>
                <c:pt idx="217">
                  <c:v>1030.3</c:v>
                </c:pt>
                <c:pt idx="218">
                  <c:v>1030.2</c:v>
                </c:pt>
                <c:pt idx="219">
                  <c:v>1030.0999999999999</c:v>
                </c:pt>
                <c:pt idx="220">
                  <c:v>1030</c:v>
                </c:pt>
                <c:pt idx="221">
                  <c:v>1029.9000000000001</c:v>
                </c:pt>
                <c:pt idx="222">
                  <c:v>1029.8</c:v>
                </c:pt>
                <c:pt idx="223">
                  <c:v>1029.7</c:v>
                </c:pt>
                <c:pt idx="224">
                  <c:v>1029.5999999999999</c:v>
                </c:pt>
                <c:pt idx="225">
                  <c:v>1029.5</c:v>
                </c:pt>
                <c:pt idx="226">
                  <c:v>1029.4000000000001</c:v>
                </c:pt>
                <c:pt idx="227">
                  <c:v>1029.3</c:v>
                </c:pt>
                <c:pt idx="228">
                  <c:v>1029.2</c:v>
                </c:pt>
                <c:pt idx="229">
                  <c:v>1029.0999999999999</c:v>
                </c:pt>
                <c:pt idx="230">
                  <c:v>1029</c:v>
                </c:pt>
                <c:pt idx="231">
                  <c:v>1028.9000000000001</c:v>
                </c:pt>
                <c:pt idx="232">
                  <c:v>1028.8</c:v>
                </c:pt>
                <c:pt idx="233">
                  <c:v>1028.7</c:v>
                </c:pt>
                <c:pt idx="234">
                  <c:v>1028.5999999999999</c:v>
                </c:pt>
                <c:pt idx="235">
                  <c:v>1028.5</c:v>
                </c:pt>
                <c:pt idx="236">
                  <c:v>1028.4000000000001</c:v>
                </c:pt>
                <c:pt idx="237">
                  <c:v>1028.3</c:v>
                </c:pt>
                <c:pt idx="238">
                  <c:v>1028.2</c:v>
                </c:pt>
                <c:pt idx="239">
                  <c:v>1028.0999999999999</c:v>
                </c:pt>
                <c:pt idx="240">
                  <c:v>1028</c:v>
                </c:pt>
                <c:pt idx="241">
                  <c:v>1027.9000000000001</c:v>
                </c:pt>
                <c:pt idx="242">
                  <c:v>1027.8</c:v>
                </c:pt>
                <c:pt idx="243">
                  <c:v>1027.7</c:v>
                </c:pt>
                <c:pt idx="244">
                  <c:v>1027.5999999999999</c:v>
                </c:pt>
                <c:pt idx="245">
                  <c:v>1027.5</c:v>
                </c:pt>
                <c:pt idx="246">
                  <c:v>1027.4000000000001</c:v>
                </c:pt>
                <c:pt idx="247">
                  <c:v>1027.3</c:v>
                </c:pt>
                <c:pt idx="248">
                  <c:v>1027.2</c:v>
                </c:pt>
                <c:pt idx="249">
                  <c:v>1027.0999999999999</c:v>
                </c:pt>
                <c:pt idx="250">
                  <c:v>1027</c:v>
                </c:pt>
                <c:pt idx="251">
                  <c:v>1026.9000000000001</c:v>
                </c:pt>
                <c:pt idx="252">
                  <c:v>1026.8</c:v>
                </c:pt>
                <c:pt idx="253">
                  <c:v>1026.7</c:v>
                </c:pt>
                <c:pt idx="254">
                  <c:v>1026.5999999999999</c:v>
                </c:pt>
                <c:pt idx="255">
                  <c:v>1026.5</c:v>
                </c:pt>
                <c:pt idx="256">
                  <c:v>1026.4000000000001</c:v>
                </c:pt>
                <c:pt idx="257">
                  <c:v>1026.3</c:v>
                </c:pt>
                <c:pt idx="258">
                  <c:v>1026.2</c:v>
                </c:pt>
                <c:pt idx="259">
                  <c:v>1026.0999999999999</c:v>
                </c:pt>
                <c:pt idx="260">
                  <c:v>1026</c:v>
                </c:pt>
                <c:pt idx="261">
                  <c:v>1025.9000000000001</c:v>
                </c:pt>
                <c:pt idx="262">
                  <c:v>1025.8</c:v>
                </c:pt>
                <c:pt idx="263">
                  <c:v>1025.7</c:v>
                </c:pt>
                <c:pt idx="264">
                  <c:v>1025.5999999999999</c:v>
                </c:pt>
                <c:pt idx="265">
                  <c:v>1025.5</c:v>
                </c:pt>
                <c:pt idx="266">
                  <c:v>1025.4000000000001</c:v>
                </c:pt>
                <c:pt idx="267">
                  <c:v>1025.3</c:v>
                </c:pt>
                <c:pt idx="268">
                  <c:v>1025.2</c:v>
                </c:pt>
                <c:pt idx="269">
                  <c:v>1025.0999999999999</c:v>
                </c:pt>
                <c:pt idx="270">
                  <c:v>1025</c:v>
                </c:pt>
                <c:pt idx="271">
                  <c:v>1024.9000000000001</c:v>
                </c:pt>
                <c:pt idx="272">
                  <c:v>1024.8</c:v>
                </c:pt>
                <c:pt idx="273">
                  <c:v>1024.7</c:v>
                </c:pt>
                <c:pt idx="274">
                  <c:v>1024.5999999999999</c:v>
                </c:pt>
                <c:pt idx="275">
                  <c:v>1024.5</c:v>
                </c:pt>
                <c:pt idx="276">
                  <c:v>1024.4000000000001</c:v>
                </c:pt>
                <c:pt idx="277">
                  <c:v>1024.3</c:v>
                </c:pt>
                <c:pt idx="278">
                  <c:v>1024.2</c:v>
                </c:pt>
                <c:pt idx="279">
                  <c:v>1024.0999999999999</c:v>
                </c:pt>
                <c:pt idx="280">
                  <c:v>1024</c:v>
                </c:pt>
                <c:pt idx="281">
                  <c:v>1023.9</c:v>
                </c:pt>
                <c:pt idx="282">
                  <c:v>1023.8</c:v>
                </c:pt>
                <c:pt idx="283">
                  <c:v>1023.7</c:v>
                </c:pt>
                <c:pt idx="284">
                  <c:v>1023.6</c:v>
                </c:pt>
                <c:pt idx="285">
                  <c:v>1023.5</c:v>
                </c:pt>
                <c:pt idx="286">
                  <c:v>1023.4</c:v>
                </c:pt>
                <c:pt idx="287">
                  <c:v>1023.3</c:v>
                </c:pt>
                <c:pt idx="288">
                  <c:v>1023.2</c:v>
                </c:pt>
                <c:pt idx="289">
                  <c:v>1023.1</c:v>
                </c:pt>
                <c:pt idx="290">
                  <c:v>1023</c:v>
                </c:pt>
                <c:pt idx="291">
                  <c:v>1022.9</c:v>
                </c:pt>
                <c:pt idx="292">
                  <c:v>1022.8</c:v>
                </c:pt>
                <c:pt idx="293">
                  <c:v>1022.7</c:v>
                </c:pt>
                <c:pt idx="294">
                  <c:v>1022.6</c:v>
                </c:pt>
                <c:pt idx="295">
                  <c:v>1022.5</c:v>
                </c:pt>
                <c:pt idx="296">
                  <c:v>1022.4</c:v>
                </c:pt>
                <c:pt idx="297">
                  <c:v>1022.3</c:v>
                </c:pt>
                <c:pt idx="298">
                  <c:v>1022.2</c:v>
                </c:pt>
                <c:pt idx="299">
                  <c:v>1022.1</c:v>
                </c:pt>
                <c:pt idx="300">
                  <c:v>1022</c:v>
                </c:pt>
                <c:pt idx="301">
                  <c:v>1021.9</c:v>
                </c:pt>
                <c:pt idx="302">
                  <c:v>1021.8</c:v>
                </c:pt>
                <c:pt idx="303">
                  <c:v>1021.7</c:v>
                </c:pt>
                <c:pt idx="304">
                  <c:v>1021.6</c:v>
                </c:pt>
                <c:pt idx="305">
                  <c:v>1021.5</c:v>
                </c:pt>
                <c:pt idx="306">
                  <c:v>1021.4</c:v>
                </c:pt>
                <c:pt idx="307">
                  <c:v>1021.3</c:v>
                </c:pt>
                <c:pt idx="308">
                  <c:v>1021.2</c:v>
                </c:pt>
                <c:pt idx="309">
                  <c:v>1021.1</c:v>
                </c:pt>
                <c:pt idx="310">
                  <c:v>1021</c:v>
                </c:pt>
                <c:pt idx="311">
                  <c:v>1020.9</c:v>
                </c:pt>
                <c:pt idx="312">
                  <c:v>1020.8</c:v>
                </c:pt>
                <c:pt idx="313">
                  <c:v>1020.7</c:v>
                </c:pt>
                <c:pt idx="314">
                  <c:v>1020.6</c:v>
                </c:pt>
                <c:pt idx="315">
                  <c:v>1020.5</c:v>
                </c:pt>
                <c:pt idx="316">
                  <c:v>1020.4</c:v>
                </c:pt>
                <c:pt idx="317">
                  <c:v>1020.3</c:v>
                </c:pt>
                <c:pt idx="318">
                  <c:v>1020.2</c:v>
                </c:pt>
                <c:pt idx="319">
                  <c:v>1020.1</c:v>
                </c:pt>
                <c:pt idx="320">
                  <c:v>1020</c:v>
                </c:pt>
                <c:pt idx="321">
                  <c:v>1019.9</c:v>
                </c:pt>
                <c:pt idx="322">
                  <c:v>1019.8</c:v>
                </c:pt>
                <c:pt idx="323">
                  <c:v>1019.7</c:v>
                </c:pt>
                <c:pt idx="324">
                  <c:v>1019.6</c:v>
                </c:pt>
                <c:pt idx="325">
                  <c:v>1019.5</c:v>
                </c:pt>
                <c:pt idx="326">
                  <c:v>1019.4</c:v>
                </c:pt>
                <c:pt idx="327">
                  <c:v>1019.3</c:v>
                </c:pt>
                <c:pt idx="328">
                  <c:v>1019.2</c:v>
                </c:pt>
                <c:pt idx="329">
                  <c:v>1019.1</c:v>
                </c:pt>
                <c:pt idx="330">
                  <c:v>1019</c:v>
                </c:pt>
                <c:pt idx="331">
                  <c:v>1018.9</c:v>
                </c:pt>
                <c:pt idx="332">
                  <c:v>1018.8</c:v>
                </c:pt>
                <c:pt idx="333">
                  <c:v>1018.7</c:v>
                </c:pt>
                <c:pt idx="334">
                  <c:v>1018.6</c:v>
                </c:pt>
                <c:pt idx="335">
                  <c:v>1018.5</c:v>
                </c:pt>
                <c:pt idx="336">
                  <c:v>1018.4</c:v>
                </c:pt>
                <c:pt idx="337">
                  <c:v>1018.3</c:v>
                </c:pt>
                <c:pt idx="338">
                  <c:v>1018.2</c:v>
                </c:pt>
                <c:pt idx="339">
                  <c:v>1018.1</c:v>
                </c:pt>
                <c:pt idx="340">
                  <c:v>1018</c:v>
                </c:pt>
                <c:pt idx="341">
                  <c:v>1017.9</c:v>
                </c:pt>
                <c:pt idx="342">
                  <c:v>1017.8</c:v>
                </c:pt>
                <c:pt idx="343">
                  <c:v>1017.7</c:v>
                </c:pt>
                <c:pt idx="344">
                  <c:v>1017.6</c:v>
                </c:pt>
                <c:pt idx="345">
                  <c:v>1017.5</c:v>
                </c:pt>
                <c:pt idx="346">
                  <c:v>1017.4</c:v>
                </c:pt>
                <c:pt idx="347">
                  <c:v>1017.3</c:v>
                </c:pt>
                <c:pt idx="348">
                  <c:v>1017.2</c:v>
                </c:pt>
                <c:pt idx="349">
                  <c:v>1017.1</c:v>
                </c:pt>
                <c:pt idx="350">
                  <c:v>1017</c:v>
                </c:pt>
                <c:pt idx="351">
                  <c:v>1016.9</c:v>
                </c:pt>
                <c:pt idx="352">
                  <c:v>1016.8</c:v>
                </c:pt>
                <c:pt idx="353">
                  <c:v>1016.7</c:v>
                </c:pt>
                <c:pt idx="354">
                  <c:v>1016.6</c:v>
                </c:pt>
                <c:pt idx="355">
                  <c:v>1016.5</c:v>
                </c:pt>
                <c:pt idx="356">
                  <c:v>1016.4</c:v>
                </c:pt>
                <c:pt idx="357">
                  <c:v>1016.3</c:v>
                </c:pt>
                <c:pt idx="358">
                  <c:v>1016.2</c:v>
                </c:pt>
                <c:pt idx="359">
                  <c:v>1016.1</c:v>
                </c:pt>
                <c:pt idx="360">
                  <c:v>1016</c:v>
                </c:pt>
                <c:pt idx="361">
                  <c:v>1015.9</c:v>
                </c:pt>
                <c:pt idx="362">
                  <c:v>1015.8</c:v>
                </c:pt>
                <c:pt idx="363">
                  <c:v>1015.7</c:v>
                </c:pt>
                <c:pt idx="364">
                  <c:v>1015.6</c:v>
                </c:pt>
                <c:pt idx="365">
                  <c:v>1015.5</c:v>
                </c:pt>
                <c:pt idx="366">
                  <c:v>1015.4</c:v>
                </c:pt>
                <c:pt idx="367">
                  <c:v>1015.3</c:v>
                </c:pt>
                <c:pt idx="368">
                  <c:v>1015.2</c:v>
                </c:pt>
              </c:numCache>
            </c:numRef>
          </c:cat>
          <c:val>
            <c:numRef>
              <c:f>'Fig 9c'!$G$6:$G$374</c:f>
              <c:numCache>
                <c:formatCode>General</c:formatCode>
                <c:ptCount val="369"/>
                <c:pt idx="0">
                  <c:v>10637</c:v>
                </c:pt>
                <c:pt idx="1">
                  <c:v>10627</c:v>
                </c:pt>
                <c:pt idx="2">
                  <c:v>10628.8</c:v>
                </c:pt>
                <c:pt idx="3">
                  <c:v>10630.6</c:v>
                </c:pt>
                <c:pt idx="4">
                  <c:v>10632.4</c:v>
                </c:pt>
                <c:pt idx="5">
                  <c:v>10634.3</c:v>
                </c:pt>
                <c:pt idx="6">
                  <c:v>10636.1</c:v>
                </c:pt>
                <c:pt idx="7">
                  <c:v>10637.9</c:v>
                </c:pt>
                <c:pt idx="8">
                  <c:v>10639.7</c:v>
                </c:pt>
                <c:pt idx="9">
                  <c:v>10641.5</c:v>
                </c:pt>
                <c:pt idx="10">
                  <c:v>10643.3</c:v>
                </c:pt>
                <c:pt idx="11">
                  <c:v>10645.1</c:v>
                </c:pt>
                <c:pt idx="12">
                  <c:v>10646.9</c:v>
                </c:pt>
                <c:pt idx="13">
                  <c:v>10648.8</c:v>
                </c:pt>
                <c:pt idx="14">
                  <c:v>10650.6</c:v>
                </c:pt>
                <c:pt idx="15">
                  <c:v>10652.4</c:v>
                </c:pt>
                <c:pt idx="16">
                  <c:v>10654.2</c:v>
                </c:pt>
                <c:pt idx="17">
                  <c:v>10656</c:v>
                </c:pt>
                <c:pt idx="18">
                  <c:v>10657.8</c:v>
                </c:pt>
                <c:pt idx="19">
                  <c:v>10659.6</c:v>
                </c:pt>
                <c:pt idx="20">
                  <c:v>10661.5</c:v>
                </c:pt>
                <c:pt idx="21">
                  <c:v>10663.3</c:v>
                </c:pt>
                <c:pt idx="22">
                  <c:v>10665.1</c:v>
                </c:pt>
                <c:pt idx="23">
                  <c:v>10666.9</c:v>
                </c:pt>
                <c:pt idx="24">
                  <c:v>10668.7</c:v>
                </c:pt>
                <c:pt idx="25">
                  <c:v>10670.5</c:v>
                </c:pt>
                <c:pt idx="26">
                  <c:v>10672.3</c:v>
                </c:pt>
                <c:pt idx="27">
                  <c:v>10674.1</c:v>
                </c:pt>
                <c:pt idx="28">
                  <c:v>10676</c:v>
                </c:pt>
                <c:pt idx="29">
                  <c:v>10677.8</c:v>
                </c:pt>
                <c:pt idx="30">
                  <c:v>10679.6</c:v>
                </c:pt>
                <c:pt idx="31">
                  <c:v>10681.4</c:v>
                </c:pt>
                <c:pt idx="32">
                  <c:v>10683.2</c:v>
                </c:pt>
                <c:pt idx="33">
                  <c:v>10685</c:v>
                </c:pt>
                <c:pt idx="34">
                  <c:v>10686.8</c:v>
                </c:pt>
                <c:pt idx="35">
                  <c:v>10688.6</c:v>
                </c:pt>
                <c:pt idx="36">
                  <c:v>10690.5</c:v>
                </c:pt>
                <c:pt idx="37">
                  <c:v>10692.3</c:v>
                </c:pt>
                <c:pt idx="38">
                  <c:v>10694.1</c:v>
                </c:pt>
                <c:pt idx="39">
                  <c:v>10695.9</c:v>
                </c:pt>
                <c:pt idx="40">
                  <c:v>10697.7</c:v>
                </c:pt>
                <c:pt idx="41">
                  <c:v>10699.5</c:v>
                </c:pt>
                <c:pt idx="42">
                  <c:v>10701.3</c:v>
                </c:pt>
                <c:pt idx="43">
                  <c:v>10703.1</c:v>
                </c:pt>
                <c:pt idx="44">
                  <c:v>10705</c:v>
                </c:pt>
                <c:pt idx="45">
                  <c:v>10706.8</c:v>
                </c:pt>
                <c:pt idx="46">
                  <c:v>10708.6</c:v>
                </c:pt>
                <c:pt idx="47">
                  <c:v>10710.4</c:v>
                </c:pt>
                <c:pt idx="48">
                  <c:v>10712.2</c:v>
                </c:pt>
                <c:pt idx="49">
                  <c:v>10714</c:v>
                </c:pt>
                <c:pt idx="50">
                  <c:v>10715.8</c:v>
                </c:pt>
                <c:pt idx="51">
                  <c:v>10717.6</c:v>
                </c:pt>
                <c:pt idx="52">
                  <c:v>10719.5</c:v>
                </c:pt>
                <c:pt idx="53">
                  <c:v>10721.3</c:v>
                </c:pt>
                <c:pt idx="54">
                  <c:v>10723.1</c:v>
                </c:pt>
                <c:pt idx="55">
                  <c:v>10724.9</c:v>
                </c:pt>
                <c:pt idx="56">
                  <c:v>10726.7</c:v>
                </c:pt>
                <c:pt idx="57">
                  <c:v>10728.5</c:v>
                </c:pt>
                <c:pt idx="58">
                  <c:v>10730.3</c:v>
                </c:pt>
                <c:pt idx="59">
                  <c:v>10732.1</c:v>
                </c:pt>
                <c:pt idx="60">
                  <c:v>10734</c:v>
                </c:pt>
                <c:pt idx="61">
                  <c:v>10735.8</c:v>
                </c:pt>
                <c:pt idx="62">
                  <c:v>10737.6</c:v>
                </c:pt>
                <c:pt idx="63">
                  <c:v>10739.4</c:v>
                </c:pt>
                <c:pt idx="64">
                  <c:v>10741.2</c:v>
                </c:pt>
                <c:pt idx="65">
                  <c:v>10743</c:v>
                </c:pt>
                <c:pt idx="66">
                  <c:v>10744.8</c:v>
                </c:pt>
                <c:pt idx="67">
                  <c:v>10746.6</c:v>
                </c:pt>
                <c:pt idx="68">
                  <c:v>10748.5</c:v>
                </c:pt>
                <c:pt idx="69">
                  <c:v>10750.3</c:v>
                </c:pt>
                <c:pt idx="70">
                  <c:v>10752.1</c:v>
                </c:pt>
                <c:pt idx="71">
                  <c:v>10753.9</c:v>
                </c:pt>
                <c:pt idx="72">
                  <c:v>10755.7</c:v>
                </c:pt>
                <c:pt idx="73">
                  <c:v>10757.5</c:v>
                </c:pt>
                <c:pt idx="74">
                  <c:v>10759.3</c:v>
                </c:pt>
                <c:pt idx="75">
                  <c:v>10761.1</c:v>
                </c:pt>
                <c:pt idx="76">
                  <c:v>10763</c:v>
                </c:pt>
                <c:pt idx="77">
                  <c:v>10764.8</c:v>
                </c:pt>
                <c:pt idx="78">
                  <c:v>10766.6</c:v>
                </c:pt>
                <c:pt idx="79">
                  <c:v>10768.4</c:v>
                </c:pt>
                <c:pt idx="80">
                  <c:v>10770.2</c:v>
                </c:pt>
                <c:pt idx="81">
                  <c:v>10772</c:v>
                </c:pt>
                <c:pt idx="82">
                  <c:v>10773.8</c:v>
                </c:pt>
                <c:pt idx="83">
                  <c:v>10775.7</c:v>
                </c:pt>
                <c:pt idx="84">
                  <c:v>10777.5</c:v>
                </c:pt>
                <c:pt idx="85">
                  <c:v>10779.3</c:v>
                </c:pt>
                <c:pt idx="86">
                  <c:v>10781.1</c:v>
                </c:pt>
                <c:pt idx="87">
                  <c:v>10782.9</c:v>
                </c:pt>
                <c:pt idx="88">
                  <c:v>10784.7</c:v>
                </c:pt>
                <c:pt idx="89">
                  <c:v>10786.5</c:v>
                </c:pt>
                <c:pt idx="90">
                  <c:v>10788.3</c:v>
                </c:pt>
                <c:pt idx="91">
                  <c:v>10790.2</c:v>
                </c:pt>
                <c:pt idx="92">
                  <c:v>10792</c:v>
                </c:pt>
                <c:pt idx="93">
                  <c:v>10793.8</c:v>
                </c:pt>
                <c:pt idx="94">
                  <c:v>10795.6</c:v>
                </c:pt>
                <c:pt idx="95">
                  <c:v>10797.4</c:v>
                </c:pt>
                <c:pt idx="96">
                  <c:v>10799.2</c:v>
                </c:pt>
                <c:pt idx="97">
                  <c:v>10801</c:v>
                </c:pt>
                <c:pt idx="98">
                  <c:v>10802.8</c:v>
                </c:pt>
                <c:pt idx="99">
                  <c:v>10804.7</c:v>
                </c:pt>
                <c:pt idx="100">
                  <c:v>10806.5</c:v>
                </c:pt>
                <c:pt idx="101">
                  <c:v>10808.3</c:v>
                </c:pt>
                <c:pt idx="102">
                  <c:v>10810.1</c:v>
                </c:pt>
                <c:pt idx="103">
                  <c:v>10811.9</c:v>
                </c:pt>
                <c:pt idx="104">
                  <c:v>10813.7</c:v>
                </c:pt>
                <c:pt idx="105">
                  <c:v>10815.5</c:v>
                </c:pt>
                <c:pt idx="106">
                  <c:v>10817.3</c:v>
                </c:pt>
                <c:pt idx="107">
                  <c:v>10819.2</c:v>
                </c:pt>
                <c:pt idx="108">
                  <c:v>10821</c:v>
                </c:pt>
                <c:pt idx="109">
                  <c:v>10822.8</c:v>
                </c:pt>
                <c:pt idx="110">
                  <c:v>10824.6</c:v>
                </c:pt>
                <c:pt idx="111">
                  <c:v>10826.4</c:v>
                </c:pt>
                <c:pt idx="112">
                  <c:v>10828.2</c:v>
                </c:pt>
                <c:pt idx="113">
                  <c:v>10830</c:v>
                </c:pt>
                <c:pt idx="114">
                  <c:v>10831.8</c:v>
                </c:pt>
                <c:pt idx="115">
                  <c:v>10833.7</c:v>
                </c:pt>
                <c:pt idx="116">
                  <c:v>10835.5</c:v>
                </c:pt>
                <c:pt idx="117">
                  <c:v>10837.3</c:v>
                </c:pt>
                <c:pt idx="118">
                  <c:v>10839.1</c:v>
                </c:pt>
                <c:pt idx="119">
                  <c:v>10840.9</c:v>
                </c:pt>
                <c:pt idx="120">
                  <c:v>10842.7</c:v>
                </c:pt>
                <c:pt idx="121">
                  <c:v>10844.5</c:v>
                </c:pt>
                <c:pt idx="122">
                  <c:v>10846.3</c:v>
                </c:pt>
                <c:pt idx="123">
                  <c:v>10848.2</c:v>
                </c:pt>
                <c:pt idx="124">
                  <c:v>10850</c:v>
                </c:pt>
                <c:pt idx="125">
                  <c:v>10851.8</c:v>
                </c:pt>
                <c:pt idx="126">
                  <c:v>10853.6</c:v>
                </c:pt>
                <c:pt idx="127">
                  <c:v>10855.4</c:v>
                </c:pt>
                <c:pt idx="128">
                  <c:v>10857.2</c:v>
                </c:pt>
                <c:pt idx="129">
                  <c:v>10859</c:v>
                </c:pt>
                <c:pt idx="130">
                  <c:v>10860.8</c:v>
                </c:pt>
                <c:pt idx="131">
                  <c:v>10862.7</c:v>
                </c:pt>
                <c:pt idx="132">
                  <c:v>10864.5</c:v>
                </c:pt>
                <c:pt idx="133">
                  <c:v>10866.3</c:v>
                </c:pt>
                <c:pt idx="134">
                  <c:v>10868.1</c:v>
                </c:pt>
                <c:pt idx="135">
                  <c:v>10869.9</c:v>
                </c:pt>
                <c:pt idx="136">
                  <c:v>10871.7</c:v>
                </c:pt>
                <c:pt idx="137">
                  <c:v>10873.5</c:v>
                </c:pt>
                <c:pt idx="138">
                  <c:v>10875.3</c:v>
                </c:pt>
                <c:pt idx="139">
                  <c:v>10877.2</c:v>
                </c:pt>
                <c:pt idx="140">
                  <c:v>10879</c:v>
                </c:pt>
                <c:pt idx="141">
                  <c:v>10880.8</c:v>
                </c:pt>
                <c:pt idx="142">
                  <c:v>10882.6</c:v>
                </c:pt>
                <c:pt idx="143">
                  <c:v>10884.4</c:v>
                </c:pt>
                <c:pt idx="144">
                  <c:v>10886.2</c:v>
                </c:pt>
                <c:pt idx="145">
                  <c:v>10888</c:v>
                </c:pt>
                <c:pt idx="146">
                  <c:v>10889.9</c:v>
                </c:pt>
                <c:pt idx="147">
                  <c:v>10891.7</c:v>
                </c:pt>
                <c:pt idx="148">
                  <c:v>10893.5</c:v>
                </c:pt>
                <c:pt idx="149">
                  <c:v>10895.3</c:v>
                </c:pt>
                <c:pt idx="150">
                  <c:v>10897.1</c:v>
                </c:pt>
                <c:pt idx="151">
                  <c:v>10898.9</c:v>
                </c:pt>
                <c:pt idx="152">
                  <c:v>10900.7</c:v>
                </c:pt>
                <c:pt idx="153">
                  <c:v>10902.5</c:v>
                </c:pt>
                <c:pt idx="154">
                  <c:v>10904.4</c:v>
                </c:pt>
                <c:pt idx="155">
                  <c:v>10906.2</c:v>
                </c:pt>
                <c:pt idx="156">
                  <c:v>10908</c:v>
                </c:pt>
                <c:pt idx="157">
                  <c:v>10909.8</c:v>
                </c:pt>
                <c:pt idx="158">
                  <c:v>10911.6</c:v>
                </c:pt>
                <c:pt idx="159">
                  <c:v>10913.4</c:v>
                </c:pt>
                <c:pt idx="160">
                  <c:v>10915.2</c:v>
                </c:pt>
                <c:pt idx="161">
                  <c:v>10917</c:v>
                </c:pt>
                <c:pt idx="162">
                  <c:v>10918.9</c:v>
                </c:pt>
                <c:pt idx="163">
                  <c:v>10920.7</c:v>
                </c:pt>
                <c:pt idx="164">
                  <c:v>10922.5</c:v>
                </c:pt>
                <c:pt idx="165">
                  <c:v>10924.3</c:v>
                </c:pt>
                <c:pt idx="166">
                  <c:v>10926.1</c:v>
                </c:pt>
                <c:pt idx="167">
                  <c:v>10927.9</c:v>
                </c:pt>
                <c:pt idx="168">
                  <c:v>10929.7</c:v>
                </c:pt>
                <c:pt idx="169">
                  <c:v>10931.5</c:v>
                </c:pt>
                <c:pt idx="170">
                  <c:v>10933.4</c:v>
                </c:pt>
                <c:pt idx="171">
                  <c:v>10935.2</c:v>
                </c:pt>
                <c:pt idx="172">
                  <c:v>10937</c:v>
                </c:pt>
                <c:pt idx="173">
                  <c:v>10938.8</c:v>
                </c:pt>
                <c:pt idx="174">
                  <c:v>10940.6</c:v>
                </c:pt>
                <c:pt idx="175">
                  <c:v>10942.4</c:v>
                </c:pt>
                <c:pt idx="176">
                  <c:v>10944.2</c:v>
                </c:pt>
                <c:pt idx="177">
                  <c:v>10946</c:v>
                </c:pt>
                <c:pt idx="178">
                  <c:v>10947.9</c:v>
                </c:pt>
                <c:pt idx="179">
                  <c:v>10949.7</c:v>
                </c:pt>
                <c:pt idx="180">
                  <c:v>10951.5</c:v>
                </c:pt>
                <c:pt idx="181">
                  <c:v>10953.3</c:v>
                </c:pt>
                <c:pt idx="182">
                  <c:v>10955.1</c:v>
                </c:pt>
                <c:pt idx="183">
                  <c:v>10956.9</c:v>
                </c:pt>
                <c:pt idx="184">
                  <c:v>10958.7</c:v>
                </c:pt>
                <c:pt idx="185">
                  <c:v>10960.5</c:v>
                </c:pt>
                <c:pt idx="186">
                  <c:v>10962.4</c:v>
                </c:pt>
                <c:pt idx="187">
                  <c:v>10964.2</c:v>
                </c:pt>
                <c:pt idx="188">
                  <c:v>10966</c:v>
                </c:pt>
                <c:pt idx="189">
                  <c:v>10967.8</c:v>
                </c:pt>
                <c:pt idx="190">
                  <c:v>10969.6</c:v>
                </c:pt>
                <c:pt idx="191">
                  <c:v>10971.4</c:v>
                </c:pt>
                <c:pt idx="192">
                  <c:v>10973.6</c:v>
                </c:pt>
                <c:pt idx="193">
                  <c:v>10975.7</c:v>
                </c:pt>
                <c:pt idx="194">
                  <c:v>10977.9</c:v>
                </c:pt>
                <c:pt idx="195">
                  <c:v>10980</c:v>
                </c:pt>
                <c:pt idx="196">
                  <c:v>10982.2</c:v>
                </c:pt>
                <c:pt idx="197">
                  <c:v>10984.3</c:v>
                </c:pt>
                <c:pt idx="198">
                  <c:v>10986.5</c:v>
                </c:pt>
                <c:pt idx="199">
                  <c:v>10988.6</c:v>
                </c:pt>
                <c:pt idx="200">
                  <c:v>10990.8</c:v>
                </c:pt>
                <c:pt idx="201">
                  <c:v>10992.9</c:v>
                </c:pt>
                <c:pt idx="202">
                  <c:v>10995.1</c:v>
                </c:pt>
                <c:pt idx="203">
                  <c:v>10997.2</c:v>
                </c:pt>
                <c:pt idx="204">
                  <c:v>10999.4</c:v>
                </c:pt>
                <c:pt idx="205">
                  <c:v>11001.5</c:v>
                </c:pt>
                <c:pt idx="206">
                  <c:v>11003.7</c:v>
                </c:pt>
                <c:pt idx="207">
                  <c:v>11005.8</c:v>
                </c:pt>
                <c:pt idx="208">
                  <c:v>11008</c:v>
                </c:pt>
                <c:pt idx="209">
                  <c:v>11010.1</c:v>
                </c:pt>
                <c:pt idx="210">
                  <c:v>11012.3</c:v>
                </c:pt>
                <c:pt idx="211">
                  <c:v>11014.4</c:v>
                </c:pt>
                <c:pt idx="212">
                  <c:v>11016.6</c:v>
                </c:pt>
                <c:pt idx="213">
                  <c:v>11018.7</c:v>
                </c:pt>
                <c:pt idx="214">
                  <c:v>11020.9</c:v>
                </c:pt>
                <c:pt idx="215">
                  <c:v>11023</c:v>
                </c:pt>
                <c:pt idx="216">
                  <c:v>11025.2</c:v>
                </c:pt>
                <c:pt idx="217">
                  <c:v>11027.3</c:v>
                </c:pt>
                <c:pt idx="218">
                  <c:v>11029.5</c:v>
                </c:pt>
                <c:pt idx="219">
                  <c:v>11032.8</c:v>
                </c:pt>
                <c:pt idx="220">
                  <c:v>11036.2</c:v>
                </c:pt>
                <c:pt idx="221">
                  <c:v>11039.5</c:v>
                </c:pt>
                <c:pt idx="222">
                  <c:v>11042.9</c:v>
                </c:pt>
                <c:pt idx="223">
                  <c:v>11046.2</c:v>
                </c:pt>
                <c:pt idx="224">
                  <c:v>11049.6</c:v>
                </c:pt>
                <c:pt idx="225">
                  <c:v>11053</c:v>
                </c:pt>
                <c:pt idx="226">
                  <c:v>11056.3</c:v>
                </c:pt>
                <c:pt idx="227">
                  <c:v>11059.7</c:v>
                </c:pt>
                <c:pt idx="228">
                  <c:v>11063</c:v>
                </c:pt>
                <c:pt idx="229">
                  <c:v>11066.4</c:v>
                </c:pt>
                <c:pt idx="230">
                  <c:v>11069.7</c:v>
                </c:pt>
                <c:pt idx="231">
                  <c:v>11073.1</c:v>
                </c:pt>
                <c:pt idx="232">
                  <c:v>11076.4</c:v>
                </c:pt>
                <c:pt idx="233">
                  <c:v>11079.8</c:v>
                </c:pt>
                <c:pt idx="234">
                  <c:v>11083.1</c:v>
                </c:pt>
                <c:pt idx="235">
                  <c:v>11086.5</c:v>
                </c:pt>
                <c:pt idx="236">
                  <c:v>11089.9</c:v>
                </c:pt>
                <c:pt idx="237">
                  <c:v>11093.2</c:v>
                </c:pt>
                <c:pt idx="238">
                  <c:v>11096.6</c:v>
                </c:pt>
                <c:pt idx="239">
                  <c:v>11099.9</c:v>
                </c:pt>
                <c:pt idx="240">
                  <c:v>11103.3</c:v>
                </c:pt>
                <c:pt idx="241">
                  <c:v>11106.6</c:v>
                </c:pt>
                <c:pt idx="242">
                  <c:v>11110</c:v>
                </c:pt>
                <c:pt idx="243">
                  <c:v>11113.3</c:v>
                </c:pt>
                <c:pt idx="244">
                  <c:v>11116.7</c:v>
                </c:pt>
                <c:pt idx="245">
                  <c:v>11120</c:v>
                </c:pt>
                <c:pt idx="246">
                  <c:v>11123.4</c:v>
                </c:pt>
                <c:pt idx="247">
                  <c:v>11126.7</c:v>
                </c:pt>
                <c:pt idx="248">
                  <c:v>11130.1</c:v>
                </c:pt>
                <c:pt idx="249">
                  <c:v>11133.5</c:v>
                </c:pt>
                <c:pt idx="250">
                  <c:v>11136.8</c:v>
                </c:pt>
                <c:pt idx="251">
                  <c:v>11140.2</c:v>
                </c:pt>
                <c:pt idx="252">
                  <c:v>11143.5</c:v>
                </c:pt>
                <c:pt idx="253">
                  <c:v>11146.9</c:v>
                </c:pt>
                <c:pt idx="254">
                  <c:v>11150.2</c:v>
                </c:pt>
                <c:pt idx="255">
                  <c:v>11153.6</c:v>
                </c:pt>
                <c:pt idx="256">
                  <c:v>11156.9</c:v>
                </c:pt>
                <c:pt idx="257">
                  <c:v>11160.3</c:v>
                </c:pt>
                <c:pt idx="258">
                  <c:v>11163.6</c:v>
                </c:pt>
                <c:pt idx="259">
                  <c:v>11167</c:v>
                </c:pt>
                <c:pt idx="260">
                  <c:v>11170.4</c:v>
                </c:pt>
                <c:pt idx="261">
                  <c:v>11173.7</c:v>
                </c:pt>
                <c:pt idx="262">
                  <c:v>11177.1</c:v>
                </c:pt>
                <c:pt idx="263">
                  <c:v>11180.4</c:v>
                </c:pt>
                <c:pt idx="264">
                  <c:v>11183.8</c:v>
                </c:pt>
                <c:pt idx="265">
                  <c:v>11187.1</c:v>
                </c:pt>
                <c:pt idx="266">
                  <c:v>11190.5</c:v>
                </c:pt>
                <c:pt idx="267">
                  <c:v>11193.8</c:v>
                </c:pt>
                <c:pt idx="268">
                  <c:v>11197.2</c:v>
                </c:pt>
                <c:pt idx="269">
                  <c:v>11200.5</c:v>
                </c:pt>
                <c:pt idx="270">
                  <c:v>11203.9</c:v>
                </c:pt>
                <c:pt idx="271">
                  <c:v>11207.2</c:v>
                </c:pt>
                <c:pt idx="272">
                  <c:v>11210.6</c:v>
                </c:pt>
                <c:pt idx="273">
                  <c:v>11214</c:v>
                </c:pt>
                <c:pt idx="274">
                  <c:v>11217.3</c:v>
                </c:pt>
                <c:pt idx="275">
                  <c:v>11220.7</c:v>
                </c:pt>
                <c:pt idx="276">
                  <c:v>11224</c:v>
                </c:pt>
                <c:pt idx="277">
                  <c:v>11227.4</c:v>
                </c:pt>
                <c:pt idx="278">
                  <c:v>11230.7</c:v>
                </c:pt>
                <c:pt idx="279">
                  <c:v>11234.1</c:v>
                </c:pt>
                <c:pt idx="280">
                  <c:v>11237.4</c:v>
                </c:pt>
                <c:pt idx="281">
                  <c:v>11240.8</c:v>
                </c:pt>
                <c:pt idx="282">
                  <c:v>11244.1</c:v>
                </c:pt>
                <c:pt idx="283">
                  <c:v>11247.5</c:v>
                </c:pt>
                <c:pt idx="284">
                  <c:v>11250.9</c:v>
                </c:pt>
                <c:pt idx="285">
                  <c:v>11254.2</c:v>
                </c:pt>
                <c:pt idx="286">
                  <c:v>11257.6</c:v>
                </c:pt>
                <c:pt idx="287">
                  <c:v>11260.9</c:v>
                </c:pt>
                <c:pt idx="288">
                  <c:v>11264.3</c:v>
                </c:pt>
                <c:pt idx="289">
                  <c:v>11267.6</c:v>
                </c:pt>
                <c:pt idx="290">
                  <c:v>11271</c:v>
                </c:pt>
                <c:pt idx="291">
                  <c:v>11274.3</c:v>
                </c:pt>
                <c:pt idx="292">
                  <c:v>11277.7</c:v>
                </c:pt>
                <c:pt idx="293">
                  <c:v>11281</c:v>
                </c:pt>
                <c:pt idx="294">
                  <c:v>11284.4</c:v>
                </c:pt>
                <c:pt idx="295">
                  <c:v>11287.7</c:v>
                </c:pt>
                <c:pt idx="296">
                  <c:v>11291.1</c:v>
                </c:pt>
                <c:pt idx="297">
                  <c:v>11294.5</c:v>
                </c:pt>
                <c:pt idx="298">
                  <c:v>11297.8</c:v>
                </c:pt>
                <c:pt idx="299">
                  <c:v>11301.2</c:v>
                </c:pt>
                <c:pt idx="300">
                  <c:v>11304.5</c:v>
                </c:pt>
                <c:pt idx="301">
                  <c:v>11307.9</c:v>
                </c:pt>
                <c:pt idx="302">
                  <c:v>11311.2</c:v>
                </c:pt>
                <c:pt idx="303">
                  <c:v>11314.6</c:v>
                </c:pt>
                <c:pt idx="304">
                  <c:v>11317.9</c:v>
                </c:pt>
                <c:pt idx="305">
                  <c:v>11321.3</c:v>
                </c:pt>
                <c:pt idx="306">
                  <c:v>11324.6</c:v>
                </c:pt>
                <c:pt idx="307">
                  <c:v>11328</c:v>
                </c:pt>
                <c:pt idx="308">
                  <c:v>11331.4</c:v>
                </c:pt>
                <c:pt idx="309">
                  <c:v>11334.7</c:v>
                </c:pt>
                <c:pt idx="310">
                  <c:v>11338.1</c:v>
                </c:pt>
                <c:pt idx="311">
                  <c:v>11341.4</c:v>
                </c:pt>
                <c:pt idx="312">
                  <c:v>11344.8</c:v>
                </c:pt>
                <c:pt idx="313">
                  <c:v>11348.1</c:v>
                </c:pt>
                <c:pt idx="314">
                  <c:v>11351.5</c:v>
                </c:pt>
                <c:pt idx="315">
                  <c:v>11354.8</c:v>
                </c:pt>
                <c:pt idx="316">
                  <c:v>11358.2</c:v>
                </c:pt>
                <c:pt idx="317">
                  <c:v>11361.5</c:v>
                </c:pt>
                <c:pt idx="318">
                  <c:v>11364.9</c:v>
                </c:pt>
                <c:pt idx="319">
                  <c:v>11368.2</c:v>
                </c:pt>
                <c:pt idx="320">
                  <c:v>11371.6</c:v>
                </c:pt>
                <c:pt idx="321">
                  <c:v>11375</c:v>
                </c:pt>
                <c:pt idx="322">
                  <c:v>11378.3</c:v>
                </c:pt>
                <c:pt idx="323">
                  <c:v>11381.7</c:v>
                </c:pt>
                <c:pt idx="324">
                  <c:v>11385</c:v>
                </c:pt>
                <c:pt idx="325">
                  <c:v>11388.4</c:v>
                </c:pt>
                <c:pt idx="326">
                  <c:v>11391.7</c:v>
                </c:pt>
                <c:pt idx="327">
                  <c:v>11395.1</c:v>
                </c:pt>
                <c:pt idx="328">
                  <c:v>11398.4</c:v>
                </c:pt>
                <c:pt idx="329">
                  <c:v>11401.8</c:v>
                </c:pt>
                <c:pt idx="330">
                  <c:v>11405.1</c:v>
                </c:pt>
                <c:pt idx="331">
                  <c:v>11408.5</c:v>
                </c:pt>
                <c:pt idx="332">
                  <c:v>11411.9</c:v>
                </c:pt>
                <c:pt idx="333">
                  <c:v>11415.2</c:v>
                </c:pt>
                <c:pt idx="334">
                  <c:v>11418.6</c:v>
                </c:pt>
                <c:pt idx="335">
                  <c:v>11421.9</c:v>
                </c:pt>
                <c:pt idx="336">
                  <c:v>11425.3</c:v>
                </c:pt>
                <c:pt idx="337">
                  <c:v>11428.6</c:v>
                </c:pt>
                <c:pt idx="338">
                  <c:v>11432</c:v>
                </c:pt>
                <c:pt idx="339">
                  <c:v>11435.3</c:v>
                </c:pt>
                <c:pt idx="340">
                  <c:v>11438.7</c:v>
                </c:pt>
                <c:pt idx="341">
                  <c:v>11442</c:v>
                </c:pt>
                <c:pt idx="342">
                  <c:v>11445.4</c:v>
                </c:pt>
                <c:pt idx="343">
                  <c:v>11448.7</c:v>
                </c:pt>
                <c:pt idx="344">
                  <c:v>11452.1</c:v>
                </c:pt>
                <c:pt idx="345">
                  <c:v>11455.5</c:v>
                </c:pt>
                <c:pt idx="346">
                  <c:v>11458.8</c:v>
                </c:pt>
                <c:pt idx="347">
                  <c:v>11462.2</c:v>
                </c:pt>
                <c:pt idx="348">
                  <c:v>11465.5</c:v>
                </c:pt>
                <c:pt idx="349">
                  <c:v>11468.9</c:v>
                </c:pt>
                <c:pt idx="350">
                  <c:v>11472.2</c:v>
                </c:pt>
                <c:pt idx="351">
                  <c:v>11475.6</c:v>
                </c:pt>
                <c:pt idx="352">
                  <c:v>11478.9</c:v>
                </c:pt>
                <c:pt idx="353">
                  <c:v>11482.3</c:v>
                </c:pt>
                <c:pt idx="354">
                  <c:v>11485.6</c:v>
                </c:pt>
                <c:pt idx="355">
                  <c:v>11489</c:v>
                </c:pt>
                <c:pt idx="356">
                  <c:v>11492.4</c:v>
                </c:pt>
                <c:pt idx="357">
                  <c:v>11495.7</c:v>
                </c:pt>
                <c:pt idx="358">
                  <c:v>11499.1</c:v>
                </c:pt>
                <c:pt idx="359">
                  <c:v>11502.4</c:v>
                </c:pt>
                <c:pt idx="360">
                  <c:v>11505.8</c:v>
                </c:pt>
                <c:pt idx="361">
                  <c:v>11509.1</c:v>
                </c:pt>
                <c:pt idx="362">
                  <c:v>11512.5</c:v>
                </c:pt>
                <c:pt idx="363">
                  <c:v>11515.8</c:v>
                </c:pt>
                <c:pt idx="364">
                  <c:v>11519.2</c:v>
                </c:pt>
                <c:pt idx="365">
                  <c:v>11522.5</c:v>
                </c:pt>
                <c:pt idx="366">
                  <c:v>11533.3</c:v>
                </c:pt>
                <c:pt idx="367">
                  <c:v>11544.1</c:v>
                </c:pt>
                <c:pt idx="368">
                  <c:v>11554.8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1F-D34A-8C59-97D745BC9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7439"/>
        <c:axId val="1810940767"/>
      </c:areaChart>
      <c:lineChart>
        <c:grouping val="standard"/>
        <c:varyColors val="0"/>
        <c:ser>
          <c:idx val="5"/>
          <c:order val="3"/>
          <c:tx>
            <c:strRef>
              <c:f>'[1]Fe2p Scan'!$C$16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9c'!$A$6:$A$374</c:f>
              <c:numCache>
                <c:formatCode>General</c:formatCode>
                <c:ptCount val="369"/>
                <c:pt idx="0">
                  <c:v>1052</c:v>
                </c:pt>
                <c:pt idx="1">
                  <c:v>1051.9000000000001</c:v>
                </c:pt>
                <c:pt idx="2">
                  <c:v>1051.8</c:v>
                </c:pt>
                <c:pt idx="3">
                  <c:v>1051.7</c:v>
                </c:pt>
                <c:pt idx="4">
                  <c:v>1051.5999999999999</c:v>
                </c:pt>
                <c:pt idx="5">
                  <c:v>1051.5</c:v>
                </c:pt>
                <c:pt idx="6">
                  <c:v>1051.4000000000001</c:v>
                </c:pt>
                <c:pt idx="7">
                  <c:v>1051.3</c:v>
                </c:pt>
                <c:pt idx="8">
                  <c:v>1051.2</c:v>
                </c:pt>
                <c:pt idx="9">
                  <c:v>1051.0999999999999</c:v>
                </c:pt>
                <c:pt idx="10">
                  <c:v>1051</c:v>
                </c:pt>
                <c:pt idx="11">
                  <c:v>1050.9000000000001</c:v>
                </c:pt>
                <c:pt idx="12">
                  <c:v>1050.8</c:v>
                </c:pt>
                <c:pt idx="13">
                  <c:v>1050.7</c:v>
                </c:pt>
                <c:pt idx="14">
                  <c:v>1050.5999999999999</c:v>
                </c:pt>
                <c:pt idx="15">
                  <c:v>1050.5</c:v>
                </c:pt>
                <c:pt idx="16">
                  <c:v>1050.4000000000001</c:v>
                </c:pt>
                <c:pt idx="17">
                  <c:v>1050.3</c:v>
                </c:pt>
                <c:pt idx="18">
                  <c:v>1050.2</c:v>
                </c:pt>
                <c:pt idx="19">
                  <c:v>1050.0999999999999</c:v>
                </c:pt>
                <c:pt idx="20">
                  <c:v>1050</c:v>
                </c:pt>
                <c:pt idx="21">
                  <c:v>1049.9000000000001</c:v>
                </c:pt>
                <c:pt idx="22">
                  <c:v>1049.8</c:v>
                </c:pt>
                <c:pt idx="23">
                  <c:v>1049.7</c:v>
                </c:pt>
                <c:pt idx="24">
                  <c:v>1049.5999999999999</c:v>
                </c:pt>
                <c:pt idx="25">
                  <c:v>1049.5</c:v>
                </c:pt>
                <c:pt idx="26">
                  <c:v>1049.4000000000001</c:v>
                </c:pt>
                <c:pt idx="27">
                  <c:v>1049.3</c:v>
                </c:pt>
                <c:pt idx="28">
                  <c:v>1049.2</c:v>
                </c:pt>
                <c:pt idx="29">
                  <c:v>1049.0999999999999</c:v>
                </c:pt>
                <c:pt idx="30">
                  <c:v>1049</c:v>
                </c:pt>
                <c:pt idx="31">
                  <c:v>1048.9000000000001</c:v>
                </c:pt>
                <c:pt idx="32">
                  <c:v>1048.8</c:v>
                </c:pt>
                <c:pt idx="33">
                  <c:v>1048.7</c:v>
                </c:pt>
                <c:pt idx="34">
                  <c:v>1048.5999999999999</c:v>
                </c:pt>
                <c:pt idx="35">
                  <c:v>1048.5</c:v>
                </c:pt>
                <c:pt idx="36">
                  <c:v>1048.4000000000001</c:v>
                </c:pt>
                <c:pt idx="37">
                  <c:v>1048.3</c:v>
                </c:pt>
                <c:pt idx="38">
                  <c:v>1048.2</c:v>
                </c:pt>
                <c:pt idx="39">
                  <c:v>1048.0999999999999</c:v>
                </c:pt>
                <c:pt idx="40">
                  <c:v>1048</c:v>
                </c:pt>
                <c:pt idx="41">
                  <c:v>1047.9000000000001</c:v>
                </c:pt>
                <c:pt idx="42">
                  <c:v>1047.8</c:v>
                </c:pt>
                <c:pt idx="43">
                  <c:v>1047.7</c:v>
                </c:pt>
                <c:pt idx="44">
                  <c:v>1047.5999999999999</c:v>
                </c:pt>
                <c:pt idx="45">
                  <c:v>1047.5</c:v>
                </c:pt>
                <c:pt idx="46">
                  <c:v>1047.4000000000001</c:v>
                </c:pt>
                <c:pt idx="47">
                  <c:v>1047.3</c:v>
                </c:pt>
                <c:pt idx="48">
                  <c:v>1047.2</c:v>
                </c:pt>
                <c:pt idx="49">
                  <c:v>1047.0999999999999</c:v>
                </c:pt>
                <c:pt idx="50">
                  <c:v>1047</c:v>
                </c:pt>
                <c:pt idx="51">
                  <c:v>1046.9000000000001</c:v>
                </c:pt>
                <c:pt idx="52">
                  <c:v>1046.8</c:v>
                </c:pt>
                <c:pt idx="53">
                  <c:v>1046.7</c:v>
                </c:pt>
                <c:pt idx="54">
                  <c:v>1046.5999999999999</c:v>
                </c:pt>
                <c:pt idx="55">
                  <c:v>1046.5</c:v>
                </c:pt>
                <c:pt idx="56">
                  <c:v>1046.4000000000001</c:v>
                </c:pt>
                <c:pt idx="57">
                  <c:v>1046.3</c:v>
                </c:pt>
                <c:pt idx="58">
                  <c:v>1046.2</c:v>
                </c:pt>
                <c:pt idx="59">
                  <c:v>1046.0999999999999</c:v>
                </c:pt>
                <c:pt idx="60">
                  <c:v>1046</c:v>
                </c:pt>
                <c:pt idx="61">
                  <c:v>1045.9000000000001</c:v>
                </c:pt>
                <c:pt idx="62">
                  <c:v>1045.8</c:v>
                </c:pt>
                <c:pt idx="63">
                  <c:v>1045.7</c:v>
                </c:pt>
                <c:pt idx="64">
                  <c:v>1045.5999999999999</c:v>
                </c:pt>
                <c:pt idx="65">
                  <c:v>1045.5</c:v>
                </c:pt>
                <c:pt idx="66">
                  <c:v>1045.4000000000001</c:v>
                </c:pt>
                <c:pt idx="67">
                  <c:v>1045.3</c:v>
                </c:pt>
                <c:pt idx="68">
                  <c:v>1045.2</c:v>
                </c:pt>
                <c:pt idx="69">
                  <c:v>1045.0999999999999</c:v>
                </c:pt>
                <c:pt idx="70">
                  <c:v>1045</c:v>
                </c:pt>
                <c:pt idx="71">
                  <c:v>1044.9000000000001</c:v>
                </c:pt>
                <c:pt idx="72">
                  <c:v>1044.8</c:v>
                </c:pt>
                <c:pt idx="73">
                  <c:v>1044.7</c:v>
                </c:pt>
                <c:pt idx="74">
                  <c:v>1044.5999999999999</c:v>
                </c:pt>
                <c:pt idx="75">
                  <c:v>1044.5</c:v>
                </c:pt>
                <c:pt idx="76">
                  <c:v>1044.4000000000001</c:v>
                </c:pt>
                <c:pt idx="77">
                  <c:v>1044.3</c:v>
                </c:pt>
                <c:pt idx="78">
                  <c:v>1044.2</c:v>
                </c:pt>
                <c:pt idx="79">
                  <c:v>1044.0999999999999</c:v>
                </c:pt>
                <c:pt idx="80">
                  <c:v>1044</c:v>
                </c:pt>
                <c:pt idx="81">
                  <c:v>1043.9000000000001</c:v>
                </c:pt>
                <c:pt idx="82">
                  <c:v>1043.8</c:v>
                </c:pt>
                <c:pt idx="83">
                  <c:v>1043.7</c:v>
                </c:pt>
                <c:pt idx="84">
                  <c:v>1043.5999999999999</c:v>
                </c:pt>
                <c:pt idx="85">
                  <c:v>1043.5</c:v>
                </c:pt>
                <c:pt idx="86">
                  <c:v>1043.4000000000001</c:v>
                </c:pt>
                <c:pt idx="87">
                  <c:v>1043.3</c:v>
                </c:pt>
                <c:pt idx="88">
                  <c:v>1043.2</c:v>
                </c:pt>
                <c:pt idx="89">
                  <c:v>1043.0999999999999</c:v>
                </c:pt>
                <c:pt idx="90">
                  <c:v>1043</c:v>
                </c:pt>
                <c:pt idx="91">
                  <c:v>1042.9000000000001</c:v>
                </c:pt>
                <c:pt idx="92">
                  <c:v>1042.8</c:v>
                </c:pt>
                <c:pt idx="93">
                  <c:v>1042.7</c:v>
                </c:pt>
                <c:pt idx="94">
                  <c:v>1042.5999999999999</c:v>
                </c:pt>
                <c:pt idx="95">
                  <c:v>1042.5</c:v>
                </c:pt>
                <c:pt idx="96">
                  <c:v>1042.4000000000001</c:v>
                </c:pt>
                <c:pt idx="97">
                  <c:v>1042.3</c:v>
                </c:pt>
                <c:pt idx="98">
                  <c:v>1042.2</c:v>
                </c:pt>
                <c:pt idx="99">
                  <c:v>1042.0999999999999</c:v>
                </c:pt>
                <c:pt idx="100">
                  <c:v>1042</c:v>
                </c:pt>
                <c:pt idx="101">
                  <c:v>1041.9000000000001</c:v>
                </c:pt>
                <c:pt idx="102">
                  <c:v>1041.8</c:v>
                </c:pt>
                <c:pt idx="103">
                  <c:v>1041.7</c:v>
                </c:pt>
                <c:pt idx="104">
                  <c:v>1041.5999999999999</c:v>
                </c:pt>
                <c:pt idx="105">
                  <c:v>1041.5</c:v>
                </c:pt>
                <c:pt idx="106">
                  <c:v>1041.4000000000001</c:v>
                </c:pt>
                <c:pt idx="107">
                  <c:v>1041.3</c:v>
                </c:pt>
                <c:pt idx="108">
                  <c:v>1041.2</c:v>
                </c:pt>
                <c:pt idx="109">
                  <c:v>1041.0999999999999</c:v>
                </c:pt>
                <c:pt idx="110">
                  <c:v>1041</c:v>
                </c:pt>
                <c:pt idx="111">
                  <c:v>1040.9000000000001</c:v>
                </c:pt>
                <c:pt idx="112">
                  <c:v>1040.8</c:v>
                </c:pt>
                <c:pt idx="113">
                  <c:v>1040.7</c:v>
                </c:pt>
                <c:pt idx="114">
                  <c:v>1040.5999999999999</c:v>
                </c:pt>
                <c:pt idx="115">
                  <c:v>1040.5</c:v>
                </c:pt>
                <c:pt idx="116">
                  <c:v>1040.4000000000001</c:v>
                </c:pt>
                <c:pt idx="117">
                  <c:v>1040.3</c:v>
                </c:pt>
                <c:pt idx="118">
                  <c:v>1040.2</c:v>
                </c:pt>
                <c:pt idx="119">
                  <c:v>1040.0999999999999</c:v>
                </c:pt>
                <c:pt idx="120">
                  <c:v>1040</c:v>
                </c:pt>
                <c:pt idx="121">
                  <c:v>1039.9000000000001</c:v>
                </c:pt>
                <c:pt idx="122">
                  <c:v>1039.8</c:v>
                </c:pt>
                <c:pt idx="123">
                  <c:v>1039.7</c:v>
                </c:pt>
                <c:pt idx="124">
                  <c:v>1039.5999999999999</c:v>
                </c:pt>
                <c:pt idx="125">
                  <c:v>1039.5</c:v>
                </c:pt>
                <c:pt idx="126">
                  <c:v>1039.4000000000001</c:v>
                </c:pt>
                <c:pt idx="127">
                  <c:v>1039.3</c:v>
                </c:pt>
                <c:pt idx="128">
                  <c:v>1039.2</c:v>
                </c:pt>
                <c:pt idx="129">
                  <c:v>1039.0999999999999</c:v>
                </c:pt>
                <c:pt idx="130">
                  <c:v>1039</c:v>
                </c:pt>
                <c:pt idx="131">
                  <c:v>1038.9000000000001</c:v>
                </c:pt>
                <c:pt idx="132">
                  <c:v>1038.8</c:v>
                </c:pt>
                <c:pt idx="133">
                  <c:v>1038.7</c:v>
                </c:pt>
                <c:pt idx="134">
                  <c:v>1038.5999999999999</c:v>
                </c:pt>
                <c:pt idx="135">
                  <c:v>1038.5</c:v>
                </c:pt>
                <c:pt idx="136">
                  <c:v>1038.4000000000001</c:v>
                </c:pt>
                <c:pt idx="137">
                  <c:v>1038.3</c:v>
                </c:pt>
                <c:pt idx="138">
                  <c:v>1038.2</c:v>
                </c:pt>
                <c:pt idx="139">
                  <c:v>1038.0999999999999</c:v>
                </c:pt>
                <c:pt idx="140">
                  <c:v>1038</c:v>
                </c:pt>
                <c:pt idx="141">
                  <c:v>1037.9000000000001</c:v>
                </c:pt>
                <c:pt idx="142">
                  <c:v>1037.8</c:v>
                </c:pt>
                <c:pt idx="143">
                  <c:v>1037.7</c:v>
                </c:pt>
                <c:pt idx="144">
                  <c:v>1037.5999999999999</c:v>
                </c:pt>
                <c:pt idx="145">
                  <c:v>1037.5</c:v>
                </c:pt>
                <c:pt idx="146">
                  <c:v>1037.4000000000001</c:v>
                </c:pt>
                <c:pt idx="147">
                  <c:v>1037.3</c:v>
                </c:pt>
                <c:pt idx="148">
                  <c:v>1037.2</c:v>
                </c:pt>
                <c:pt idx="149">
                  <c:v>1037.0999999999999</c:v>
                </c:pt>
                <c:pt idx="150">
                  <c:v>1037</c:v>
                </c:pt>
                <c:pt idx="151">
                  <c:v>1036.9000000000001</c:v>
                </c:pt>
                <c:pt idx="152">
                  <c:v>1036.8</c:v>
                </c:pt>
                <c:pt idx="153">
                  <c:v>1036.7</c:v>
                </c:pt>
                <c:pt idx="154">
                  <c:v>1036.5999999999999</c:v>
                </c:pt>
                <c:pt idx="155">
                  <c:v>1036.5</c:v>
                </c:pt>
                <c:pt idx="156">
                  <c:v>1036.4000000000001</c:v>
                </c:pt>
                <c:pt idx="157">
                  <c:v>1036.3</c:v>
                </c:pt>
                <c:pt idx="158">
                  <c:v>1036.2</c:v>
                </c:pt>
                <c:pt idx="159">
                  <c:v>1036.0999999999999</c:v>
                </c:pt>
                <c:pt idx="160">
                  <c:v>1036</c:v>
                </c:pt>
                <c:pt idx="161">
                  <c:v>1035.9000000000001</c:v>
                </c:pt>
                <c:pt idx="162">
                  <c:v>1035.8</c:v>
                </c:pt>
                <c:pt idx="163">
                  <c:v>1035.7</c:v>
                </c:pt>
                <c:pt idx="164">
                  <c:v>1035.5999999999999</c:v>
                </c:pt>
                <c:pt idx="165">
                  <c:v>1035.5</c:v>
                </c:pt>
                <c:pt idx="166">
                  <c:v>1035.4000000000001</c:v>
                </c:pt>
                <c:pt idx="167">
                  <c:v>1035.3</c:v>
                </c:pt>
                <c:pt idx="168">
                  <c:v>1035.2</c:v>
                </c:pt>
                <c:pt idx="169">
                  <c:v>1035.0999999999999</c:v>
                </c:pt>
                <c:pt idx="170">
                  <c:v>1035</c:v>
                </c:pt>
                <c:pt idx="171">
                  <c:v>1034.9000000000001</c:v>
                </c:pt>
                <c:pt idx="172">
                  <c:v>1034.8</c:v>
                </c:pt>
                <c:pt idx="173">
                  <c:v>1034.7</c:v>
                </c:pt>
                <c:pt idx="174">
                  <c:v>1034.5999999999999</c:v>
                </c:pt>
                <c:pt idx="175">
                  <c:v>1034.5</c:v>
                </c:pt>
                <c:pt idx="176">
                  <c:v>1034.4000000000001</c:v>
                </c:pt>
                <c:pt idx="177">
                  <c:v>1034.3</c:v>
                </c:pt>
                <c:pt idx="178">
                  <c:v>1034.2</c:v>
                </c:pt>
                <c:pt idx="179">
                  <c:v>1034.0999999999999</c:v>
                </c:pt>
                <c:pt idx="180">
                  <c:v>1034</c:v>
                </c:pt>
                <c:pt idx="181">
                  <c:v>1033.9000000000001</c:v>
                </c:pt>
                <c:pt idx="182">
                  <c:v>1033.8</c:v>
                </c:pt>
                <c:pt idx="183">
                  <c:v>1033.7</c:v>
                </c:pt>
                <c:pt idx="184">
                  <c:v>1033.5999999999999</c:v>
                </c:pt>
                <c:pt idx="185">
                  <c:v>1033.5</c:v>
                </c:pt>
                <c:pt idx="186">
                  <c:v>1033.4000000000001</c:v>
                </c:pt>
                <c:pt idx="187">
                  <c:v>1033.3</c:v>
                </c:pt>
                <c:pt idx="188">
                  <c:v>1033.2</c:v>
                </c:pt>
                <c:pt idx="189">
                  <c:v>1033.0999999999999</c:v>
                </c:pt>
                <c:pt idx="190">
                  <c:v>1033</c:v>
                </c:pt>
                <c:pt idx="191">
                  <c:v>1032.9000000000001</c:v>
                </c:pt>
                <c:pt idx="192">
                  <c:v>1032.8</c:v>
                </c:pt>
                <c:pt idx="193">
                  <c:v>1032.7</c:v>
                </c:pt>
                <c:pt idx="194">
                  <c:v>1032.5999999999999</c:v>
                </c:pt>
                <c:pt idx="195">
                  <c:v>1032.5</c:v>
                </c:pt>
                <c:pt idx="196">
                  <c:v>1032.4000000000001</c:v>
                </c:pt>
                <c:pt idx="197">
                  <c:v>1032.3</c:v>
                </c:pt>
                <c:pt idx="198">
                  <c:v>1032.2</c:v>
                </c:pt>
                <c:pt idx="199">
                  <c:v>1032.0999999999999</c:v>
                </c:pt>
                <c:pt idx="200">
                  <c:v>1032</c:v>
                </c:pt>
                <c:pt idx="201">
                  <c:v>1031.9000000000001</c:v>
                </c:pt>
                <c:pt idx="202">
                  <c:v>1031.8</c:v>
                </c:pt>
                <c:pt idx="203">
                  <c:v>1031.7</c:v>
                </c:pt>
                <c:pt idx="204">
                  <c:v>1031.5999999999999</c:v>
                </c:pt>
                <c:pt idx="205">
                  <c:v>1031.5</c:v>
                </c:pt>
                <c:pt idx="206">
                  <c:v>1031.4000000000001</c:v>
                </c:pt>
                <c:pt idx="207">
                  <c:v>1031.3</c:v>
                </c:pt>
                <c:pt idx="208">
                  <c:v>1031.2</c:v>
                </c:pt>
                <c:pt idx="209">
                  <c:v>1031.0999999999999</c:v>
                </c:pt>
                <c:pt idx="210">
                  <c:v>1031</c:v>
                </c:pt>
                <c:pt idx="211">
                  <c:v>1030.9000000000001</c:v>
                </c:pt>
                <c:pt idx="212">
                  <c:v>1030.8</c:v>
                </c:pt>
                <c:pt idx="213">
                  <c:v>1030.7</c:v>
                </c:pt>
                <c:pt idx="214">
                  <c:v>1030.5999999999999</c:v>
                </c:pt>
                <c:pt idx="215">
                  <c:v>1030.5</c:v>
                </c:pt>
                <c:pt idx="216">
                  <c:v>1030.4000000000001</c:v>
                </c:pt>
                <c:pt idx="217">
                  <c:v>1030.3</c:v>
                </c:pt>
                <c:pt idx="218">
                  <c:v>1030.2</c:v>
                </c:pt>
                <c:pt idx="219">
                  <c:v>1030.0999999999999</c:v>
                </c:pt>
                <c:pt idx="220">
                  <c:v>1030</c:v>
                </c:pt>
                <c:pt idx="221">
                  <c:v>1029.9000000000001</c:v>
                </c:pt>
                <c:pt idx="222">
                  <c:v>1029.8</c:v>
                </c:pt>
                <c:pt idx="223">
                  <c:v>1029.7</c:v>
                </c:pt>
                <c:pt idx="224">
                  <c:v>1029.5999999999999</c:v>
                </c:pt>
                <c:pt idx="225">
                  <c:v>1029.5</c:v>
                </c:pt>
                <c:pt idx="226">
                  <c:v>1029.4000000000001</c:v>
                </c:pt>
                <c:pt idx="227">
                  <c:v>1029.3</c:v>
                </c:pt>
                <c:pt idx="228">
                  <c:v>1029.2</c:v>
                </c:pt>
                <c:pt idx="229">
                  <c:v>1029.0999999999999</c:v>
                </c:pt>
                <c:pt idx="230">
                  <c:v>1029</c:v>
                </c:pt>
                <c:pt idx="231">
                  <c:v>1028.9000000000001</c:v>
                </c:pt>
                <c:pt idx="232">
                  <c:v>1028.8</c:v>
                </c:pt>
                <c:pt idx="233">
                  <c:v>1028.7</c:v>
                </c:pt>
                <c:pt idx="234">
                  <c:v>1028.5999999999999</c:v>
                </c:pt>
                <c:pt idx="235">
                  <c:v>1028.5</c:v>
                </c:pt>
                <c:pt idx="236">
                  <c:v>1028.4000000000001</c:v>
                </c:pt>
                <c:pt idx="237">
                  <c:v>1028.3</c:v>
                </c:pt>
                <c:pt idx="238">
                  <c:v>1028.2</c:v>
                </c:pt>
                <c:pt idx="239">
                  <c:v>1028.0999999999999</c:v>
                </c:pt>
                <c:pt idx="240">
                  <c:v>1028</c:v>
                </c:pt>
                <c:pt idx="241">
                  <c:v>1027.9000000000001</c:v>
                </c:pt>
                <c:pt idx="242">
                  <c:v>1027.8</c:v>
                </c:pt>
                <c:pt idx="243">
                  <c:v>1027.7</c:v>
                </c:pt>
                <c:pt idx="244">
                  <c:v>1027.5999999999999</c:v>
                </c:pt>
                <c:pt idx="245">
                  <c:v>1027.5</c:v>
                </c:pt>
                <c:pt idx="246">
                  <c:v>1027.4000000000001</c:v>
                </c:pt>
                <c:pt idx="247">
                  <c:v>1027.3</c:v>
                </c:pt>
                <c:pt idx="248">
                  <c:v>1027.2</c:v>
                </c:pt>
                <c:pt idx="249">
                  <c:v>1027.0999999999999</c:v>
                </c:pt>
                <c:pt idx="250">
                  <c:v>1027</c:v>
                </c:pt>
                <c:pt idx="251">
                  <c:v>1026.9000000000001</c:v>
                </c:pt>
                <c:pt idx="252">
                  <c:v>1026.8</c:v>
                </c:pt>
                <c:pt idx="253">
                  <c:v>1026.7</c:v>
                </c:pt>
                <c:pt idx="254">
                  <c:v>1026.5999999999999</c:v>
                </c:pt>
                <c:pt idx="255">
                  <c:v>1026.5</c:v>
                </c:pt>
                <c:pt idx="256">
                  <c:v>1026.4000000000001</c:v>
                </c:pt>
                <c:pt idx="257">
                  <c:v>1026.3</c:v>
                </c:pt>
                <c:pt idx="258">
                  <c:v>1026.2</c:v>
                </c:pt>
                <c:pt idx="259">
                  <c:v>1026.0999999999999</c:v>
                </c:pt>
                <c:pt idx="260">
                  <c:v>1026</c:v>
                </c:pt>
                <c:pt idx="261">
                  <c:v>1025.9000000000001</c:v>
                </c:pt>
                <c:pt idx="262">
                  <c:v>1025.8</c:v>
                </c:pt>
                <c:pt idx="263">
                  <c:v>1025.7</c:v>
                </c:pt>
                <c:pt idx="264">
                  <c:v>1025.5999999999999</c:v>
                </c:pt>
                <c:pt idx="265">
                  <c:v>1025.5</c:v>
                </c:pt>
                <c:pt idx="266">
                  <c:v>1025.4000000000001</c:v>
                </c:pt>
                <c:pt idx="267">
                  <c:v>1025.3</c:v>
                </c:pt>
                <c:pt idx="268">
                  <c:v>1025.2</c:v>
                </c:pt>
                <c:pt idx="269">
                  <c:v>1025.0999999999999</c:v>
                </c:pt>
                <c:pt idx="270">
                  <c:v>1025</c:v>
                </c:pt>
                <c:pt idx="271">
                  <c:v>1024.9000000000001</c:v>
                </c:pt>
                <c:pt idx="272">
                  <c:v>1024.8</c:v>
                </c:pt>
                <c:pt idx="273">
                  <c:v>1024.7</c:v>
                </c:pt>
                <c:pt idx="274">
                  <c:v>1024.5999999999999</c:v>
                </c:pt>
                <c:pt idx="275">
                  <c:v>1024.5</c:v>
                </c:pt>
                <c:pt idx="276">
                  <c:v>1024.4000000000001</c:v>
                </c:pt>
                <c:pt idx="277">
                  <c:v>1024.3</c:v>
                </c:pt>
                <c:pt idx="278">
                  <c:v>1024.2</c:v>
                </c:pt>
                <c:pt idx="279">
                  <c:v>1024.0999999999999</c:v>
                </c:pt>
                <c:pt idx="280">
                  <c:v>1024</c:v>
                </c:pt>
                <c:pt idx="281">
                  <c:v>1023.9</c:v>
                </c:pt>
                <c:pt idx="282">
                  <c:v>1023.8</c:v>
                </c:pt>
                <c:pt idx="283">
                  <c:v>1023.7</c:v>
                </c:pt>
                <c:pt idx="284">
                  <c:v>1023.6</c:v>
                </c:pt>
                <c:pt idx="285">
                  <c:v>1023.5</c:v>
                </c:pt>
                <c:pt idx="286">
                  <c:v>1023.4</c:v>
                </c:pt>
                <c:pt idx="287">
                  <c:v>1023.3</c:v>
                </c:pt>
                <c:pt idx="288">
                  <c:v>1023.2</c:v>
                </c:pt>
                <c:pt idx="289">
                  <c:v>1023.1</c:v>
                </c:pt>
                <c:pt idx="290">
                  <c:v>1023</c:v>
                </c:pt>
                <c:pt idx="291">
                  <c:v>1022.9</c:v>
                </c:pt>
                <c:pt idx="292">
                  <c:v>1022.8</c:v>
                </c:pt>
                <c:pt idx="293">
                  <c:v>1022.7</c:v>
                </c:pt>
                <c:pt idx="294">
                  <c:v>1022.6</c:v>
                </c:pt>
                <c:pt idx="295">
                  <c:v>1022.5</c:v>
                </c:pt>
                <c:pt idx="296">
                  <c:v>1022.4</c:v>
                </c:pt>
                <c:pt idx="297">
                  <c:v>1022.3</c:v>
                </c:pt>
                <c:pt idx="298">
                  <c:v>1022.2</c:v>
                </c:pt>
                <c:pt idx="299">
                  <c:v>1022.1</c:v>
                </c:pt>
                <c:pt idx="300">
                  <c:v>1022</c:v>
                </c:pt>
                <c:pt idx="301">
                  <c:v>1021.9</c:v>
                </c:pt>
                <c:pt idx="302">
                  <c:v>1021.8</c:v>
                </c:pt>
                <c:pt idx="303">
                  <c:v>1021.7</c:v>
                </c:pt>
                <c:pt idx="304">
                  <c:v>1021.6</c:v>
                </c:pt>
                <c:pt idx="305">
                  <c:v>1021.5</c:v>
                </c:pt>
                <c:pt idx="306">
                  <c:v>1021.4</c:v>
                </c:pt>
                <c:pt idx="307">
                  <c:v>1021.3</c:v>
                </c:pt>
                <c:pt idx="308">
                  <c:v>1021.2</c:v>
                </c:pt>
                <c:pt idx="309">
                  <c:v>1021.1</c:v>
                </c:pt>
                <c:pt idx="310">
                  <c:v>1021</c:v>
                </c:pt>
                <c:pt idx="311">
                  <c:v>1020.9</c:v>
                </c:pt>
                <c:pt idx="312">
                  <c:v>1020.8</c:v>
                </c:pt>
                <c:pt idx="313">
                  <c:v>1020.7</c:v>
                </c:pt>
                <c:pt idx="314">
                  <c:v>1020.6</c:v>
                </c:pt>
                <c:pt idx="315">
                  <c:v>1020.5</c:v>
                </c:pt>
                <c:pt idx="316">
                  <c:v>1020.4</c:v>
                </c:pt>
                <c:pt idx="317">
                  <c:v>1020.3</c:v>
                </c:pt>
                <c:pt idx="318">
                  <c:v>1020.2</c:v>
                </c:pt>
                <c:pt idx="319">
                  <c:v>1020.1</c:v>
                </c:pt>
                <c:pt idx="320">
                  <c:v>1020</c:v>
                </c:pt>
                <c:pt idx="321">
                  <c:v>1019.9</c:v>
                </c:pt>
                <c:pt idx="322">
                  <c:v>1019.8</c:v>
                </c:pt>
                <c:pt idx="323">
                  <c:v>1019.7</c:v>
                </c:pt>
                <c:pt idx="324">
                  <c:v>1019.6</c:v>
                </c:pt>
                <c:pt idx="325">
                  <c:v>1019.5</c:v>
                </c:pt>
                <c:pt idx="326">
                  <c:v>1019.4</c:v>
                </c:pt>
                <c:pt idx="327">
                  <c:v>1019.3</c:v>
                </c:pt>
                <c:pt idx="328">
                  <c:v>1019.2</c:v>
                </c:pt>
                <c:pt idx="329">
                  <c:v>1019.1</c:v>
                </c:pt>
                <c:pt idx="330">
                  <c:v>1019</c:v>
                </c:pt>
                <c:pt idx="331">
                  <c:v>1018.9</c:v>
                </c:pt>
                <c:pt idx="332">
                  <c:v>1018.8</c:v>
                </c:pt>
                <c:pt idx="333">
                  <c:v>1018.7</c:v>
                </c:pt>
                <c:pt idx="334">
                  <c:v>1018.6</c:v>
                </c:pt>
                <c:pt idx="335">
                  <c:v>1018.5</c:v>
                </c:pt>
                <c:pt idx="336">
                  <c:v>1018.4</c:v>
                </c:pt>
                <c:pt idx="337">
                  <c:v>1018.3</c:v>
                </c:pt>
                <c:pt idx="338">
                  <c:v>1018.2</c:v>
                </c:pt>
                <c:pt idx="339">
                  <c:v>1018.1</c:v>
                </c:pt>
                <c:pt idx="340">
                  <c:v>1018</c:v>
                </c:pt>
                <c:pt idx="341">
                  <c:v>1017.9</c:v>
                </c:pt>
                <c:pt idx="342">
                  <c:v>1017.8</c:v>
                </c:pt>
                <c:pt idx="343">
                  <c:v>1017.7</c:v>
                </c:pt>
                <c:pt idx="344">
                  <c:v>1017.6</c:v>
                </c:pt>
                <c:pt idx="345">
                  <c:v>1017.5</c:v>
                </c:pt>
                <c:pt idx="346">
                  <c:v>1017.4</c:v>
                </c:pt>
                <c:pt idx="347">
                  <c:v>1017.3</c:v>
                </c:pt>
                <c:pt idx="348">
                  <c:v>1017.2</c:v>
                </c:pt>
                <c:pt idx="349">
                  <c:v>1017.1</c:v>
                </c:pt>
                <c:pt idx="350">
                  <c:v>1017</c:v>
                </c:pt>
                <c:pt idx="351">
                  <c:v>1016.9</c:v>
                </c:pt>
                <c:pt idx="352">
                  <c:v>1016.8</c:v>
                </c:pt>
                <c:pt idx="353">
                  <c:v>1016.7</c:v>
                </c:pt>
                <c:pt idx="354">
                  <c:v>1016.6</c:v>
                </c:pt>
                <c:pt idx="355">
                  <c:v>1016.5</c:v>
                </c:pt>
                <c:pt idx="356">
                  <c:v>1016.4</c:v>
                </c:pt>
                <c:pt idx="357">
                  <c:v>1016.3</c:v>
                </c:pt>
                <c:pt idx="358">
                  <c:v>1016.2</c:v>
                </c:pt>
                <c:pt idx="359">
                  <c:v>1016.1</c:v>
                </c:pt>
                <c:pt idx="360">
                  <c:v>1016</c:v>
                </c:pt>
                <c:pt idx="361">
                  <c:v>1015.9</c:v>
                </c:pt>
                <c:pt idx="362">
                  <c:v>1015.8</c:v>
                </c:pt>
                <c:pt idx="363">
                  <c:v>1015.7</c:v>
                </c:pt>
                <c:pt idx="364">
                  <c:v>1015.6</c:v>
                </c:pt>
                <c:pt idx="365">
                  <c:v>1015.5</c:v>
                </c:pt>
                <c:pt idx="366">
                  <c:v>1015.4</c:v>
                </c:pt>
                <c:pt idx="367">
                  <c:v>1015.3</c:v>
                </c:pt>
                <c:pt idx="368">
                  <c:v>1015.2</c:v>
                </c:pt>
              </c:numCache>
            </c:numRef>
          </c:cat>
          <c:val>
            <c:numRef>
              <c:f>'Fig 9c'!$C$6:$C$374</c:f>
              <c:numCache>
                <c:formatCode>General</c:formatCode>
                <c:ptCount val="369"/>
                <c:pt idx="0">
                  <c:v>10650.7</c:v>
                </c:pt>
                <c:pt idx="1">
                  <c:v>10591.9</c:v>
                </c:pt>
                <c:pt idx="2">
                  <c:v>10667.2</c:v>
                </c:pt>
                <c:pt idx="3">
                  <c:v>10624.1</c:v>
                </c:pt>
                <c:pt idx="4">
                  <c:v>10673.4</c:v>
                </c:pt>
                <c:pt idx="5">
                  <c:v>10657.3</c:v>
                </c:pt>
                <c:pt idx="6">
                  <c:v>10754.9</c:v>
                </c:pt>
                <c:pt idx="7">
                  <c:v>10702.2</c:v>
                </c:pt>
                <c:pt idx="8">
                  <c:v>10652</c:v>
                </c:pt>
                <c:pt idx="9">
                  <c:v>10703.5</c:v>
                </c:pt>
                <c:pt idx="10">
                  <c:v>10661</c:v>
                </c:pt>
                <c:pt idx="11">
                  <c:v>10806.7</c:v>
                </c:pt>
                <c:pt idx="12">
                  <c:v>10767</c:v>
                </c:pt>
                <c:pt idx="13">
                  <c:v>10702</c:v>
                </c:pt>
                <c:pt idx="14">
                  <c:v>10708.7</c:v>
                </c:pt>
                <c:pt idx="15">
                  <c:v>10774.7</c:v>
                </c:pt>
                <c:pt idx="16">
                  <c:v>10720</c:v>
                </c:pt>
                <c:pt idx="17">
                  <c:v>10761.3</c:v>
                </c:pt>
                <c:pt idx="18">
                  <c:v>10807.3</c:v>
                </c:pt>
                <c:pt idx="19">
                  <c:v>10757.1</c:v>
                </c:pt>
                <c:pt idx="20">
                  <c:v>10699</c:v>
                </c:pt>
                <c:pt idx="21">
                  <c:v>10802.4</c:v>
                </c:pt>
                <c:pt idx="22">
                  <c:v>10800.8</c:v>
                </c:pt>
                <c:pt idx="23">
                  <c:v>10833.8</c:v>
                </c:pt>
                <c:pt idx="24">
                  <c:v>10845.9</c:v>
                </c:pt>
                <c:pt idx="25">
                  <c:v>10932.5</c:v>
                </c:pt>
                <c:pt idx="26">
                  <c:v>10771</c:v>
                </c:pt>
                <c:pt idx="27">
                  <c:v>10831.3</c:v>
                </c:pt>
                <c:pt idx="28">
                  <c:v>10937.2</c:v>
                </c:pt>
                <c:pt idx="29">
                  <c:v>10845.6</c:v>
                </c:pt>
                <c:pt idx="30">
                  <c:v>10863.4</c:v>
                </c:pt>
                <c:pt idx="31">
                  <c:v>10887.1</c:v>
                </c:pt>
                <c:pt idx="32">
                  <c:v>10942.6</c:v>
                </c:pt>
                <c:pt idx="33">
                  <c:v>10928.2</c:v>
                </c:pt>
                <c:pt idx="34">
                  <c:v>10948.1</c:v>
                </c:pt>
                <c:pt idx="35">
                  <c:v>10963</c:v>
                </c:pt>
                <c:pt idx="36">
                  <c:v>10933.1</c:v>
                </c:pt>
                <c:pt idx="37">
                  <c:v>10916.7</c:v>
                </c:pt>
                <c:pt idx="38">
                  <c:v>10961</c:v>
                </c:pt>
                <c:pt idx="39">
                  <c:v>10962.3</c:v>
                </c:pt>
                <c:pt idx="40">
                  <c:v>10900.1</c:v>
                </c:pt>
                <c:pt idx="41">
                  <c:v>10995.5</c:v>
                </c:pt>
                <c:pt idx="42">
                  <c:v>10993.4</c:v>
                </c:pt>
                <c:pt idx="43">
                  <c:v>11025.7</c:v>
                </c:pt>
                <c:pt idx="44">
                  <c:v>11074.3</c:v>
                </c:pt>
                <c:pt idx="45">
                  <c:v>11096.2</c:v>
                </c:pt>
                <c:pt idx="46">
                  <c:v>11064.8</c:v>
                </c:pt>
                <c:pt idx="47">
                  <c:v>11081.4</c:v>
                </c:pt>
                <c:pt idx="48">
                  <c:v>11010.9</c:v>
                </c:pt>
                <c:pt idx="49">
                  <c:v>11057.5</c:v>
                </c:pt>
                <c:pt idx="50">
                  <c:v>11088.5</c:v>
                </c:pt>
                <c:pt idx="51">
                  <c:v>11105.1</c:v>
                </c:pt>
                <c:pt idx="52">
                  <c:v>11168.2</c:v>
                </c:pt>
                <c:pt idx="53">
                  <c:v>11161.3</c:v>
                </c:pt>
                <c:pt idx="54">
                  <c:v>11147.3</c:v>
                </c:pt>
                <c:pt idx="55">
                  <c:v>11063.9</c:v>
                </c:pt>
                <c:pt idx="56">
                  <c:v>11199.8</c:v>
                </c:pt>
                <c:pt idx="57">
                  <c:v>11156.9</c:v>
                </c:pt>
                <c:pt idx="58">
                  <c:v>11166.1</c:v>
                </c:pt>
                <c:pt idx="59">
                  <c:v>11109.9</c:v>
                </c:pt>
                <c:pt idx="60">
                  <c:v>11140</c:v>
                </c:pt>
                <c:pt idx="61">
                  <c:v>11130.7</c:v>
                </c:pt>
                <c:pt idx="62">
                  <c:v>11224.4</c:v>
                </c:pt>
                <c:pt idx="63">
                  <c:v>11192.5</c:v>
                </c:pt>
                <c:pt idx="64">
                  <c:v>11216.8</c:v>
                </c:pt>
                <c:pt idx="65">
                  <c:v>11183.6</c:v>
                </c:pt>
                <c:pt idx="66">
                  <c:v>11171.3</c:v>
                </c:pt>
                <c:pt idx="67">
                  <c:v>11129.1</c:v>
                </c:pt>
                <c:pt idx="68">
                  <c:v>11074.1</c:v>
                </c:pt>
                <c:pt idx="69">
                  <c:v>10989.6</c:v>
                </c:pt>
                <c:pt idx="70">
                  <c:v>11041.7</c:v>
                </c:pt>
                <c:pt idx="71">
                  <c:v>11072.4</c:v>
                </c:pt>
                <c:pt idx="72">
                  <c:v>11018.4</c:v>
                </c:pt>
                <c:pt idx="73">
                  <c:v>11077</c:v>
                </c:pt>
                <c:pt idx="74">
                  <c:v>10993.1</c:v>
                </c:pt>
                <c:pt idx="75">
                  <c:v>10996.6</c:v>
                </c:pt>
                <c:pt idx="76">
                  <c:v>10968.8</c:v>
                </c:pt>
                <c:pt idx="77">
                  <c:v>11050.1</c:v>
                </c:pt>
                <c:pt idx="78">
                  <c:v>10923.8</c:v>
                </c:pt>
                <c:pt idx="79">
                  <c:v>10883.2</c:v>
                </c:pt>
                <c:pt idx="80">
                  <c:v>10910</c:v>
                </c:pt>
                <c:pt idx="81">
                  <c:v>10937.6</c:v>
                </c:pt>
                <c:pt idx="82">
                  <c:v>10918.1</c:v>
                </c:pt>
                <c:pt idx="83">
                  <c:v>10893.1</c:v>
                </c:pt>
                <c:pt idx="84">
                  <c:v>10878.3</c:v>
                </c:pt>
                <c:pt idx="85">
                  <c:v>10854.8</c:v>
                </c:pt>
                <c:pt idx="86">
                  <c:v>10852.3</c:v>
                </c:pt>
                <c:pt idx="87">
                  <c:v>10854</c:v>
                </c:pt>
                <c:pt idx="88">
                  <c:v>10843.8</c:v>
                </c:pt>
                <c:pt idx="89">
                  <c:v>10867.8</c:v>
                </c:pt>
                <c:pt idx="90">
                  <c:v>10906.3</c:v>
                </c:pt>
                <c:pt idx="91">
                  <c:v>10873.6</c:v>
                </c:pt>
                <c:pt idx="92">
                  <c:v>10875.2</c:v>
                </c:pt>
                <c:pt idx="93">
                  <c:v>10925.7</c:v>
                </c:pt>
                <c:pt idx="94">
                  <c:v>10883.7</c:v>
                </c:pt>
                <c:pt idx="95">
                  <c:v>10921.9</c:v>
                </c:pt>
                <c:pt idx="96">
                  <c:v>10848</c:v>
                </c:pt>
                <c:pt idx="97">
                  <c:v>10907.7</c:v>
                </c:pt>
                <c:pt idx="98">
                  <c:v>10905.8</c:v>
                </c:pt>
                <c:pt idx="99">
                  <c:v>10871.6</c:v>
                </c:pt>
                <c:pt idx="100">
                  <c:v>10879.4</c:v>
                </c:pt>
                <c:pt idx="101">
                  <c:v>10926.9</c:v>
                </c:pt>
                <c:pt idx="102">
                  <c:v>10987.2</c:v>
                </c:pt>
                <c:pt idx="103">
                  <c:v>10924.8</c:v>
                </c:pt>
                <c:pt idx="104">
                  <c:v>10825</c:v>
                </c:pt>
                <c:pt idx="105">
                  <c:v>10909.8</c:v>
                </c:pt>
                <c:pt idx="106">
                  <c:v>10870.4</c:v>
                </c:pt>
                <c:pt idx="107">
                  <c:v>10904.4</c:v>
                </c:pt>
                <c:pt idx="108">
                  <c:v>10996.4</c:v>
                </c:pt>
                <c:pt idx="109">
                  <c:v>10859.6</c:v>
                </c:pt>
                <c:pt idx="110">
                  <c:v>10962.5</c:v>
                </c:pt>
                <c:pt idx="111">
                  <c:v>10971.1</c:v>
                </c:pt>
                <c:pt idx="112">
                  <c:v>10985.3</c:v>
                </c:pt>
                <c:pt idx="113">
                  <c:v>10913.6</c:v>
                </c:pt>
                <c:pt idx="114">
                  <c:v>11037.5</c:v>
                </c:pt>
                <c:pt idx="115">
                  <c:v>10977.4</c:v>
                </c:pt>
                <c:pt idx="116">
                  <c:v>10883</c:v>
                </c:pt>
                <c:pt idx="117">
                  <c:v>10878.8</c:v>
                </c:pt>
                <c:pt idx="118">
                  <c:v>10872.2</c:v>
                </c:pt>
                <c:pt idx="119">
                  <c:v>10869.1</c:v>
                </c:pt>
                <c:pt idx="120">
                  <c:v>10922.8</c:v>
                </c:pt>
                <c:pt idx="121">
                  <c:v>10904.5</c:v>
                </c:pt>
                <c:pt idx="122">
                  <c:v>10945.2</c:v>
                </c:pt>
                <c:pt idx="123">
                  <c:v>10998.1</c:v>
                </c:pt>
                <c:pt idx="124">
                  <c:v>11009.8</c:v>
                </c:pt>
                <c:pt idx="125">
                  <c:v>11028.8</c:v>
                </c:pt>
                <c:pt idx="126">
                  <c:v>10893.7</c:v>
                </c:pt>
                <c:pt idx="127">
                  <c:v>11023.4</c:v>
                </c:pt>
                <c:pt idx="128">
                  <c:v>10904.4</c:v>
                </c:pt>
                <c:pt idx="129">
                  <c:v>10980.1</c:v>
                </c:pt>
                <c:pt idx="130">
                  <c:v>10939</c:v>
                </c:pt>
                <c:pt idx="131">
                  <c:v>10920.2</c:v>
                </c:pt>
                <c:pt idx="132">
                  <c:v>10996</c:v>
                </c:pt>
                <c:pt idx="133">
                  <c:v>10932</c:v>
                </c:pt>
                <c:pt idx="134">
                  <c:v>10874.7</c:v>
                </c:pt>
                <c:pt idx="135">
                  <c:v>10932.5</c:v>
                </c:pt>
                <c:pt idx="136">
                  <c:v>10931.9</c:v>
                </c:pt>
                <c:pt idx="137">
                  <c:v>10909.1</c:v>
                </c:pt>
                <c:pt idx="138">
                  <c:v>10954</c:v>
                </c:pt>
                <c:pt idx="139">
                  <c:v>11018.4</c:v>
                </c:pt>
                <c:pt idx="140">
                  <c:v>10980.3</c:v>
                </c:pt>
                <c:pt idx="141">
                  <c:v>10865</c:v>
                </c:pt>
                <c:pt idx="142">
                  <c:v>11015.7</c:v>
                </c:pt>
                <c:pt idx="143">
                  <c:v>10937.7</c:v>
                </c:pt>
                <c:pt idx="144">
                  <c:v>10899.4</c:v>
                </c:pt>
                <c:pt idx="145">
                  <c:v>10902.3</c:v>
                </c:pt>
                <c:pt idx="146">
                  <c:v>10973</c:v>
                </c:pt>
                <c:pt idx="147">
                  <c:v>11047.4</c:v>
                </c:pt>
                <c:pt idx="148">
                  <c:v>10989.2</c:v>
                </c:pt>
                <c:pt idx="149">
                  <c:v>11006.2</c:v>
                </c:pt>
                <c:pt idx="150">
                  <c:v>10889.8</c:v>
                </c:pt>
                <c:pt idx="151">
                  <c:v>10956.4</c:v>
                </c:pt>
                <c:pt idx="152">
                  <c:v>10996.7</c:v>
                </c:pt>
                <c:pt idx="153">
                  <c:v>10926.4</c:v>
                </c:pt>
                <c:pt idx="154">
                  <c:v>10945.7</c:v>
                </c:pt>
                <c:pt idx="155">
                  <c:v>10933.3</c:v>
                </c:pt>
                <c:pt idx="156">
                  <c:v>10923</c:v>
                </c:pt>
                <c:pt idx="157">
                  <c:v>10957.1</c:v>
                </c:pt>
                <c:pt idx="158">
                  <c:v>10946.8</c:v>
                </c:pt>
                <c:pt idx="159">
                  <c:v>11056.1</c:v>
                </c:pt>
                <c:pt idx="160">
                  <c:v>10929.5</c:v>
                </c:pt>
                <c:pt idx="161">
                  <c:v>10962.2</c:v>
                </c:pt>
                <c:pt idx="162">
                  <c:v>10937.4</c:v>
                </c:pt>
                <c:pt idx="163">
                  <c:v>10977.4</c:v>
                </c:pt>
                <c:pt idx="164">
                  <c:v>10919.8</c:v>
                </c:pt>
                <c:pt idx="165">
                  <c:v>10930.8</c:v>
                </c:pt>
                <c:pt idx="166">
                  <c:v>10927.4</c:v>
                </c:pt>
                <c:pt idx="167">
                  <c:v>11017.6</c:v>
                </c:pt>
                <c:pt idx="168">
                  <c:v>10974.7</c:v>
                </c:pt>
                <c:pt idx="169">
                  <c:v>11041.3</c:v>
                </c:pt>
                <c:pt idx="170">
                  <c:v>10986.8</c:v>
                </c:pt>
                <c:pt idx="171">
                  <c:v>11008</c:v>
                </c:pt>
                <c:pt idx="172">
                  <c:v>10929.6</c:v>
                </c:pt>
                <c:pt idx="173">
                  <c:v>10978</c:v>
                </c:pt>
                <c:pt idx="174">
                  <c:v>11069</c:v>
                </c:pt>
                <c:pt idx="175">
                  <c:v>11040</c:v>
                </c:pt>
                <c:pt idx="176">
                  <c:v>10951.4</c:v>
                </c:pt>
                <c:pt idx="177">
                  <c:v>10989.7</c:v>
                </c:pt>
                <c:pt idx="178">
                  <c:v>10955.6</c:v>
                </c:pt>
                <c:pt idx="179">
                  <c:v>11000.2</c:v>
                </c:pt>
                <c:pt idx="180">
                  <c:v>11025.4</c:v>
                </c:pt>
                <c:pt idx="181">
                  <c:v>11051.7</c:v>
                </c:pt>
                <c:pt idx="182">
                  <c:v>11049.2</c:v>
                </c:pt>
                <c:pt idx="183">
                  <c:v>10978.6</c:v>
                </c:pt>
                <c:pt idx="184">
                  <c:v>10974.8</c:v>
                </c:pt>
                <c:pt idx="185">
                  <c:v>11006.9</c:v>
                </c:pt>
                <c:pt idx="186">
                  <c:v>11031.5</c:v>
                </c:pt>
                <c:pt idx="187">
                  <c:v>11008.7</c:v>
                </c:pt>
                <c:pt idx="188">
                  <c:v>11077.4</c:v>
                </c:pt>
                <c:pt idx="189">
                  <c:v>10941.5</c:v>
                </c:pt>
                <c:pt idx="190">
                  <c:v>10978.8</c:v>
                </c:pt>
                <c:pt idx="191">
                  <c:v>10931.1</c:v>
                </c:pt>
                <c:pt idx="192">
                  <c:v>10942.3</c:v>
                </c:pt>
                <c:pt idx="193">
                  <c:v>11063.4</c:v>
                </c:pt>
                <c:pt idx="194">
                  <c:v>11049.8</c:v>
                </c:pt>
                <c:pt idx="195">
                  <c:v>11069.6</c:v>
                </c:pt>
                <c:pt idx="196">
                  <c:v>10998.6</c:v>
                </c:pt>
                <c:pt idx="197">
                  <c:v>10984.8</c:v>
                </c:pt>
                <c:pt idx="198">
                  <c:v>11087.7</c:v>
                </c:pt>
                <c:pt idx="199">
                  <c:v>11058.2</c:v>
                </c:pt>
                <c:pt idx="200">
                  <c:v>11040.6</c:v>
                </c:pt>
                <c:pt idx="201">
                  <c:v>11076.5</c:v>
                </c:pt>
                <c:pt idx="202">
                  <c:v>11011</c:v>
                </c:pt>
                <c:pt idx="203">
                  <c:v>10990.1</c:v>
                </c:pt>
                <c:pt idx="204">
                  <c:v>10973.1</c:v>
                </c:pt>
                <c:pt idx="205">
                  <c:v>11067.2</c:v>
                </c:pt>
                <c:pt idx="206">
                  <c:v>11033.5</c:v>
                </c:pt>
                <c:pt idx="207">
                  <c:v>11050.6</c:v>
                </c:pt>
                <c:pt idx="208">
                  <c:v>10997.7</c:v>
                </c:pt>
                <c:pt idx="209">
                  <c:v>10966.3</c:v>
                </c:pt>
                <c:pt idx="210">
                  <c:v>11072.6</c:v>
                </c:pt>
                <c:pt idx="211">
                  <c:v>11046.9</c:v>
                </c:pt>
                <c:pt idx="212">
                  <c:v>11083.7</c:v>
                </c:pt>
                <c:pt idx="213">
                  <c:v>11085.5</c:v>
                </c:pt>
                <c:pt idx="214">
                  <c:v>11092</c:v>
                </c:pt>
                <c:pt idx="215">
                  <c:v>11106.4</c:v>
                </c:pt>
                <c:pt idx="216">
                  <c:v>11068.8</c:v>
                </c:pt>
                <c:pt idx="217">
                  <c:v>10890.1</c:v>
                </c:pt>
                <c:pt idx="218">
                  <c:v>11042.7</c:v>
                </c:pt>
                <c:pt idx="219">
                  <c:v>11105.4</c:v>
                </c:pt>
                <c:pt idx="220">
                  <c:v>11040.4</c:v>
                </c:pt>
                <c:pt idx="221">
                  <c:v>11133.5</c:v>
                </c:pt>
                <c:pt idx="222">
                  <c:v>11073.2</c:v>
                </c:pt>
                <c:pt idx="223">
                  <c:v>11113.6</c:v>
                </c:pt>
                <c:pt idx="224">
                  <c:v>11117.8</c:v>
                </c:pt>
                <c:pt idx="225">
                  <c:v>11080</c:v>
                </c:pt>
                <c:pt idx="226">
                  <c:v>11193.8</c:v>
                </c:pt>
                <c:pt idx="227">
                  <c:v>11171.1</c:v>
                </c:pt>
                <c:pt idx="228">
                  <c:v>11202.5</c:v>
                </c:pt>
                <c:pt idx="229">
                  <c:v>11154.5</c:v>
                </c:pt>
                <c:pt idx="230">
                  <c:v>11175.3</c:v>
                </c:pt>
                <c:pt idx="231">
                  <c:v>11231.9</c:v>
                </c:pt>
                <c:pt idx="232">
                  <c:v>11187.3</c:v>
                </c:pt>
                <c:pt idx="233">
                  <c:v>11150</c:v>
                </c:pt>
                <c:pt idx="234">
                  <c:v>11153.7</c:v>
                </c:pt>
                <c:pt idx="235">
                  <c:v>11224.4</c:v>
                </c:pt>
                <c:pt idx="236">
                  <c:v>11258.5</c:v>
                </c:pt>
                <c:pt idx="237">
                  <c:v>11178.1</c:v>
                </c:pt>
                <c:pt idx="238">
                  <c:v>11277.4</c:v>
                </c:pt>
                <c:pt idx="239">
                  <c:v>11282.4</c:v>
                </c:pt>
                <c:pt idx="240">
                  <c:v>11293.4</c:v>
                </c:pt>
                <c:pt idx="241">
                  <c:v>11339.1</c:v>
                </c:pt>
                <c:pt idx="242">
                  <c:v>11288.5</c:v>
                </c:pt>
                <c:pt idx="243">
                  <c:v>11239.8</c:v>
                </c:pt>
                <c:pt idx="244">
                  <c:v>11265</c:v>
                </c:pt>
                <c:pt idx="245">
                  <c:v>11295.7</c:v>
                </c:pt>
                <c:pt idx="246">
                  <c:v>11293.8</c:v>
                </c:pt>
                <c:pt idx="247">
                  <c:v>11320.6</c:v>
                </c:pt>
                <c:pt idx="248">
                  <c:v>11282</c:v>
                </c:pt>
                <c:pt idx="249">
                  <c:v>11403.4</c:v>
                </c:pt>
                <c:pt idx="250">
                  <c:v>11377.7</c:v>
                </c:pt>
                <c:pt idx="251">
                  <c:v>11392</c:v>
                </c:pt>
                <c:pt idx="252">
                  <c:v>11404.6</c:v>
                </c:pt>
                <c:pt idx="253">
                  <c:v>11440.5</c:v>
                </c:pt>
                <c:pt idx="254">
                  <c:v>11326.1</c:v>
                </c:pt>
                <c:pt idx="255">
                  <c:v>11527.7</c:v>
                </c:pt>
                <c:pt idx="256">
                  <c:v>11490.5</c:v>
                </c:pt>
                <c:pt idx="257">
                  <c:v>11405.1</c:v>
                </c:pt>
                <c:pt idx="258">
                  <c:v>11480.8</c:v>
                </c:pt>
                <c:pt idx="259">
                  <c:v>11564.1</c:v>
                </c:pt>
                <c:pt idx="260">
                  <c:v>11497.3</c:v>
                </c:pt>
                <c:pt idx="261">
                  <c:v>11585.8</c:v>
                </c:pt>
                <c:pt idx="262">
                  <c:v>11618.5</c:v>
                </c:pt>
                <c:pt idx="263">
                  <c:v>11698.1</c:v>
                </c:pt>
                <c:pt idx="264">
                  <c:v>11598</c:v>
                </c:pt>
                <c:pt idx="265">
                  <c:v>11617.7</c:v>
                </c:pt>
                <c:pt idx="266">
                  <c:v>11753.2</c:v>
                </c:pt>
                <c:pt idx="267">
                  <c:v>11736.6</c:v>
                </c:pt>
                <c:pt idx="268">
                  <c:v>11662</c:v>
                </c:pt>
                <c:pt idx="269">
                  <c:v>11747.6</c:v>
                </c:pt>
                <c:pt idx="270">
                  <c:v>11807.9</c:v>
                </c:pt>
                <c:pt idx="271">
                  <c:v>11847.4</c:v>
                </c:pt>
                <c:pt idx="272">
                  <c:v>11794</c:v>
                </c:pt>
                <c:pt idx="273">
                  <c:v>11780.9</c:v>
                </c:pt>
                <c:pt idx="274">
                  <c:v>11720.5</c:v>
                </c:pt>
                <c:pt idx="275">
                  <c:v>11887.3</c:v>
                </c:pt>
                <c:pt idx="276">
                  <c:v>11877.4</c:v>
                </c:pt>
                <c:pt idx="277">
                  <c:v>11862.4</c:v>
                </c:pt>
                <c:pt idx="278">
                  <c:v>11886.3</c:v>
                </c:pt>
                <c:pt idx="279">
                  <c:v>12023.7</c:v>
                </c:pt>
                <c:pt idx="280">
                  <c:v>11912.6</c:v>
                </c:pt>
                <c:pt idx="281">
                  <c:v>12046.1</c:v>
                </c:pt>
                <c:pt idx="282">
                  <c:v>11916.3</c:v>
                </c:pt>
                <c:pt idx="283">
                  <c:v>12094.1</c:v>
                </c:pt>
                <c:pt idx="284">
                  <c:v>12070.5</c:v>
                </c:pt>
                <c:pt idx="285">
                  <c:v>12041.5</c:v>
                </c:pt>
                <c:pt idx="286">
                  <c:v>12078</c:v>
                </c:pt>
                <c:pt idx="287">
                  <c:v>12177.1</c:v>
                </c:pt>
                <c:pt idx="288">
                  <c:v>12080.2</c:v>
                </c:pt>
                <c:pt idx="289">
                  <c:v>12134.3</c:v>
                </c:pt>
                <c:pt idx="290">
                  <c:v>12123.7</c:v>
                </c:pt>
                <c:pt idx="291">
                  <c:v>12197.4</c:v>
                </c:pt>
                <c:pt idx="292">
                  <c:v>12201.7</c:v>
                </c:pt>
                <c:pt idx="293">
                  <c:v>12129.9</c:v>
                </c:pt>
                <c:pt idx="294">
                  <c:v>12202.1</c:v>
                </c:pt>
                <c:pt idx="295">
                  <c:v>12075.5</c:v>
                </c:pt>
                <c:pt idx="296">
                  <c:v>12114.8</c:v>
                </c:pt>
                <c:pt idx="297">
                  <c:v>12061.1</c:v>
                </c:pt>
                <c:pt idx="298">
                  <c:v>12118</c:v>
                </c:pt>
                <c:pt idx="299">
                  <c:v>12040.8</c:v>
                </c:pt>
                <c:pt idx="300">
                  <c:v>12020.8</c:v>
                </c:pt>
                <c:pt idx="301">
                  <c:v>12028.9</c:v>
                </c:pt>
                <c:pt idx="302">
                  <c:v>11917.5</c:v>
                </c:pt>
                <c:pt idx="303">
                  <c:v>11949</c:v>
                </c:pt>
                <c:pt idx="304">
                  <c:v>11882.6</c:v>
                </c:pt>
                <c:pt idx="305">
                  <c:v>11735.1</c:v>
                </c:pt>
                <c:pt idx="306">
                  <c:v>11776.1</c:v>
                </c:pt>
                <c:pt idx="307">
                  <c:v>11754.5</c:v>
                </c:pt>
                <c:pt idx="308">
                  <c:v>11719</c:v>
                </c:pt>
                <c:pt idx="309">
                  <c:v>11678.1</c:v>
                </c:pt>
                <c:pt idx="310">
                  <c:v>11734.6</c:v>
                </c:pt>
                <c:pt idx="311">
                  <c:v>11702.9</c:v>
                </c:pt>
                <c:pt idx="312">
                  <c:v>11568.5</c:v>
                </c:pt>
                <c:pt idx="313">
                  <c:v>11611</c:v>
                </c:pt>
                <c:pt idx="314">
                  <c:v>11660.3</c:v>
                </c:pt>
                <c:pt idx="315">
                  <c:v>11584.5</c:v>
                </c:pt>
                <c:pt idx="316">
                  <c:v>11633.7</c:v>
                </c:pt>
                <c:pt idx="317">
                  <c:v>11619.3</c:v>
                </c:pt>
                <c:pt idx="318">
                  <c:v>11645.7</c:v>
                </c:pt>
                <c:pt idx="319">
                  <c:v>11594.1</c:v>
                </c:pt>
                <c:pt idx="320">
                  <c:v>11574.6</c:v>
                </c:pt>
                <c:pt idx="321">
                  <c:v>11541.9</c:v>
                </c:pt>
                <c:pt idx="322">
                  <c:v>11531.3</c:v>
                </c:pt>
                <c:pt idx="323">
                  <c:v>11631.5</c:v>
                </c:pt>
                <c:pt idx="324">
                  <c:v>11540</c:v>
                </c:pt>
                <c:pt idx="325">
                  <c:v>11539.1</c:v>
                </c:pt>
                <c:pt idx="326">
                  <c:v>11593.3</c:v>
                </c:pt>
                <c:pt idx="327">
                  <c:v>11550.4</c:v>
                </c:pt>
                <c:pt idx="328">
                  <c:v>11601.5</c:v>
                </c:pt>
                <c:pt idx="329">
                  <c:v>11536.1</c:v>
                </c:pt>
                <c:pt idx="330">
                  <c:v>11571.5</c:v>
                </c:pt>
                <c:pt idx="331">
                  <c:v>11531.9</c:v>
                </c:pt>
                <c:pt idx="332">
                  <c:v>11612.9</c:v>
                </c:pt>
                <c:pt idx="333">
                  <c:v>11627.1</c:v>
                </c:pt>
                <c:pt idx="334">
                  <c:v>11653</c:v>
                </c:pt>
                <c:pt idx="335">
                  <c:v>11687.7</c:v>
                </c:pt>
                <c:pt idx="336">
                  <c:v>11588.9</c:v>
                </c:pt>
                <c:pt idx="337">
                  <c:v>11574.8</c:v>
                </c:pt>
                <c:pt idx="338">
                  <c:v>11677.1</c:v>
                </c:pt>
                <c:pt idx="339">
                  <c:v>11729.3</c:v>
                </c:pt>
                <c:pt idx="340">
                  <c:v>11658.8</c:v>
                </c:pt>
                <c:pt idx="341">
                  <c:v>11623.3</c:v>
                </c:pt>
                <c:pt idx="342">
                  <c:v>11647.8</c:v>
                </c:pt>
                <c:pt idx="343">
                  <c:v>11628.3</c:v>
                </c:pt>
                <c:pt idx="344">
                  <c:v>11595.2</c:v>
                </c:pt>
                <c:pt idx="345">
                  <c:v>11687.2</c:v>
                </c:pt>
                <c:pt idx="346">
                  <c:v>11627.3</c:v>
                </c:pt>
                <c:pt idx="347">
                  <c:v>11581.3</c:v>
                </c:pt>
                <c:pt idx="348">
                  <c:v>11577</c:v>
                </c:pt>
                <c:pt idx="349">
                  <c:v>11573.9</c:v>
                </c:pt>
                <c:pt idx="350">
                  <c:v>11551.1</c:v>
                </c:pt>
                <c:pt idx="351">
                  <c:v>11599.9</c:v>
                </c:pt>
                <c:pt idx="352">
                  <c:v>11600.5</c:v>
                </c:pt>
                <c:pt idx="353">
                  <c:v>11638.7</c:v>
                </c:pt>
                <c:pt idx="354">
                  <c:v>11573.2</c:v>
                </c:pt>
                <c:pt idx="355">
                  <c:v>11603.3</c:v>
                </c:pt>
                <c:pt idx="356">
                  <c:v>11661.7</c:v>
                </c:pt>
                <c:pt idx="357">
                  <c:v>11606.6</c:v>
                </c:pt>
                <c:pt idx="358">
                  <c:v>11524.6</c:v>
                </c:pt>
                <c:pt idx="359">
                  <c:v>11636.1</c:v>
                </c:pt>
                <c:pt idx="360">
                  <c:v>11527.3</c:v>
                </c:pt>
                <c:pt idx="361">
                  <c:v>11525.2</c:v>
                </c:pt>
                <c:pt idx="362">
                  <c:v>11584.1</c:v>
                </c:pt>
                <c:pt idx="363">
                  <c:v>11496.2</c:v>
                </c:pt>
                <c:pt idx="364">
                  <c:v>11484.5</c:v>
                </c:pt>
                <c:pt idx="365">
                  <c:v>11534.7</c:v>
                </c:pt>
                <c:pt idx="366">
                  <c:v>11560.2</c:v>
                </c:pt>
                <c:pt idx="367">
                  <c:v>11537</c:v>
                </c:pt>
                <c:pt idx="368">
                  <c:v>11567.2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1F-D34A-8C59-97D745BC9734}"/>
            </c:ext>
          </c:extLst>
        </c:ser>
        <c:ser>
          <c:idx val="4"/>
          <c:order val="4"/>
          <c:tx>
            <c:strRef>
              <c:f>'[1]Fe2p Scan'!$I$15</c:f>
              <c:strCache>
                <c:ptCount val="1"/>
                <c:pt idx="0">
                  <c:v>Envelope</c:v>
                </c:pt>
              </c:strCache>
            </c:strRef>
          </c:tx>
          <c:spPr>
            <a:ln w="1905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9c'!$A$6:$A$374</c:f>
              <c:numCache>
                <c:formatCode>General</c:formatCode>
                <c:ptCount val="369"/>
                <c:pt idx="0">
                  <c:v>1052</c:v>
                </c:pt>
                <c:pt idx="1">
                  <c:v>1051.9000000000001</c:v>
                </c:pt>
                <c:pt idx="2">
                  <c:v>1051.8</c:v>
                </c:pt>
                <c:pt idx="3">
                  <c:v>1051.7</c:v>
                </c:pt>
                <c:pt idx="4">
                  <c:v>1051.5999999999999</c:v>
                </c:pt>
                <c:pt idx="5">
                  <c:v>1051.5</c:v>
                </c:pt>
                <c:pt idx="6">
                  <c:v>1051.4000000000001</c:v>
                </c:pt>
                <c:pt idx="7">
                  <c:v>1051.3</c:v>
                </c:pt>
                <c:pt idx="8">
                  <c:v>1051.2</c:v>
                </c:pt>
                <c:pt idx="9">
                  <c:v>1051.0999999999999</c:v>
                </c:pt>
                <c:pt idx="10">
                  <c:v>1051</c:v>
                </c:pt>
                <c:pt idx="11">
                  <c:v>1050.9000000000001</c:v>
                </c:pt>
                <c:pt idx="12">
                  <c:v>1050.8</c:v>
                </c:pt>
                <c:pt idx="13">
                  <c:v>1050.7</c:v>
                </c:pt>
                <c:pt idx="14">
                  <c:v>1050.5999999999999</c:v>
                </c:pt>
                <c:pt idx="15">
                  <c:v>1050.5</c:v>
                </c:pt>
                <c:pt idx="16">
                  <c:v>1050.4000000000001</c:v>
                </c:pt>
                <c:pt idx="17">
                  <c:v>1050.3</c:v>
                </c:pt>
                <c:pt idx="18">
                  <c:v>1050.2</c:v>
                </c:pt>
                <c:pt idx="19">
                  <c:v>1050.0999999999999</c:v>
                </c:pt>
                <c:pt idx="20">
                  <c:v>1050</c:v>
                </c:pt>
                <c:pt idx="21">
                  <c:v>1049.9000000000001</c:v>
                </c:pt>
                <c:pt idx="22">
                  <c:v>1049.8</c:v>
                </c:pt>
                <c:pt idx="23">
                  <c:v>1049.7</c:v>
                </c:pt>
                <c:pt idx="24">
                  <c:v>1049.5999999999999</c:v>
                </c:pt>
                <c:pt idx="25">
                  <c:v>1049.5</c:v>
                </c:pt>
                <c:pt idx="26">
                  <c:v>1049.4000000000001</c:v>
                </c:pt>
                <c:pt idx="27">
                  <c:v>1049.3</c:v>
                </c:pt>
                <c:pt idx="28">
                  <c:v>1049.2</c:v>
                </c:pt>
                <c:pt idx="29">
                  <c:v>1049.0999999999999</c:v>
                </c:pt>
                <c:pt idx="30">
                  <c:v>1049</c:v>
                </c:pt>
                <c:pt idx="31">
                  <c:v>1048.9000000000001</c:v>
                </c:pt>
                <c:pt idx="32">
                  <c:v>1048.8</c:v>
                </c:pt>
                <c:pt idx="33">
                  <c:v>1048.7</c:v>
                </c:pt>
                <c:pt idx="34">
                  <c:v>1048.5999999999999</c:v>
                </c:pt>
                <c:pt idx="35">
                  <c:v>1048.5</c:v>
                </c:pt>
                <c:pt idx="36">
                  <c:v>1048.4000000000001</c:v>
                </c:pt>
                <c:pt idx="37">
                  <c:v>1048.3</c:v>
                </c:pt>
                <c:pt idx="38">
                  <c:v>1048.2</c:v>
                </c:pt>
                <c:pt idx="39">
                  <c:v>1048.0999999999999</c:v>
                </c:pt>
                <c:pt idx="40">
                  <c:v>1048</c:v>
                </c:pt>
                <c:pt idx="41">
                  <c:v>1047.9000000000001</c:v>
                </c:pt>
                <c:pt idx="42">
                  <c:v>1047.8</c:v>
                </c:pt>
                <c:pt idx="43">
                  <c:v>1047.7</c:v>
                </c:pt>
                <c:pt idx="44">
                  <c:v>1047.5999999999999</c:v>
                </c:pt>
                <c:pt idx="45">
                  <c:v>1047.5</c:v>
                </c:pt>
                <c:pt idx="46">
                  <c:v>1047.4000000000001</c:v>
                </c:pt>
                <c:pt idx="47">
                  <c:v>1047.3</c:v>
                </c:pt>
                <c:pt idx="48">
                  <c:v>1047.2</c:v>
                </c:pt>
                <c:pt idx="49">
                  <c:v>1047.0999999999999</c:v>
                </c:pt>
                <c:pt idx="50">
                  <c:v>1047</c:v>
                </c:pt>
                <c:pt idx="51">
                  <c:v>1046.9000000000001</c:v>
                </c:pt>
                <c:pt idx="52">
                  <c:v>1046.8</c:v>
                </c:pt>
                <c:pt idx="53">
                  <c:v>1046.7</c:v>
                </c:pt>
                <c:pt idx="54">
                  <c:v>1046.5999999999999</c:v>
                </c:pt>
                <c:pt idx="55">
                  <c:v>1046.5</c:v>
                </c:pt>
                <c:pt idx="56">
                  <c:v>1046.4000000000001</c:v>
                </c:pt>
                <c:pt idx="57">
                  <c:v>1046.3</c:v>
                </c:pt>
                <c:pt idx="58">
                  <c:v>1046.2</c:v>
                </c:pt>
                <c:pt idx="59">
                  <c:v>1046.0999999999999</c:v>
                </c:pt>
                <c:pt idx="60">
                  <c:v>1046</c:v>
                </c:pt>
                <c:pt idx="61">
                  <c:v>1045.9000000000001</c:v>
                </c:pt>
                <c:pt idx="62">
                  <c:v>1045.8</c:v>
                </c:pt>
                <c:pt idx="63">
                  <c:v>1045.7</c:v>
                </c:pt>
                <c:pt idx="64">
                  <c:v>1045.5999999999999</c:v>
                </c:pt>
                <c:pt idx="65">
                  <c:v>1045.5</c:v>
                </c:pt>
                <c:pt idx="66">
                  <c:v>1045.4000000000001</c:v>
                </c:pt>
                <c:pt idx="67">
                  <c:v>1045.3</c:v>
                </c:pt>
                <c:pt idx="68">
                  <c:v>1045.2</c:v>
                </c:pt>
                <c:pt idx="69">
                  <c:v>1045.0999999999999</c:v>
                </c:pt>
                <c:pt idx="70">
                  <c:v>1045</c:v>
                </c:pt>
                <c:pt idx="71">
                  <c:v>1044.9000000000001</c:v>
                </c:pt>
                <c:pt idx="72">
                  <c:v>1044.8</c:v>
                </c:pt>
                <c:pt idx="73">
                  <c:v>1044.7</c:v>
                </c:pt>
                <c:pt idx="74">
                  <c:v>1044.5999999999999</c:v>
                </c:pt>
                <c:pt idx="75">
                  <c:v>1044.5</c:v>
                </c:pt>
                <c:pt idx="76">
                  <c:v>1044.4000000000001</c:v>
                </c:pt>
                <c:pt idx="77">
                  <c:v>1044.3</c:v>
                </c:pt>
                <c:pt idx="78">
                  <c:v>1044.2</c:v>
                </c:pt>
                <c:pt idx="79">
                  <c:v>1044.0999999999999</c:v>
                </c:pt>
                <c:pt idx="80">
                  <c:v>1044</c:v>
                </c:pt>
                <c:pt idx="81">
                  <c:v>1043.9000000000001</c:v>
                </c:pt>
                <c:pt idx="82">
                  <c:v>1043.8</c:v>
                </c:pt>
                <c:pt idx="83">
                  <c:v>1043.7</c:v>
                </c:pt>
                <c:pt idx="84">
                  <c:v>1043.5999999999999</c:v>
                </c:pt>
                <c:pt idx="85">
                  <c:v>1043.5</c:v>
                </c:pt>
                <c:pt idx="86">
                  <c:v>1043.4000000000001</c:v>
                </c:pt>
                <c:pt idx="87">
                  <c:v>1043.3</c:v>
                </c:pt>
                <c:pt idx="88">
                  <c:v>1043.2</c:v>
                </c:pt>
                <c:pt idx="89">
                  <c:v>1043.0999999999999</c:v>
                </c:pt>
                <c:pt idx="90">
                  <c:v>1043</c:v>
                </c:pt>
                <c:pt idx="91">
                  <c:v>1042.9000000000001</c:v>
                </c:pt>
                <c:pt idx="92">
                  <c:v>1042.8</c:v>
                </c:pt>
                <c:pt idx="93">
                  <c:v>1042.7</c:v>
                </c:pt>
                <c:pt idx="94">
                  <c:v>1042.5999999999999</c:v>
                </c:pt>
                <c:pt idx="95">
                  <c:v>1042.5</c:v>
                </c:pt>
                <c:pt idx="96">
                  <c:v>1042.4000000000001</c:v>
                </c:pt>
                <c:pt idx="97">
                  <c:v>1042.3</c:v>
                </c:pt>
                <c:pt idx="98">
                  <c:v>1042.2</c:v>
                </c:pt>
                <c:pt idx="99">
                  <c:v>1042.0999999999999</c:v>
                </c:pt>
                <c:pt idx="100">
                  <c:v>1042</c:v>
                </c:pt>
                <c:pt idx="101">
                  <c:v>1041.9000000000001</c:v>
                </c:pt>
                <c:pt idx="102">
                  <c:v>1041.8</c:v>
                </c:pt>
                <c:pt idx="103">
                  <c:v>1041.7</c:v>
                </c:pt>
                <c:pt idx="104">
                  <c:v>1041.5999999999999</c:v>
                </c:pt>
                <c:pt idx="105">
                  <c:v>1041.5</c:v>
                </c:pt>
                <c:pt idx="106">
                  <c:v>1041.4000000000001</c:v>
                </c:pt>
                <c:pt idx="107">
                  <c:v>1041.3</c:v>
                </c:pt>
                <c:pt idx="108">
                  <c:v>1041.2</c:v>
                </c:pt>
                <c:pt idx="109">
                  <c:v>1041.0999999999999</c:v>
                </c:pt>
                <c:pt idx="110">
                  <c:v>1041</c:v>
                </c:pt>
                <c:pt idx="111">
                  <c:v>1040.9000000000001</c:v>
                </c:pt>
                <c:pt idx="112">
                  <c:v>1040.8</c:v>
                </c:pt>
                <c:pt idx="113">
                  <c:v>1040.7</c:v>
                </c:pt>
                <c:pt idx="114">
                  <c:v>1040.5999999999999</c:v>
                </c:pt>
                <c:pt idx="115">
                  <c:v>1040.5</c:v>
                </c:pt>
                <c:pt idx="116">
                  <c:v>1040.4000000000001</c:v>
                </c:pt>
                <c:pt idx="117">
                  <c:v>1040.3</c:v>
                </c:pt>
                <c:pt idx="118">
                  <c:v>1040.2</c:v>
                </c:pt>
                <c:pt idx="119">
                  <c:v>1040.0999999999999</c:v>
                </c:pt>
                <c:pt idx="120">
                  <c:v>1040</c:v>
                </c:pt>
                <c:pt idx="121">
                  <c:v>1039.9000000000001</c:v>
                </c:pt>
                <c:pt idx="122">
                  <c:v>1039.8</c:v>
                </c:pt>
                <c:pt idx="123">
                  <c:v>1039.7</c:v>
                </c:pt>
                <c:pt idx="124">
                  <c:v>1039.5999999999999</c:v>
                </c:pt>
                <c:pt idx="125">
                  <c:v>1039.5</c:v>
                </c:pt>
                <c:pt idx="126">
                  <c:v>1039.4000000000001</c:v>
                </c:pt>
                <c:pt idx="127">
                  <c:v>1039.3</c:v>
                </c:pt>
                <c:pt idx="128">
                  <c:v>1039.2</c:v>
                </c:pt>
                <c:pt idx="129">
                  <c:v>1039.0999999999999</c:v>
                </c:pt>
                <c:pt idx="130">
                  <c:v>1039</c:v>
                </c:pt>
                <c:pt idx="131">
                  <c:v>1038.9000000000001</c:v>
                </c:pt>
                <c:pt idx="132">
                  <c:v>1038.8</c:v>
                </c:pt>
                <c:pt idx="133">
                  <c:v>1038.7</c:v>
                </c:pt>
                <c:pt idx="134">
                  <c:v>1038.5999999999999</c:v>
                </c:pt>
                <c:pt idx="135">
                  <c:v>1038.5</c:v>
                </c:pt>
                <c:pt idx="136">
                  <c:v>1038.4000000000001</c:v>
                </c:pt>
                <c:pt idx="137">
                  <c:v>1038.3</c:v>
                </c:pt>
                <c:pt idx="138">
                  <c:v>1038.2</c:v>
                </c:pt>
                <c:pt idx="139">
                  <c:v>1038.0999999999999</c:v>
                </c:pt>
                <c:pt idx="140">
                  <c:v>1038</c:v>
                </c:pt>
                <c:pt idx="141">
                  <c:v>1037.9000000000001</c:v>
                </c:pt>
                <c:pt idx="142">
                  <c:v>1037.8</c:v>
                </c:pt>
                <c:pt idx="143">
                  <c:v>1037.7</c:v>
                </c:pt>
                <c:pt idx="144">
                  <c:v>1037.5999999999999</c:v>
                </c:pt>
                <c:pt idx="145">
                  <c:v>1037.5</c:v>
                </c:pt>
                <c:pt idx="146">
                  <c:v>1037.4000000000001</c:v>
                </c:pt>
                <c:pt idx="147">
                  <c:v>1037.3</c:v>
                </c:pt>
                <c:pt idx="148">
                  <c:v>1037.2</c:v>
                </c:pt>
                <c:pt idx="149">
                  <c:v>1037.0999999999999</c:v>
                </c:pt>
                <c:pt idx="150">
                  <c:v>1037</c:v>
                </c:pt>
                <c:pt idx="151">
                  <c:v>1036.9000000000001</c:v>
                </c:pt>
                <c:pt idx="152">
                  <c:v>1036.8</c:v>
                </c:pt>
                <c:pt idx="153">
                  <c:v>1036.7</c:v>
                </c:pt>
                <c:pt idx="154">
                  <c:v>1036.5999999999999</c:v>
                </c:pt>
                <c:pt idx="155">
                  <c:v>1036.5</c:v>
                </c:pt>
                <c:pt idx="156">
                  <c:v>1036.4000000000001</c:v>
                </c:pt>
                <c:pt idx="157">
                  <c:v>1036.3</c:v>
                </c:pt>
                <c:pt idx="158">
                  <c:v>1036.2</c:v>
                </c:pt>
                <c:pt idx="159">
                  <c:v>1036.0999999999999</c:v>
                </c:pt>
                <c:pt idx="160">
                  <c:v>1036</c:v>
                </c:pt>
                <c:pt idx="161">
                  <c:v>1035.9000000000001</c:v>
                </c:pt>
                <c:pt idx="162">
                  <c:v>1035.8</c:v>
                </c:pt>
                <c:pt idx="163">
                  <c:v>1035.7</c:v>
                </c:pt>
                <c:pt idx="164">
                  <c:v>1035.5999999999999</c:v>
                </c:pt>
                <c:pt idx="165">
                  <c:v>1035.5</c:v>
                </c:pt>
                <c:pt idx="166">
                  <c:v>1035.4000000000001</c:v>
                </c:pt>
                <c:pt idx="167">
                  <c:v>1035.3</c:v>
                </c:pt>
                <c:pt idx="168">
                  <c:v>1035.2</c:v>
                </c:pt>
                <c:pt idx="169">
                  <c:v>1035.0999999999999</c:v>
                </c:pt>
                <c:pt idx="170">
                  <c:v>1035</c:v>
                </c:pt>
                <c:pt idx="171">
                  <c:v>1034.9000000000001</c:v>
                </c:pt>
                <c:pt idx="172">
                  <c:v>1034.8</c:v>
                </c:pt>
                <c:pt idx="173">
                  <c:v>1034.7</c:v>
                </c:pt>
                <c:pt idx="174">
                  <c:v>1034.5999999999999</c:v>
                </c:pt>
                <c:pt idx="175">
                  <c:v>1034.5</c:v>
                </c:pt>
                <c:pt idx="176">
                  <c:v>1034.4000000000001</c:v>
                </c:pt>
                <c:pt idx="177">
                  <c:v>1034.3</c:v>
                </c:pt>
                <c:pt idx="178">
                  <c:v>1034.2</c:v>
                </c:pt>
                <c:pt idx="179">
                  <c:v>1034.0999999999999</c:v>
                </c:pt>
                <c:pt idx="180">
                  <c:v>1034</c:v>
                </c:pt>
                <c:pt idx="181">
                  <c:v>1033.9000000000001</c:v>
                </c:pt>
                <c:pt idx="182">
                  <c:v>1033.8</c:v>
                </c:pt>
                <c:pt idx="183">
                  <c:v>1033.7</c:v>
                </c:pt>
                <c:pt idx="184">
                  <c:v>1033.5999999999999</c:v>
                </c:pt>
                <c:pt idx="185">
                  <c:v>1033.5</c:v>
                </c:pt>
                <c:pt idx="186">
                  <c:v>1033.4000000000001</c:v>
                </c:pt>
                <c:pt idx="187">
                  <c:v>1033.3</c:v>
                </c:pt>
                <c:pt idx="188">
                  <c:v>1033.2</c:v>
                </c:pt>
                <c:pt idx="189">
                  <c:v>1033.0999999999999</c:v>
                </c:pt>
                <c:pt idx="190">
                  <c:v>1033</c:v>
                </c:pt>
                <c:pt idx="191">
                  <c:v>1032.9000000000001</c:v>
                </c:pt>
                <c:pt idx="192">
                  <c:v>1032.8</c:v>
                </c:pt>
                <c:pt idx="193">
                  <c:v>1032.7</c:v>
                </c:pt>
                <c:pt idx="194">
                  <c:v>1032.5999999999999</c:v>
                </c:pt>
                <c:pt idx="195">
                  <c:v>1032.5</c:v>
                </c:pt>
                <c:pt idx="196">
                  <c:v>1032.4000000000001</c:v>
                </c:pt>
                <c:pt idx="197">
                  <c:v>1032.3</c:v>
                </c:pt>
                <c:pt idx="198">
                  <c:v>1032.2</c:v>
                </c:pt>
                <c:pt idx="199">
                  <c:v>1032.0999999999999</c:v>
                </c:pt>
                <c:pt idx="200">
                  <c:v>1032</c:v>
                </c:pt>
                <c:pt idx="201">
                  <c:v>1031.9000000000001</c:v>
                </c:pt>
                <c:pt idx="202">
                  <c:v>1031.8</c:v>
                </c:pt>
                <c:pt idx="203">
                  <c:v>1031.7</c:v>
                </c:pt>
                <c:pt idx="204">
                  <c:v>1031.5999999999999</c:v>
                </c:pt>
                <c:pt idx="205">
                  <c:v>1031.5</c:v>
                </c:pt>
                <c:pt idx="206">
                  <c:v>1031.4000000000001</c:v>
                </c:pt>
                <c:pt idx="207">
                  <c:v>1031.3</c:v>
                </c:pt>
                <c:pt idx="208">
                  <c:v>1031.2</c:v>
                </c:pt>
                <c:pt idx="209">
                  <c:v>1031.0999999999999</c:v>
                </c:pt>
                <c:pt idx="210">
                  <c:v>1031</c:v>
                </c:pt>
                <c:pt idx="211">
                  <c:v>1030.9000000000001</c:v>
                </c:pt>
                <c:pt idx="212">
                  <c:v>1030.8</c:v>
                </c:pt>
                <c:pt idx="213">
                  <c:v>1030.7</c:v>
                </c:pt>
                <c:pt idx="214">
                  <c:v>1030.5999999999999</c:v>
                </c:pt>
                <c:pt idx="215">
                  <c:v>1030.5</c:v>
                </c:pt>
                <c:pt idx="216">
                  <c:v>1030.4000000000001</c:v>
                </c:pt>
                <c:pt idx="217">
                  <c:v>1030.3</c:v>
                </c:pt>
                <c:pt idx="218">
                  <c:v>1030.2</c:v>
                </c:pt>
                <c:pt idx="219">
                  <c:v>1030.0999999999999</c:v>
                </c:pt>
                <c:pt idx="220">
                  <c:v>1030</c:v>
                </c:pt>
                <c:pt idx="221">
                  <c:v>1029.9000000000001</c:v>
                </c:pt>
                <c:pt idx="222">
                  <c:v>1029.8</c:v>
                </c:pt>
                <c:pt idx="223">
                  <c:v>1029.7</c:v>
                </c:pt>
                <c:pt idx="224">
                  <c:v>1029.5999999999999</c:v>
                </c:pt>
                <c:pt idx="225">
                  <c:v>1029.5</c:v>
                </c:pt>
                <c:pt idx="226">
                  <c:v>1029.4000000000001</c:v>
                </c:pt>
                <c:pt idx="227">
                  <c:v>1029.3</c:v>
                </c:pt>
                <c:pt idx="228">
                  <c:v>1029.2</c:v>
                </c:pt>
                <c:pt idx="229">
                  <c:v>1029.0999999999999</c:v>
                </c:pt>
                <c:pt idx="230">
                  <c:v>1029</c:v>
                </c:pt>
                <c:pt idx="231">
                  <c:v>1028.9000000000001</c:v>
                </c:pt>
                <c:pt idx="232">
                  <c:v>1028.8</c:v>
                </c:pt>
                <c:pt idx="233">
                  <c:v>1028.7</c:v>
                </c:pt>
                <c:pt idx="234">
                  <c:v>1028.5999999999999</c:v>
                </c:pt>
                <c:pt idx="235">
                  <c:v>1028.5</c:v>
                </c:pt>
                <c:pt idx="236">
                  <c:v>1028.4000000000001</c:v>
                </c:pt>
                <c:pt idx="237">
                  <c:v>1028.3</c:v>
                </c:pt>
                <c:pt idx="238">
                  <c:v>1028.2</c:v>
                </c:pt>
                <c:pt idx="239">
                  <c:v>1028.0999999999999</c:v>
                </c:pt>
                <c:pt idx="240">
                  <c:v>1028</c:v>
                </c:pt>
                <c:pt idx="241">
                  <c:v>1027.9000000000001</c:v>
                </c:pt>
                <c:pt idx="242">
                  <c:v>1027.8</c:v>
                </c:pt>
                <c:pt idx="243">
                  <c:v>1027.7</c:v>
                </c:pt>
                <c:pt idx="244">
                  <c:v>1027.5999999999999</c:v>
                </c:pt>
                <c:pt idx="245">
                  <c:v>1027.5</c:v>
                </c:pt>
                <c:pt idx="246">
                  <c:v>1027.4000000000001</c:v>
                </c:pt>
                <c:pt idx="247">
                  <c:v>1027.3</c:v>
                </c:pt>
                <c:pt idx="248">
                  <c:v>1027.2</c:v>
                </c:pt>
                <c:pt idx="249">
                  <c:v>1027.0999999999999</c:v>
                </c:pt>
                <c:pt idx="250">
                  <c:v>1027</c:v>
                </c:pt>
                <c:pt idx="251">
                  <c:v>1026.9000000000001</c:v>
                </c:pt>
                <c:pt idx="252">
                  <c:v>1026.8</c:v>
                </c:pt>
                <c:pt idx="253">
                  <c:v>1026.7</c:v>
                </c:pt>
                <c:pt idx="254">
                  <c:v>1026.5999999999999</c:v>
                </c:pt>
                <c:pt idx="255">
                  <c:v>1026.5</c:v>
                </c:pt>
                <c:pt idx="256">
                  <c:v>1026.4000000000001</c:v>
                </c:pt>
                <c:pt idx="257">
                  <c:v>1026.3</c:v>
                </c:pt>
                <c:pt idx="258">
                  <c:v>1026.2</c:v>
                </c:pt>
                <c:pt idx="259">
                  <c:v>1026.0999999999999</c:v>
                </c:pt>
                <c:pt idx="260">
                  <c:v>1026</c:v>
                </c:pt>
                <c:pt idx="261">
                  <c:v>1025.9000000000001</c:v>
                </c:pt>
                <c:pt idx="262">
                  <c:v>1025.8</c:v>
                </c:pt>
                <c:pt idx="263">
                  <c:v>1025.7</c:v>
                </c:pt>
                <c:pt idx="264">
                  <c:v>1025.5999999999999</c:v>
                </c:pt>
                <c:pt idx="265">
                  <c:v>1025.5</c:v>
                </c:pt>
                <c:pt idx="266">
                  <c:v>1025.4000000000001</c:v>
                </c:pt>
                <c:pt idx="267">
                  <c:v>1025.3</c:v>
                </c:pt>
                <c:pt idx="268">
                  <c:v>1025.2</c:v>
                </c:pt>
                <c:pt idx="269">
                  <c:v>1025.0999999999999</c:v>
                </c:pt>
                <c:pt idx="270">
                  <c:v>1025</c:v>
                </c:pt>
                <c:pt idx="271">
                  <c:v>1024.9000000000001</c:v>
                </c:pt>
                <c:pt idx="272">
                  <c:v>1024.8</c:v>
                </c:pt>
                <c:pt idx="273">
                  <c:v>1024.7</c:v>
                </c:pt>
                <c:pt idx="274">
                  <c:v>1024.5999999999999</c:v>
                </c:pt>
                <c:pt idx="275">
                  <c:v>1024.5</c:v>
                </c:pt>
                <c:pt idx="276">
                  <c:v>1024.4000000000001</c:v>
                </c:pt>
                <c:pt idx="277">
                  <c:v>1024.3</c:v>
                </c:pt>
                <c:pt idx="278">
                  <c:v>1024.2</c:v>
                </c:pt>
                <c:pt idx="279">
                  <c:v>1024.0999999999999</c:v>
                </c:pt>
                <c:pt idx="280">
                  <c:v>1024</c:v>
                </c:pt>
                <c:pt idx="281">
                  <c:v>1023.9</c:v>
                </c:pt>
                <c:pt idx="282">
                  <c:v>1023.8</c:v>
                </c:pt>
                <c:pt idx="283">
                  <c:v>1023.7</c:v>
                </c:pt>
                <c:pt idx="284">
                  <c:v>1023.6</c:v>
                </c:pt>
                <c:pt idx="285">
                  <c:v>1023.5</c:v>
                </c:pt>
                <c:pt idx="286">
                  <c:v>1023.4</c:v>
                </c:pt>
                <c:pt idx="287">
                  <c:v>1023.3</c:v>
                </c:pt>
                <c:pt idx="288">
                  <c:v>1023.2</c:v>
                </c:pt>
                <c:pt idx="289">
                  <c:v>1023.1</c:v>
                </c:pt>
                <c:pt idx="290">
                  <c:v>1023</c:v>
                </c:pt>
                <c:pt idx="291">
                  <c:v>1022.9</c:v>
                </c:pt>
                <c:pt idx="292">
                  <c:v>1022.8</c:v>
                </c:pt>
                <c:pt idx="293">
                  <c:v>1022.7</c:v>
                </c:pt>
                <c:pt idx="294">
                  <c:v>1022.6</c:v>
                </c:pt>
                <c:pt idx="295">
                  <c:v>1022.5</c:v>
                </c:pt>
                <c:pt idx="296">
                  <c:v>1022.4</c:v>
                </c:pt>
                <c:pt idx="297">
                  <c:v>1022.3</c:v>
                </c:pt>
                <c:pt idx="298">
                  <c:v>1022.2</c:v>
                </c:pt>
                <c:pt idx="299">
                  <c:v>1022.1</c:v>
                </c:pt>
                <c:pt idx="300">
                  <c:v>1022</c:v>
                </c:pt>
                <c:pt idx="301">
                  <c:v>1021.9</c:v>
                </c:pt>
                <c:pt idx="302">
                  <c:v>1021.8</c:v>
                </c:pt>
                <c:pt idx="303">
                  <c:v>1021.7</c:v>
                </c:pt>
                <c:pt idx="304">
                  <c:v>1021.6</c:v>
                </c:pt>
                <c:pt idx="305">
                  <c:v>1021.5</c:v>
                </c:pt>
                <c:pt idx="306">
                  <c:v>1021.4</c:v>
                </c:pt>
                <c:pt idx="307">
                  <c:v>1021.3</c:v>
                </c:pt>
                <c:pt idx="308">
                  <c:v>1021.2</c:v>
                </c:pt>
                <c:pt idx="309">
                  <c:v>1021.1</c:v>
                </c:pt>
                <c:pt idx="310">
                  <c:v>1021</c:v>
                </c:pt>
                <c:pt idx="311">
                  <c:v>1020.9</c:v>
                </c:pt>
                <c:pt idx="312">
                  <c:v>1020.8</c:v>
                </c:pt>
                <c:pt idx="313">
                  <c:v>1020.7</c:v>
                </c:pt>
                <c:pt idx="314">
                  <c:v>1020.6</c:v>
                </c:pt>
                <c:pt idx="315">
                  <c:v>1020.5</c:v>
                </c:pt>
                <c:pt idx="316">
                  <c:v>1020.4</c:v>
                </c:pt>
                <c:pt idx="317">
                  <c:v>1020.3</c:v>
                </c:pt>
                <c:pt idx="318">
                  <c:v>1020.2</c:v>
                </c:pt>
                <c:pt idx="319">
                  <c:v>1020.1</c:v>
                </c:pt>
                <c:pt idx="320">
                  <c:v>1020</c:v>
                </c:pt>
                <c:pt idx="321">
                  <c:v>1019.9</c:v>
                </c:pt>
                <c:pt idx="322">
                  <c:v>1019.8</c:v>
                </c:pt>
                <c:pt idx="323">
                  <c:v>1019.7</c:v>
                </c:pt>
                <c:pt idx="324">
                  <c:v>1019.6</c:v>
                </c:pt>
                <c:pt idx="325">
                  <c:v>1019.5</c:v>
                </c:pt>
                <c:pt idx="326">
                  <c:v>1019.4</c:v>
                </c:pt>
                <c:pt idx="327">
                  <c:v>1019.3</c:v>
                </c:pt>
                <c:pt idx="328">
                  <c:v>1019.2</c:v>
                </c:pt>
                <c:pt idx="329">
                  <c:v>1019.1</c:v>
                </c:pt>
                <c:pt idx="330">
                  <c:v>1019</c:v>
                </c:pt>
                <c:pt idx="331">
                  <c:v>1018.9</c:v>
                </c:pt>
                <c:pt idx="332">
                  <c:v>1018.8</c:v>
                </c:pt>
                <c:pt idx="333">
                  <c:v>1018.7</c:v>
                </c:pt>
                <c:pt idx="334">
                  <c:v>1018.6</c:v>
                </c:pt>
                <c:pt idx="335">
                  <c:v>1018.5</c:v>
                </c:pt>
                <c:pt idx="336">
                  <c:v>1018.4</c:v>
                </c:pt>
                <c:pt idx="337">
                  <c:v>1018.3</c:v>
                </c:pt>
                <c:pt idx="338">
                  <c:v>1018.2</c:v>
                </c:pt>
                <c:pt idx="339">
                  <c:v>1018.1</c:v>
                </c:pt>
                <c:pt idx="340">
                  <c:v>1018</c:v>
                </c:pt>
                <c:pt idx="341">
                  <c:v>1017.9</c:v>
                </c:pt>
                <c:pt idx="342">
                  <c:v>1017.8</c:v>
                </c:pt>
                <c:pt idx="343">
                  <c:v>1017.7</c:v>
                </c:pt>
                <c:pt idx="344">
                  <c:v>1017.6</c:v>
                </c:pt>
                <c:pt idx="345">
                  <c:v>1017.5</c:v>
                </c:pt>
                <c:pt idx="346">
                  <c:v>1017.4</c:v>
                </c:pt>
                <c:pt idx="347">
                  <c:v>1017.3</c:v>
                </c:pt>
                <c:pt idx="348">
                  <c:v>1017.2</c:v>
                </c:pt>
                <c:pt idx="349">
                  <c:v>1017.1</c:v>
                </c:pt>
                <c:pt idx="350">
                  <c:v>1017</c:v>
                </c:pt>
                <c:pt idx="351">
                  <c:v>1016.9</c:v>
                </c:pt>
                <c:pt idx="352">
                  <c:v>1016.8</c:v>
                </c:pt>
                <c:pt idx="353">
                  <c:v>1016.7</c:v>
                </c:pt>
                <c:pt idx="354">
                  <c:v>1016.6</c:v>
                </c:pt>
                <c:pt idx="355">
                  <c:v>1016.5</c:v>
                </c:pt>
                <c:pt idx="356">
                  <c:v>1016.4</c:v>
                </c:pt>
                <c:pt idx="357">
                  <c:v>1016.3</c:v>
                </c:pt>
                <c:pt idx="358">
                  <c:v>1016.2</c:v>
                </c:pt>
                <c:pt idx="359">
                  <c:v>1016.1</c:v>
                </c:pt>
                <c:pt idx="360">
                  <c:v>1016</c:v>
                </c:pt>
                <c:pt idx="361">
                  <c:v>1015.9</c:v>
                </c:pt>
                <c:pt idx="362">
                  <c:v>1015.8</c:v>
                </c:pt>
                <c:pt idx="363">
                  <c:v>1015.7</c:v>
                </c:pt>
                <c:pt idx="364">
                  <c:v>1015.6</c:v>
                </c:pt>
                <c:pt idx="365">
                  <c:v>1015.5</c:v>
                </c:pt>
                <c:pt idx="366">
                  <c:v>1015.4</c:v>
                </c:pt>
                <c:pt idx="367">
                  <c:v>1015.3</c:v>
                </c:pt>
                <c:pt idx="368">
                  <c:v>1015.2</c:v>
                </c:pt>
              </c:numCache>
            </c:numRef>
          </c:cat>
          <c:val>
            <c:numRef>
              <c:f>'Fig 9c'!$H$6:$H$374</c:f>
              <c:numCache>
                <c:formatCode>General</c:formatCode>
                <c:ptCount val="369"/>
                <c:pt idx="0">
                  <c:v>10650.2</c:v>
                </c:pt>
                <c:pt idx="1">
                  <c:v>10640.7</c:v>
                </c:pt>
                <c:pt idx="2">
                  <c:v>10643.1</c:v>
                </c:pt>
                <c:pt idx="3">
                  <c:v>10645.4</c:v>
                </c:pt>
                <c:pt idx="4">
                  <c:v>10647.9</c:v>
                </c:pt>
                <c:pt idx="5">
                  <c:v>10650.4</c:v>
                </c:pt>
                <c:pt idx="6">
                  <c:v>10652.9</c:v>
                </c:pt>
                <c:pt idx="7">
                  <c:v>10655.5</c:v>
                </c:pt>
                <c:pt idx="8">
                  <c:v>10658.3</c:v>
                </c:pt>
                <c:pt idx="9">
                  <c:v>10661.1</c:v>
                </c:pt>
                <c:pt idx="10">
                  <c:v>10664</c:v>
                </c:pt>
                <c:pt idx="11">
                  <c:v>10667.1</c:v>
                </c:pt>
                <c:pt idx="12">
                  <c:v>10670.3</c:v>
                </c:pt>
                <c:pt idx="13">
                  <c:v>10673.7</c:v>
                </c:pt>
                <c:pt idx="14">
                  <c:v>10677.3</c:v>
                </c:pt>
                <c:pt idx="15">
                  <c:v>10681.1</c:v>
                </c:pt>
                <c:pt idx="16">
                  <c:v>10685.2</c:v>
                </c:pt>
                <c:pt idx="17">
                  <c:v>10689.5</c:v>
                </c:pt>
                <c:pt idx="18">
                  <c:v>10694.1</c:v>
                </c:pt>
                <c:pt idx="19">
                  <c:v>10699</c:v>
                </c:pt>
                <c:pt idx="20">
                  <c:v>10704.3</c:v>
                </c:pt>
                <c:pt idx="21">
                  <c:v>10710</c:v>
                </c:pt>
                <c:pt idx="22">
                  <c:v>10716.2</c:v>
                </c:pt>
                <c:pt idx="23">
                  <c:v>10722.8</c:v>
                </c:pt>
                <c:pt idx="24">
                  <c:v>10729.9</c:v>
                </c:pt>
                <c:pt idx="25">
                  <c:v>10737.5</c:v>
                </c:pt>
                <c:pt idx="26">
                  <c:v>10745.7</c:v>
                </c:pt>
                <c:pt idx="27">
                  <c:v>10754.4</c:v>
                </c:pt>
                <c:pt idx="28">
                  <c:v>10763.8</c:v>
                </c:pt>
                <c:pt idx="29">
                  <c:v>10773.9</c:v>
                </c:pt>
                <c:pt idx="30">
                  <c:v>10784.5</c:v>
                </c:pt>
                <c:pt idx="31">
                  <c:v>10795.9</c:v>
                </c:pt>
                <c:pt idx="32">
                  <c:v>10807.9</c:v>
                </c:pt>
                <c:pt idx="33">
                  <c:v>10820.6</c:v>
                </c:pt>
                <c:pt idx="34">
                  <c:v>10834</c:v>
                </c:pt>
                <c:pt idx="35">
                  <c:v>10848</c:v>
                </c:pt>
                <c:pt idx="36">
                  <c:v>10862.7</c:v>
                </c:pt>
                <c:pt idx="37">
                  <c:v>10877.9</c:v>
                </c:pt>
                <c:pt idx="38">
                  <c:v>10893.7</c:v>
                </c:pt>
                <c:pt idx="39">
                  <c:v>10909.9</c:v>
                </c:pt>
                <c:pt idx="40">
                  <c:v>10926.5</c:v>
                </c:pt>
                <c:pt idx="41">
                  <c:v>10943.5</c:v>
                </c:pt>
                <c:pt idx="42">
                  <c:v>10960.6</c:v>
                </c:pt>
                <c:pt idx="43">
                  <c:v>10977.9</c:v>
                </c:pt>
                <c:pt idx="44">
                  <c:v>10995.1</c:v>
                </c:pt>
                <c:pt idx="45">
                  <c:v>11012.3</c:v>
                </c:pt>
                <c:pt idx="46">
                  <c:v>11029.1</c:v>
                </c:pt>
                <c:pt idx="47">
                  <c:v>11045.4</c:v>
                </c:pt>
                <c:pt idx="48">
                  <c:v>11061.2</c:v>
                </c:pt>
                <c:pt idx="49">
                  <c:v>11076.2</c:v>
                </c:pt>
                <c:pt idx="50">
                  <c:v>11090.2</c:v>
                </c:pt>
                <c:pt idx="51">
                  <c:v>11103</c:v>
                </c:pt>
                <c:pt idx="52">
                  <c:v>11114.5</c:v>
                </c:pt>
                <c:pt idx="53">
                  <c:v>11124.5</c:v>
                </c:pt>
                <c:pt idx="54">
                  <c:v>11132.8</c:v>
                </c:pt>
                <c:pt idx="55">
                  <c:v>11139.3</c:v>
                </c:pt>
                <c:pt idx="56">
                  <c:v>11144</c:v>
                </c:pt>
                <c:pt idx="57">
                  <c:v>11146.7</c:v>
                </c:pt>
                <c:pt idx="58">
                  <c:v>11147.5</c:v>
                </c:pt>
                <c:pt idx="59">
                  <c:v>11146.3</c:v>
                </c:pt>
                <c:pt idx="60">
                  <c:v>11143.2</c:v>
                </c:pt>
                <c:pt idx="61">
                  <c:v>11138.4</c:v>
                </c:pt>
                <c:pt idx="62">
                  <c:v>11131.9</c:v>
                </c:pt>
                <c:pt idx="63">
                  <c:v>11124</c:v>
                </c:pt>
                <c:pt idx="64">
                  <c:v>11114.7</c:v>
                </c:pt>
                <c:pt idx="65">
                  <c:v>11104.2</c:v>
                </c:pt>
                <c:pt idx="66">
                  <c:v>11092.9</c:v>
                </c:pt>
                <c:pt idx="67">
                  <c:v>11080.7</c:v>
                </c:pt>
                <c:pt idx="68">
                  <c:v>11067.9</c:v>
                </c:pt>
                <c:pt idx="69">
                  <c:v>11054.7</c:v>
                </c:pt>
                <c:pt idx="70">
                  <c:v>11041.3</c:v>
                </c:pt>
                <c:pt idx="71">
                  <c:v>11027.7</c:v>
                </c:pt>
                <c:pt idx="72">
                  <c:v>11014.1</c:v>
                </c:pt>
                <c:pt idx="73">
                  <c:v>11000.6</c:v>
                </c:pt>
                <c:pt idx="74">
                  <c:v>10987.3</c:v>
                </c:pt>
                <c:pt idx="75">
                  <c:v>10974.4</c:v>
                </c:pt>
                <c:pt idx="76">
                  <c:v>10961.9</c:v>
                </c:pt>
                <c:pt idx="77">
                  <c:v>10949.8</c:v>
                </c:pt>
                <c:pt idx="78">
                  <c:v>10938.3</c:v>
                </c:pt>
                <c:pt idx="79">
                  <c:v>10927.4</c:v>
                </c:pt>
                <c:pt idx="80">
                  <c:v>10917.1</c:v>
                </c:pt>
                <c:pt idx="81">
                  <c:v>10907.4</c:v>
                </c:pt>
                <c:pt idx="82">
                  <c:v>10898.5</c:v>
                </c:pt>
                <c:pt idx="83">
                  <c:v>10890.2</c:v>
                </c:pt>
                <c:pt idx="84">
                  <c:v>10882.5</c:v>
                </c:pt>
                <c:pt idx="85">
                  <c:v>10875.6</c:v>
                </c:pt>
                <c:pt idx="86">
                  <c:v>10869.3</c:v>
                </c:pt>
                <c:pt idx="87">
                  <c:v>10863.6</c:v>
                </c:pt>
                <c:pt idx="88">
                  <c:v>10858.5</c:v>
                </c:pt>
                <c:pt idx="89">
                  <c:v>10854.1</c:v>
                </c:pt>
                <c:pt idx="90">
                  <c:v>10850.2</c:v>
                </c:pt>
                <c:pt idx="91">
                  <c:v>10846.8</c:v>
                </c:pt>
                <c:pt idx="92">
                  <c:v>10843.9</c:v>
                </c:pt>
                <c:pt idx="93">
                  <c:v>10841.5</c:v>
                </c:pt>
                <c:pt idx="94">
                  <c:v>10839.5</c:v>
                </c:pt>
                <c:pt idx="95">
                  <c:v>10837.9</c:v>
                </c:pt>
                <c:pt idx="96">
                  <c:v>10836.6</c:v>
                </c:pt>
                <c:pt idx="97">
                  <c:v>10835.7</c:v>
                </c:pt>
                <c:pt idx="98">
                  <c:v>10835.1</c:v>
                </c:pt>
                <c:pt idx="99">
                  <c:v>10834.8</c:v>
                </c:pt>
                <c:pt idx="100">
                  <c:v>10834.6</c:v>
                </c:pt>
                <c:pt idx="101">
                  <c:v>10834.7</c:v>
                </c:pt>
                <c:pt idx="102">
                  <c:v>10835</c:v>
                </c:pt>
                <c:pt idx="103">
                  <c:v>10835.5</c:v>
                </c:pt>
                <c:pt idx="104">
                  <c:v>10836.1</c:v>
                </c:pt>
                <c:pt idx="105">
                  <c:v>10836.8</c:v>
                </c:pt>
                <c:pt idx="106">
                  <c:v>10837.7</c:v>
                </c:pt>
                <c:pt idx="107">
                  <c:v>10838.7</c:v>
                </c:pt>
                <c:pt idx="108">
                  <c:v>10839.7</c:v>
                </c:pt>
                <c:pt idx="109">
                  <c:v>10840.8</c:v>
                </c:pt>
                <c:pt idx="110">
                  <c:v>10842</c:v>
                </c:pt>
                <c:pt idx="111">
                  <c:v>10843.3</c:v>
                </c:pt>
                <c:pt idx="112">
                  <c:v>10844.6</c:v>
                </c:pt>
                <c:pt idx="113">
                  <c:v>10845.9</c:v>
                </c:pt>
                <c:pt idx="114">
                  <c:v>10847.3</c:v>
                </c:pt>
                <c:pt idx="115">
                  <c:v>10848.7</c:v>
                </c:pt>
                <c:pt idx="116">
                  <c:v>10850.2</c:v>
                </c:pt>
                <c:pt idx="117">
                  <c:v>10851.7</c:v>
                </c:pt>
                <c:pt idx="118">
                  <c:v>10853.2</c:v>
                </c:pt>
                <c:pt idx="119">
                  <c:v>10854.7</c:v>
                </c:pt>
                <c:pt idx="120">
                  <c:v>10856.2</c:v>
                </c:pt>
                <c:pt idx="121">
                  <c:v>10857.8</c:v>
                </c:pt>
                <c:pt idx="122">
                  <c:v>10859.4</c:v>
                </c:pt>
                <c:pt idx="123">
                  <c:v>10861</c:v>
                </c:pt>
                <c:pt idx="124">
                  <c:v>10862.6</c:v>
                </c:pt>
                <c:pt idx="125">
                  <c:v>10864.2</c:v>
                </c:pt>
                <c:pt idx="126">
                  <c:v>10865.8</c:v>
                </c:pt>
                <c:pt idx="127">
                  <c:v>10867.5</c:v>
                </c:pt>
                <c:pt idx="128">
                  <c:v>10869.1</c:v>
                </c:pt>
                <c:pt idx="129">
                  <c:v>10870.8</c:v>
                </c:pt>
                <c:pt idx="130">
                  <c:v>10872.5</c:v>
                </c:pt>
                <c:pt idx="131">
                  <c:v>10874.2</c:v>
                </c:pt>
                <c:pt idx="132">
                  <c:v>10875.8</c:v>
                </c:pt>
                <c:pt idx="133">
                  <c:v>10877.5</c:v>
                </c:pt>
                <c:pt idx="134">
                  <c:v>10879.2</c:v>
                </c:pt>
                <c:pt idx="135">
                  <c:v>10880.9</c:v>
                </c:pt>
                <c:pt idx="136">
                  <c:v>10882.7</c:v>
                </c:pt>
                <c:pt idx="137">
                  <c:v>10884.4</c:v>
                </c:pt>
                <c:pt idx="138">
                  <c:v>10886.1</c:v>
                </c:pt>
                <c:pt idx="139">
                  <c:v>10887.9</c:v>
                </c:pt>
                <c:pt idx="140">
                  <c:v>10889.6</c:v>
                </c:pt>
                <c:pt idx="141">
                  <c:v>10891.3</c:v>
                </c:pt>
                <c:pt idx="142">
                  <c:v>10893.1</c:v>
                </c:pt>
                <c:pt idx="143">
                  <c:v>10894.9</c:v>
                </c:pt>
                <c:pt idx="144">
                  <c:v>10896.6</c:v>
                </c:pt>
                <c:pt idx="145">
                  <c:v>10898.4</c:v>
                </c:pt>
                <c:pt idx="146">
                  <c:v>10900.2</c:v>
                </c:pt>
                <c:pt idx="147">
                  <c:v>10902</c:v>
                </c:pt>
                <c:pt idx="148">
                  <c:v>10903.7</c:v>
                </c:pt>
                <c:pt idx="149">
                  <c:v>10905.5</c:v>
                </c:pt>
                <c:pt idx="150">
                  <c:v>10907.3</c:v>
                </c:pt>
                <c:pt idx="151">
                  <c:v>10909.1</c:v>
                </c:pt>
                <c:pt idx="152">
                  <c:v>10910.9</c:v>
                </c:pt>
                <c:pt idx="153">
                  <c:v>10912.7</c:v>
                </c:pt>
                <c:pt idx="154">
                  <c:v>10914.5</c:v>
                </c:pt>
                <c:pt idx="155">
                  <c:v>10916.4</c:v>
                </c:pt>
                <c:pt idx="156">
                  <c:v>10918.2</c:v>
                </c:pt>
                <c:pt idx="157">
                  <c:v>10920</c:v>
                </c:pt>
                <c:pt idx="158">
                  <c:v>10921.8</c:v>
                </c:pt>
                <c:pt idx="159">
                  <c:v>10923.7</c:v>
                </c:pt>
                <c:pt idx="160">
                  <c:v>10925.5</c:v>
                </c:pt>
                <c:pt idx="161">
                  <c:v>10927.4</c:v>
                </c:pt>
                <c:pt idx="162">
                  <c:v>10929.2</c:v>
                </c:pt>
                <c:pt idx="163">
                  <c:v>10931.1</c:v>
                </c:pt>
                <c:pt idx="164">
                  <c:v>10932.9</c:v>
                </c:pt>
                <c:pt idx="165">
                  <c:v>10934.8</c:v>
                </c:pt>
                <c:pt idx="166">
                  <c:v>10936.6</c:v>
                </c:pt>
                <c:pt idx="167">
                  <c:v>10938.5</c:v>
                </c:pt>
                <c:pt idx="168">
                  <c:v>10940.4</c:v>
                </c:pt>
                <c:pt idx="169">
                  <c:v>10942.2</c:v>
                </c:pt>
                <c:pt idx="170">
                  <c:v>10944.1</c:v>
                </c:pt>
                <c:pt idx="171">
                  <c:v>10946</c:v>
                </c:pt>
                <c:pt idx="172">
                  <c:v>10947.9</c:v>
                </c:pt>
                <c:pt idx="173">
                  <c:v>10949.8</c:v>
                </c:pt>
                <c:pt idx="174">
                  <c:v>10951.7</c:v>
                </c:pt>
                <c:pt idx="175">
                  <c:v>10953.6</c:v>
                </c:pt>
                <c:pt idx="176">
                  <c:v>10955.5</c:v>
                </c:pt>
                <c:pt idx="177">
                  <c:v>10957.4</c:v>
                </c:pt>
                <c:pt idx="178">
                  <c:v>10959.3</c:v>
                </c:pt>
                <c:pt idx="179">
                  <c:v>10961.3</c:v>
                </c:pt>
                <c:pt idx="180">
                  <c:v>10963.2</c:v>
                </c:pt>
                <c:pt idx="181">
                  <c:v>10965.1</c:v>
                </c:pt>
                <c:pt idx="182">
                  <c:v>10967.1</c:v>
                </c:pt>
                <c:pt idx="183">
                  <c:v>10969</c:v>
                </c:pt>
                <c:pt idx="184">
                  <c:v>10971</c:v>
                </c:pt>
                <c:pt idx="185">
                  <c:v>10972.9</c:v>
                </c:pt>
                <c:pt idx="186">
                  <c:v>10974.9</c:v>
                </c:pt>
                <c:pt idx="187">
                  <c:v>10976.9</c:v>
                </c:pt>
                <c:pt idx="188">
                  <c:v>10978.8</c:v>
                </c:pt>
                <c:pt idx="189">
                  <c:v>10980.8</c:v>
                </c:pt>
                <c:pt idx="190">
                  <c:v>10982.8</c:v>
                </c:pt>
                <c:pt idx="191">
                  <c:v>10984.8</c:v>
                </c:pt>
                <c:pt idx="192">
                  <c:v>10987.1</c:v>
                </c:pt>
                <c:pt idx="193">
                  <c:v>10989.5</c:v>
                </c:pt>
                <c:pt idx="194">
                  <c:v>10991.9</c:v>
                </c:pt>
                <c:pt idx="195">
                  <c:v>10994.2</c:v>
                </c:pt>
                <c:pt idx="196">
                  <c:v>10996.6</c:v>
                </c:pt>
                <c:pt idx="197">
                  <c:v>10999</c:v>
                </c:pt>
                <c:pt idx="198">
                  <c:v>11001.4</c:v>
                </c:pt>
                <c:pt idx="199">
                  <c:v>11003.8</c:v>
                </c:pt>
                <c:pt idx="200">
                  <c:v>11006.2</c:v>
                </c:pt>
                <c:pt idx="201">
                  <c:v>11008.6</c:v>
                </c:pt>
                <c:pt idx="202">
                  <c:v>11011</c:v>
                </c:pt>
                <c:pt idx="203">
                  <c:v>11013.5</c:v>
                </c:pt>
                <c:pt idx="204">
                  <c:v>11015.9</c:v>
                </c:pt>
                <c:pt idx="205">
                  <c:v>11018.4</c:v>
                </c:pt>
                <c:pt idx="206">
                  <c:v>11020.8</c:v>
                </c:pt>
                <c:pt idx="207">
                  <c:v>11023.3</c:v>
                </c:pt>
                <c:pt idx="208">
                  <c:v>11025.8</c:v>
                </c:pt>
                <c:pt idx="209">
                  <c:v>11028.4</c:v>
                </c:pt>
                <c:pt idx="210">
                  <c:v>11030.9</c:v>
                </c:pt>
                <c:pt idx="211">
                  <c:v>11033.4</c:v>
                </c:pt>
                <c:pt idx="212">
                  <c:v>11036</c:v>
                </c:pt>
                <c:pt idx="213">
                  <c:v>11038.6</c:v>
                </c:pt>
                <c:pt idx="214">
                  <c:v>11041.2</c:v>
                </c:pt>
                <c:pt idx="215">
                  <c:v>11043.8</c:v>
                </c:pt>
                <c:pt idx="216">
                  <c:v>11046.5</c:v>
                </c:pt>
                <c:pt idx="217">
                  <c:v>11049.2</c:v>
                </c:pt>
                <c:pt idx="218">
                  <c:v>11051.9</c:v>
                </c:pt>
                <c:pt idx="219">
                  <c:v>11055.8</c:v>
                </c:pt>
                <c:pt idx="220">
                  <c:v>11059.8</c:v>
                </c:pt>
                <c:pt idx="221">
                  <c:v>11063.8</c:v>
                </c:pt>
                <c:pt idx="222">
                  <c:v>11067.9</c:v>
                </c:pt>
                <c:pt idx="223">
                  <c:v>11072</c:v>
                </c:pt>
                <c:pt idx="224">
                  <c:v>11076.1</c:v>
                </c:pt>
                <c:pt idx="225">
                  <c:v>11080.4</c:v>
                </c:pt>
                <c:pt idx="226">
                  <c:v>11084.6</c:v>
                </c:pt>
                <c:pt idx="227">
                  <c:v>11089</c:v>
                </c:pt>
                <c:pt idx="228">
                  <c:v>11093.5</c:v>
                </c:pt>
                <c:pt idx="229">
                  <c:v>11098</c:v>
                </c:pt>
                <c:pt idx="230">
                  <c:v>11102.7</c:v>
                </c:pt>
                <c:pt idx="231">
                  <c:v>11107.5</c:v>
                </c:pt>
                <c:pt idx="232">
                  <c:v>11112.4</c:v>
                </c:pt>
                <c:pt idx="233">
                  <c:v>11117.5</c:v>
                </c:pt>
                <c:pt idx="234">
                  <c:v>11122.7</c:v>
                </c:pt>
                <c:pt idx="235">
                  <c:v>11128.2</c:v>
                </c:pt>
                <c:pt idx="236">
                  <c:v>11133.9</c:v>
                </c:pt>
                <c:pt idx="237">
                  <c:v>11139.8</c:v>
                </c:pt>
                <c:pt idx="238">
                  <c:v>11146</c:v>
                </c:pt>
                <c:pt idx="239">
                  <c:v>11152.5</c:v>
                </c:pt>
                <c:pt idx="240">
                  <c:v>11159.4</c:v>
                </c:pt>
                <c:pt idx="241">
                  <c:v>11166.6</c:v>
                </c:pt>
                <c:pt idx="242">
                  <c:v>11174.3</c:v>
                </c:pt>
                <c:pt idx="243">
                  <c:v>11182.4</c:v>
                </c:pt>
                <c:pt idx="244">
                  <c:v>11191</c:v>
                </c:pt>
                <c:pt idx="245">
                  <c:v>11200.2</c:v>
                </c:pt>
                <c:pt idx="246">
                  <c:v>11210</c:v>
                </c:pt>
                <c:pt idx="247">
                  <c:v>11220.4</c:v>
                </c:pt>
                <c:pt idx="248">
                  <c:v>11231.5</c:v>
                </c:pt>
                <c:pt idx="249">
                  <c:v>11243.3</c:v>
                </c:pt>
                <c:pt idx="250">
                  <c:v>11256</c:v>
                </c:pt>
                <c:pt idx="251">
                  <c:v>11269.4</c:v>
                </c:pt>
                <c:pt idx="252">
                  <c:v>11283.8</c:v>
                </c:pt>
                <c:pt idx="253">
                  <c:v>11299.1</c:v>
                </c:pt>
                <c:pt idx="254">
                  <c:v>11315.4</c:v>
                </c:pt>
                <c:pt idx="255">
                  <c:v>11332.7</c:v>
                </c:pt>
                <c:pt idx="256">
                  <c:v>11351</c:v>
                </c:pt>
                <c:pt idx="257">
                  <c:v>11370.4</c:v>
                </c:pt>
                <c:pt idx="258">
                  <c:v>11390.9</c:v>
                </c:pt>
                <c:pt idx="259">
                  <c:v>11412.5</c:v>
                </c:pt>
                <c:pt idx="260">
                  <c:v>11435.2</c:v>
                </c:pt>
                <c:pt idx="261">
                  <c:v>11458.9</c:v>
                </c:pt>
                <c:pt idx="262">
                  <c:v>11483.8</c:v>
                </c:pt>
                <c:pt idx="263">
                  <c:v>11509.7</c:v>
                </c:pt>
                <c:pt idx="264">
                  <c:v>11536.6</c:v>
                </c:pt>
                <c:pt idx="265">
                  <c:v>11564.4</c:v>
                </c:pt>
                <c:pt idx="266">
                  <c:v>11593.1</c:v>
                </c:pt>
                <c:pt idx="267">
                  <c:v>11622.6</c:v>
                </c:pt>
                <c:pt idx="268">
                  <c:v>11652.8</c:v>
                </c:pt>
                <c:pt idx="269">
                  <c:v>11683.6</c:v>
                </c:pt>
                <c:pt idx="270">
                  <c:v>11714.8</c:v>
                </c:pt>
                <c:pt idx="271">
                  <c:v>11746.3</c:v>
                </c:pt>
                <c:pt idx="272">
                  <c:v>11778</c:v>
                </c:pt>
                <c:pt idx="273">
                  <c:v>11809.6</c:v>
                </c:pt>
                <c:pt idx="274">
                  <c:v>11840.9</c:v>
                </c:pt>
                <c:pt idx="275">
                  <c:v>11871.8</c:v>
                </c:pt>
                <c:pt idx="276">
                  <c:v>11902.1</c:v>
                </c:pt>
                <c:pt idx="277">
                  <c:v>11931.4</c:v>
                </c:pt>
                <c:pt idx="278">
                  <c:v>11959.5</c:v>
                </c:pt>
                <c:pt idx="279">
                  <c:v>11986.2</c:v>
                </c:pt>
                <c:pt idx="280">
                  <c:v>12011.3</c:v>
                </c:pt>
                <c:pt idx="281">
                  <c:v>12034.3</c:v>
                </c:pt>
                <c:pt idx="282">
                  <c:v>12055.2</c:v>
                </c:pt>
                <c:pt idx="283">
                  <c:v>12073.6</c:v>
                </c:pt>
                <c:pt idx="284">
                  <c:v>12089.3</c:v>
                </c:pt>
                <c:pt idx="285">
                  <c:v>12102.1</c:v>
                </c:pt>
                <c:pt idx="286">
                  <c:v>12112</c:v>
                </c:pt>
                <c:pt idx="287">
                  <c:v>12118.7</c:v>
                </c:pt>
                <c:pt idx="288">
                  <c:v>12122.2</c:v>
                </c:pt>
                <c:pt idx="289">
                  <c:v>12122.5</c:v>
                </c:pt>
                <c:pt idx="290">
                  <c:v>12119.7</c:v>
                </c:pt>
                <c:pt idx="291">
                  <c:v>12113.8</c:v>
                </c:pt>
                <c:pt idx="292">
                  <c:v>12105.1</c:v>
                </c:pt>
                <c:pt idx="293">
                  <c:v>12093.6</c:v>
                </c:pt>
                <c:pt idx="294">
                  <c:v>12079.7</c:v>
                </c:pt>
                <c:pt idx="295">
                  <c:v>12063.6</c:v>
                </c:pt>
                <c:pt idx="296">
                  <c:v>12045.4</c:v>
                </c:pt>
                <c:pt idx="297">
                  <c:v>12025.6</c:v>
                </c:pt>
                <c:pt idx="298">
                  <c:v>12004.3</c:v>
                </c:pt>
                <c:pt idx="299">
                  <c:v>11981.7</c:v>
                </c:pt>
                <c:pt idx="300">
                  <c:v>11958.3</c:v>
                </c:pt>
                <c:pt idx="301">
                  <c:v>11934.1</c:v>
                </c:pt>
                <c:pt idx="302">
                  <c:v>11909.5</c:v>
                </c:pt>
                <c:pt idx="303">
                  <c:v>11884.6</c:v>
                </c:pt>
                <c:pt idx="304">
                  <c:v>11859.7</c:v>
                </c:pt>
                <c:pt idx="305">
                  <c:v>11834.8</c:v>
                </c:pt>
                <c:pt idx="306">
                  <c:v>11810.3</c:v>
                </c:pt>
                <c:pt idx="307">
                  <c:v>11786.2</c:v>
                </c:pt>
                <c:pt idx="308">
                  <c:v>11762.6</c:v>
                </c:pt>
                <c:pt idx="309">
                  <c:v>11739.7</c:v>
                </c:pt>
                <c:pt idx="310">
                  <c:v>11717.6</c:v>
                </c:pt>
                <c:pt idx="311">
                  <c:v>11696.4</c:v>
                </c:pt>
                <c:pt idx="312">
                  <c:v>11676.1</c:v>
                </c:pt>
                <c:pt idx="313">
                  <c:v>11656.8</c:v>
                </c:pt>
                <c:pt idx="314">
                  <c:v>11638.5</c:v>
                </c:pt>
                <c:pt idx="315">
                  <c:v>11621.3</c:v>
                </c:pt>
                <c:pt idx="316">
                  <c:v>11605.2</c:v>
                </c:pt>
                <c:pt idx="317">
                  <c:v>11590.2</c:v>
                </c:pt>
                <c:pt idx="318">
                  <c:v>11576.3</c:v>
                </c:pt>
                <c:pt idx="319">
                  <c:v>11563.5</c:v>
                </c:pt>
                <c:pt idx="320">
                  <c:v>11551.7</c:v>
                </c:pt>
                <c:pt idx="321">
                  <c:v>11541</c:v>
                </c:pt>
                <c:pt idx="322">
                  <c:v>11531.3</c:v>
                </c:pt>
                <c:pt idx="323">
                  <c:v>11522.6</c:v>
                </c:pt>
                <c:pt idx="324">
                  <c:v>11514.9</c:v>
                </c:pt>
                <c:pt idx="325">
                  <c:v>11508</c:v>
                </c:pt>
                <c:pt idx="326">
                  <c:v>11502</c:v>
                </c:pt>
                <c:pt idx="327">
                  <c:v>11496.7</c:v>
                </c:pt>
                <c:pt idx="328">
                  <c:v>11492.2</c:v>
                </c:pt>
                <c:pt idx="329">
                  <c:v>11488.5</c:v>
                </c:pt>
                <c:pt idx="330">
                  <c:v>11485.3</c:v>
                </c:pt>
                <c:pt idx="331">
                  <c:v>11482.8</c:v>
                </c:pt>
                <c:pt idx="332">
                  <c:v>11480.8</c:v>
                </c:pt>
                <c:pt idx="333">
                  <c:v>11479.3</c:v>
                </c:pt>
                <c:pt idx="334">
                  <c:v>11478.3</c:v>
                </c:pt>
                <c:pt idx="335">
                  <c:v>11477.7</c:v>
                </c:pt>
                <c:pt idx="336">
                  <c:v>11477.5</c:v>
                </c:pt>
                <c:pt idx="337">
                  <c:v>11477.7</c:v>
                </c:pt>
                <c:pt idx="338">
                  <c:v>11478.1</c:v>
                </c:pt>
                <c:pt idx="339">
                  <c:v>11478.8</c:v>
                </c:pt>
                <c:pt idx="340">
                  <c:v>11479.8</c:v>
                </c:pt>
                <c:pt idx="341">
                  <c:v>11481</c:v>
                </c:pt>
                <c:pt idx="342">
                  <c:v>11482.4</c:v>
                </c:pt>
                <c:pt idx="343">
                  <c:v>11484</c:v>
                </c:pt>
                <c:pt idx="344">
                  <c:v>11485.8</c:v>
                </c:pt>
                <c:pt idx="345">
                  <c:v>11487.7</c:v>
                </c:pt>
                <c:pt idx="346">
                  <c:v>11489.7</c:v>
                </c:pt>
                <c:pt idx="347">
                  <c:v>11491.8</c:v>
                </c:pt>
                <c:pt idx="348">
                  <c:v>11494</c:v>
                </c:pt>
                <c:pt idx="349">
                  <c:v>11496.4</c:v>
                </c:pt>
                <c:pt idx="350">
                  <c:v>11498.8</c:v>
                </c:pt>
                <c:pt idx="351">
                  <c:v>11501.2</c:v>
                </c:pt>
                <c:pt idx="352">
                  <c:v>11503.7</c:v>
                </c:pt>
                <c:pt idx="353">
                  <c:v>11506.3</c:v>
                </c:pt>
                <c:pt idx="354">
                  <c:v>11508.9</c:v>
                </c:pt>
                <c:pt idx="355">
                  <c:v>11511.6</c:v>
                </c:pt>
                <c:pt idx="356">
                  <c:v>11514.3</c:v>
                </c:pt>
                <c:pt idx="357">
                  <c:v>11517</c:v>
                </c:pt>
                <c:pt idx="358">
                  <c:v>11519.8</c:v>
                </c:pt>
                <c:pt idx="359">
                  <c:v>11522.6</c:v>
                </c:pt>
                <c:pt idx="360">
                  <c:v>11525.4</c:v>
                </c:pt>
                <c:pt idx="361">
                  <c:v>11528.3</c:v>
                </c:pt>
                <c:pt idx="362">
                  <c:v>11531.1</c:v>
                </c:pt>
                <c:pt idx="363">
                  <c:v>11534</c:v>
                </c:pt>
                <c:pt idx="364">
                  <c:v>11536.9</c:v>
                </c:pt>
                <c:pt idx="365">
                  <c:v>11539.9</c:v>
                </c:pt>
                <c:pt idx="366">
                  <c:v>11550.2</c:v>
                </c:pt>
                <c:pt idx="367">
                  <c:v>11560.6</c:v>
                </c:pt>
                <c:pt idx="368">
                  <c:v>11571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1F-D34A-8C59-97D745BC9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100"/>
        <c:noMultiLvlLbl val="0"/>
      </c:catAx>
      <c:valAx>
        <c:axId val="1810940767"/>
        <c:scaling>
          <c:orientation val="minMax"/>
          <c:min val="105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areaChart>
        <c:grouping val="standard"/>
        <c:varyColors val="0"/>
        <c:ser>
          <c:idx val="0"/>
          <c:order val="0"/>
          <c:tx>
            <c:strRef>
              <c:f>'Fig 9d'!$E$2</c:f>
              <c:strCache>
                <c:ptCount val="1"/>
                <c:pt idx="0">
                  <c:v>Cr2p 3/2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  <a:alpha val="50000"/>
                  </a:schemeClr>
                </a:gs>
                <a:gs pos="100000">
                  <a:srgbClr val="4EA72D"/>
                </a:gs>
              </a:gsLst>
              <a:lin ang="16200000" scaled="1"/>
              <a:tileRect/>
            </a:gradFill>
            <a:ln>
              <a:noFill/>
            </a:ln>
            <a:effectLst>
              <a:softEdge rad="0"/>
            </a:effectLst>
          </c:spPr>
          <c:cat>
            <c:numRef>
              <c:f>'Fig 9d'!$A$4:$A$304</c:f>
              <c:numCache>
                <c:formatCode>General</c:formatCode>
                <c:ptCount val="301"/>
                <c:pt idx="0">
                  <c:v>602</c:v>
                </c:pt>
                <c:pt idx="1">
                  <c:v>601.9</c:v>
                </c:pt>
                <c:pt idx="2">
                  <c:v>601.79999999999995</c:v>
                </c:pt>
                <c:pt idx="3">
                  <c:v>601.70000000000005</c:v>
                </c:pt>
                <c:pt idx="4">
                  <c:v>601.6</c:v>
                </c:pt>
                <c:pt idx="5">
                  <c:v>601.5</c:v>
                </c:pt>
                <c:pt idx="6">
                  <c:v>601.4</c:v>
                </c:pt>
                <c:pt idx="7">
                  <c:v>601.29999999999995</c:v>
                </c:pt>
                <c:pt idx="8">
                  <c:v>601.20000000000005</c:v>
                </c:pt>
                <c:pt idx="9">
                  <c:v>601.1</c:v>
                </c:pt>
                <c:pt idx="10">
                  <c:v>601</c:v>
                </c:pt>
                <c:pt idx="11">
                  <c:v>600.9</c:v>
                </c:pt>
                <c:pt idx="12">
                  <c:v>600.79999999999995</c:v>
                </c:pt>
                <c:pt idx="13">
                  <c:v>600.70000000000005</c:v>
                </c:pt>
                <c:pt idx="14">
                  <c:v>600.6</c:v>
                </c:pt>
                <c:pt idx="15">
                  <c:v>600.5</c:v>
                </c:pt>
                <c:pt idx="16">
                  <c:v>600.4</c:v>
                </c:pt>
                <c:pt idx="17">
                  <c:v>600.29999999999995</c:v>
                </c:pt>
                <c:pt idx="18">
                  <c:v>600.20000000000005</c:v>
                </c:pt>
                <c:pt idx="19">
                  <c:v>600.1</c:v>
                </c:pt>
                <c:pt idx="20">
                  <c:v>600</c:v>
                </c:pt>
                <c:pt idx="21">
                  <c:v>599.9</c:v>
                </c:pt>
                <c:pt idx="22">
                  <c:v>599.79999999999995</c:v>
                </c:pt>
                <c:pt idx="23">
                  <c:v>599.70000000000005</c:v>
                </c:pt>
                <c:pt idx="24">
                  <c:v>599.6</c:v>
                </c:pt>
                <c:pt idx="25">
                  <c:v>599.5</c:v>
                </c:pt>
                <c:pt idx="26">
                  <c:v>599.4</c:v>
                </c:pt>
                <c:pt idx="27">
                  <c:v>599.29999999999995</c:v>
                </c:pt>
                <c:pt idx="28">
                  <c:v>599.20000000000005</c:v>
                </c:pt>
                <c:pt idx="29">
                  <c:v>599.1</c:v>
                </c:pt>
                <c:pt idx="30">
                  <c:v>599</c:v>
                </c:pt>
                <c:pt idx="31">
                  <c:v>598.9</c:v>
                </c:pt>
                <c:pt idx="32">
                  <c:v>598.79999999999995</c:v>
                </c:pt>
                <c:pt idx="33">
                  <c:v>598.70000000000005</c:v>
                </c:pt>
                <c:pt idx="34">
                  <c:v>598.6</c:v>
                </c:pt>
                <c:pt idx="35">
                  <c:v>598.5</c:v>
                </c:pt>
                <c:pt idx="36">
                  <c:v>598.4</c:v>
                </c:pt>
                <c:pt idx="37">
                  <c:v>598.29999999999995</c:v>
                </c:pt>
                <c:pt idx="38">
                  <c:v>598.20000000000005</c:v>
                </c:pt>
                <c:pt idx="39">
                  <c:v>598.1</c:v>
                </c:pt>
                <c:pt idx="40">
                  <c:v>598</c:v>
                </c:pt>
                <c:pt idx="41">
                  <c:v>597.9</c:v>
                </c:pt>
                <c:pt idx="42">
                  <c:v>597.79999999999995</c:v>
                </c:pt>
                <c:pt idx="43">
                  <c:v>597.70000000000005</c:v>
                </c:pt>
                <c:pt idx="44">
                  <c:v>597.6</c:v>
                </c:pt>
                <c:pt idx="45">
                  <c:v>597.5</c:v>
                </c:pt>
                <c:pt idx="46">
                  <c:v>597.4</c:v>
                </c:pt>
                <c:pt idx="47">
                  <c:v>597.29999999999995</c:v>
                </c:pt>
                <c:pt idx="48">
                  <c:v>597.20000000000005</c:v>
                </c:pt>
                <c:pt idx="49">
                  <c:v>597.1</c:v>
                </c:pt>
                <c:pt idx="50">
                  <c:v>597</c:v>
                </c:pt>
                <c:pt idx="51">
                  <c:v>596.9</c:v>
                </c:pt>
                <c:pt idx="52">
                  <c:v>596.79999999999995</c:v>
                </c:pt>
                <c:pt idx="53">
                  <c:v>596.70000000000005</c:v>
                </c:pt>
                <c:pt idx="54">
                  <c:v>596.6</c:v>
                </c:pt>
                <c:pt idx="55">
                  <c:v>596.5</c:v>
                </c:pt>
                <c:pt idx="56">
                  <c:v>596.4</c:v>
                </c:pt>
                <c:pt idx="57">
                  <c:v>596.29999999999995</c:v>
                </c:pt>
                <c:pt idx="58">
                  <c:v>596.20000000000005</c:v>
                </c:pt>
                <c:pt idx="59">
                  <c:v>596.1</c:v>
                </c:pt>
                <c:pt idx="60">
                  <c:v>596</c:v>
                </c:pt>
                <c:pt idx="61">
                  <c:v>595.9</c:v>
                </c:pt>
                <c:pt idx="62">
                  <c:v>595.79999999999995</c:v>
                </c:pt>
                <c:pt idx="63">
                  <c:v>595.70000000000005</c:v>
                </c:pt>
                <c:pt idx="64">
                  <c:v>595.6</c:v>
                </c:pt>
                <c:pt idx="65">
                  <c:v>595.5</c:v>
                </c:pt>
                <c:pt idx="66">
                  <c:v>595.4</c:v>
                </c:pt>
                <c:pt idx="67">
                  <c:v>595.29999999999995</c:v>
                </c:pt>
                <c:pt idx="68">
                  <c:v>595.20000000000005</c:v>
                </c:pt>
                <c:pt idx="69">
                  <c:v>595.1</c:v>
                </c:pt>
                <c:pt idx="70">
                  <c:v>595</c:v>
                </c:pt>
                <c:pt idx="71">
                  <c:v>594.9</c:v>
                </c:pt>
                <c:pt idx="72">
                  <c:v>594.79999999999995</c:v>
                </c:pt>
                <c:pt idx="73">
                  <c:v>594.70000000000005</c:v>
                </c:pt>
                <c:pt idx="74">
                  <c:v>594.6</c:v>
                </c:pt>
                <c:pt idx="75">
                  <c:v>594.5</c:v>
                </c:pt>
                <c:pt idx="76">
                  <c:v>594.4</c:v>
                </c:pt>
                <c:pt idx="77">
                  <c:v>594.29999999999995</c:v>
                </c:pt>
                <c:pt idx="78">
                  <c:v>594.20000000000005</c:v>
                </c:pt>
                <c:pt idx="79">
                  <c:v>594.1</c:v>
                </c:pt>
                <c:pt idx="80">
                  <c:v>594</c:v>
                </c:pt>
                <c:pt idx="81">
                  <c:v>593.9</c:v>
                </c:pt>
                <c:pt idx="82">
                  <c:v>593.79999999999995</c:v>
                </c:pt>
                <c:pt idx="83">
                  <c:v>593.70000000000005</c:v>
                </c:pt>
                <c:pt idx="84">
                  <c:v>593.6</c:v>
                </c:pt>
                <c:pt idx="85">
                  <c:v>593.5</c:v>
                </c:pt>
                <c:pt idx="86">
                  <c:v>593.4</c:v>
                </c:pt>
                <c:pt idx="87">
                  <c:v>593.29999999999995</c:v>
                </c:pt>
                <c:pt idx="88">
                  <c:v>593.20000000000005</c:v>
                </c:pt>
                <c:pt idx="89">
                  <c:v>593.1</c:v>
                </c:pt>
                <c:pt idx="90">
                  <c:v>593</c:v>
                </c:pt>
                <c:pt idx="91">
                  <c:v>592.9</c:v>
                </c:pt>
                <c:pt idx="92">
                  <c:v>592.79999999999995</c:v>
                </c:pt>
                <c:pt idx="93">
                  <c:v>592.70000000000005</c:v>
                </c:pt>
                <c:pt idx="94">
                  <c:v>592.6</c:v>
                </c:pt>
                <c:pt idx="95">
                  <c:v>592.5</c:v>
                </c:pt>
                <c:pt idx="96">
                  <c:v>592.4</c:v>
                </c:pt>
                <c:pt idx="97">
                  <c:v>592.29999999999995</c:v>
                </c:pt>
                <c:pt idx="98">
                  <c:v>592.20000000000005</c:v>
                </c:pt>
                <c:pt idx="99">
                  <c:v>592.1</c:v>
                </c:pt>
                <c:pt idx="100">
                  <c:v>592</c:v>
                </c:pt>
                <c:pt idx="101">
                  <c:v>591.9</c:v>
                </c:pt>
                <c:pt idx="102">
                  <c:v>591.79999999999995</c:v>
                </c:pt>
                <c:pt idx="103">
                  <c:v>591.70000000000005</c:v>
                </c:pt>
                <c:pt idx="104">
                  <c:v>591.6</c:v>
                </c:pt>
                <c:pt idx="105">
                  <c:v>591.5</c:v>
                </c:pt>
                <c:pt idx="106">
                  <c:v>591.4</c:v>
                </c:pt>
                <c:pt idx="107">
                  <c:v>591.29999999999995</c:v>
                </c:pt>
                <c:pt idx="108">
                  <c:v>591.20000000000005</c:v>
                </c:pt>
                <c:pt idx="109">
                  <c:v>591.1</c:v>
                </c:pt>
                <c:pt idx="110">
                  <c:v>591</c:v>
                </c:pt>
                <c:pt idx="111">
                  <c:v>590.9</c:v>
                </c:pt>
                <c:pt idx="112">
                  <c:v>590.79999999999995</c:v>
                </c:pt>
                <c:pt idx="113">
                  <c:v>590.70000000000005</c:v>
                </c:pt>
                <c:pt idx="114">
                  <c:v>590.6</c:v>
                </c:pt>
                <c:pt idx="115">
                  <c:v>590.5</c:v>
                </c:pt>
                <c:pt idx="116">
                  <c:v>590.4</c:v>
                </c:pt>
                <c:pt idx="117">
                  <c:v>590.29999999999995</c:v>
                </c:pt>
                <c:pt idx="118">
                  <c:v>590.20000000000005</c:v>
                </c:pt>
                <c:pt idx="119">
                  <c:v>590.1</c:v>
                </c:pt>
                <c:pt idx="120">
                  <c:v>590</c:v>
                </c:pt>
                <c:pt idx="121">
                  <c:v>589.9</c:v>
                </c:pt>
                <c:pt idx="122">
                  <c:v>589.79999999999995</c:v>
                </c:pt>
                <c:pt idx="123">
                  <c:v>589.70000000000005</c:v>
                </c:pt>
                <c:pt idx="124">
                  <c:v>589.6</c:v>
                </c:pt>
                <c:pt idx="125">
                  <c:v>589.5</c:v>
                </c:pt>
                <c:pt idx="126">
                  <c:v>589.4</c:v>
                </c:pt>
                <c:pt idx="127">
                  <c:v>589.29999999999995</c:v>
                </c:pt>
                <c:pt idx="128">
                  <c:v>589.20000000000005</c:v>
                </c:pt>
                <c:pt idx="129">
                  <c:v>589.1</c:v>
                </c:pt>
                <c:pt idx="130">
                  <c:v>589</c:v>
                </c:pt>
                <c:pt idx="131">
                  <c:v>588.9</c:v>
                </c:pt>
                <c:pt idx="132">
                  <c:v>588.79999999999995</c:v>
                </c:pt>
                <c:pt idx="133">
                  <c:v>588.70000000000005</c:v>
                </c:pt>
                <c:pt idx="134">
                  <c:v>588.6</c:v>
                </c:pt>
                <c:pt idx="135">
                  <c:v>588.5</c:v>
                </c:pt>
                <c:pt idx="136">
                  <c:v>588.4</c:v>
                </c:pt>
                <c:pt idx="137">
                  <c:v>588.29999999999995</c:v>
                </c:pt>
                <c:pt idx="138">
                  <c:v>588.20000000000005</c:v>
                </c:pt>
                <c:pt idx="139">
                  <c:v>588.1</c:v>
                </c:pt>
                <c:pt idx="140">
                  <c:v>588</c:v>
                </c:pt>
                <c:pt idx="141">
                  <c:v>587.9</c:v>
                </c:pt>
                <c:pt idx="142">
                  <c:v>587.79999999999995</c:v>
                </c:pt>
                <c:pt idx="143">
                  <c:v>587.70000000000005</c:v>
                </c:pt>
                <c:pt idx="144">
                  <c:v>587.6</c:v>
                </c:pt>
                <c:pt idx="145">
                  <c:v>587.5</c:v>
                </c:pt>
                <c:pt idx="146">
                  <c:v>587.4</c:v>
                </c:pt>
                <c:pt idx="147">
                  <c:v>587.29999999999995</c:v>
                </c:pt>
                <c:pt idx="148">
                  <c:v>587.20000000000005</c:v>
                </c:pt>
                <c:pt idx="149">
                  <c:v>587.1</c:v>
                </c:pt>
                <c:pt idx="150">
                  <c:v>587</c:v>
                </c:pt>
                <c:pt idx="151">
                  <c:v>586.9</c:v>
                </c:pt>
                <c:pt idx="152">
                  <c:v>586.79999999999995</c:v>
                </c:pt>
                <c:pt idx="153">
                  <c:v>586.70000000000005</c:v>
                </c:pt>
                <c:pt idx="154">
                  <c:v>586.6</c:v>
                </c:pt>
                <c:pt idx="155">
                  <c:v>586.5</c:v>
                </c:pt>
                <c:pt idx="156">
                  <c:v>586.4</c:v>
                </c:pt>
                <c:pt idx="157">
                  <c:v>586.29999999999995</c:v>
                </c:pt>
                <c:pt idx="158">
                  <c:v>586.20000000000005</c:v>
                </c:pt>
                <c:pt idx="159">
                  <c:v>586.1</c:v>
                </c:pt>
                <c:pt idx="160">
                  <c:v>586</c:v>
                </c:pt>
                <c:pt idx="161">
                  <c:v>585.9</c:v>
                </c:pt>
                <c:pt idx="162">
                  <c:v>585.79999999999995</c:v>
                </c:pt>
                <c:pt idx="163">
                  <c:v>585.70000000000005</c:v>
                </c:pt>
                <c:pt idx="164">
                  <c:v>585.6</c:v>
                </c:pt>
                <c:pt idx="165">
                  <c:v>585.5</c:v>
                </c:pt>
                <c:pt idx="166">
                  <c:v>585.4</c:v>
                </c:pt>
                <c:pt idx="167">
                  <c:v>585.29999999999995</c:v>
                </c:pt>
                <c:pt idx="168">
                  <c:v>585.20000000000005</c:v>
                </c:pt>
                <c:pt idx="169">
                  <c:v>585.1</c:v>
                </c:pt>
                <c:pt idx="170">
                  <c:v>585</c:v>
                </c:pt>
                <c:pt idx="171">
                  <c:v>584.9</c:v>
                </c:pt>
                <c:pt idx="172">
                  <c:v>584.79999999999995</c:v>
                </c:pt>
                <c:pt idx="173">
                  <c:v>584.70000000000005</c:v>
                </c:pt>
                <c:pt idx="174">
                  <c:v>584.6</c:v>
                </c:pt>
                <c:pt idx="175">
                  <c:v>584.5</c:v>
                </c:pt>
                <c:pt idx="176">
                  <c:v>584.4</c:v>
                </c:pt>
                <c:pt idx="177">
                  <c:v>584.29999999999995</c:v>
                </c:pt>
                <c:pt idx="178">
                  <c:v>584.20000000000005</c:v>
                </c:pt>
                <c:pt idx="179">
                  <c:v>584.1</c:v>
                </c:pt>
                <c:pt idx="180">
                  <c:v>584</c:v>
                </c:pt>
                <c:pt idx="181">
                  <c:v>583.9</c:v>
                </c:pt>
                <c:pt idx="182">
                  <c:v>583.79999999999995</c:v>
                </c:pt>
                <c:pt idx="183">
                  <c:v>583.70000000000005</c:v>
                </c:pt>
                <c:pt idx="184">
                  <c:v>583.6</c:v>
                </c:pt>
                <c:pt idx="185">
                  <c:v>583.5</c:v>
                </c:pt>
                <c:pt idx="186">
                  <c:v>583.4</c:v>
                </c:pt>
                <c:pt idx="187">
                  <c:v>583.29999999999995</c:v>
                </c:pt>
                <c:pt idx="188">
                  <c:v>583.20000000000005</c:v>
                </c:pt>
                <c:pt idx="189">
                  <c:v>583.1</c:v>
                </c:pt>
                <c:pt idx="190">
                  <c:v>583</c:v>
                </c:pt>
                <c:pt idx="191">
                  <c:v>582.9</c:v>
                </c:pt>
                <c:pt idx="192">
                  <c:v>582.79999999999995</c:v>
                </c:pt>
                <c:pt idx="193">
                  <c:v>582.70000000000005</c:v>
                </c:pt>
                <c:pt idx="194">
                  <c:v>582.6</c:v>
                </c:pt>
                <c:pt idx="195">
                  <c:v>582.5</c:v>
                </c:pt>
                <c:pt idx="196">
                  <c:v>582.4</c:v>
                </c:pt>
                <c:pt idx="197">
                  <c:v>582.29999999999995</c:v>
                </c:pt>
                <c:pt idx="198">
                  <c:v>582.20000000000005</c:v>
                </c:pt>
                <c:pt idx="199">
                  <c:v>582.1</c:v>
                </c:pt>
                <c:pt idx="200">
                  <c:v>582</c:v>
                </c:pt>
                <c:pt idx="201">
                  <c:v>581.9</c:v>
                </c:pt>
                <c:pt idx="202">
                  <c:v>581.79999999999995</c:v>
                </c:pt>
                <c:pt idx="203">
                  <c:v>581.70000000000005</c:v>
                </c:pt>
                <c:pt idx="204">
                  <c:v>581.6</c:v>
                </c:pt>
                <c:pt idx="205">
                  <c:v>581.5</c:v>
                </c:pt>
                <c:pt idx="206">
                  <c:v>581.4</c:v>
                </c:pt>
                <c:pt idx="207">
                  <c:v>581.29999999999995</c:v>
                </c:pt>
                <c:pt idx="208">
                  <c:v>581.20000000000005</c:v>
                </c:pt>
                <c:pt idx="209">
                  <c:v>581.1</c:v>
                </c:pt>
                <c:pt idx="210">
                  <c:v>581</c:v>
                </c:pt>
                <c:pt idx="211">
                  <c:v>580.9</c:v>
                </c:pt>
                <c:pt idx="212">
                  <c:v>580.79999999999995</c:v>
                </c:pt>
                <c:pt idx="213">
                  <c:v>580.70000000000005</c:v>
                </c:pt>
                <c:pt idx="214">
                  <c:v>580.6</c:v>
                </c:pt>
                <c:pt idx="215">
                  <c:v>580.5</c:v>
                </c:pt>
                <c:pt idx="216">
                  <c:v>580.4</c:v>
                </c:pt>
                <c:pt idx="217">
                  <c:v>580.29999999999995</c:v>
                </c:pt>
                <c:pt idx="218">
                  <c:v>580.20000000000005</c:v>
                </c:pt>
                <c:pt idx="219">
                  <c:v>580.1</c:v>
                </c:pt>
                <c:pt idx="220">
                  <c:v>580</c:v>
                </c:pt>
                <c:pt idx="221">
                  <c:v>579.9</c:v>
                </c:pt>
                <c:pt idx="222">
                  <c:v>579.79999999999995</c:v>
                </c:pt>
                <c:pt idx="223">
                  <c:v>579.70000000000005</c:v>
                </c:pt>
                <c:pt idx="224">
                  <c:v>579.6</c:v>
                </c:pt>
                <c:pt idx="225">
                  <c:v>579.5</c:v>
                </c:pt>
                <c:pt idx="226">
                  <c:v>579.4</c:v>
                </c:pt>
                <c:pt idx="227">
                  <c:v>579.29999999999995</c:v>
                </c:pt>
                <c:pt idx="228">
                  <c:v>579.20000000000005</c:v>
                </c:pt>
                <c:pt idx="229">
                  <c:v>579.1</c:v>
                </c:pt>
                <c:pt idx="230">
                  <c:v>579</c:v>
                </c:pt>
                <c:pt idx="231">
                  <c:v>578.9</c:v>
                </c:pt>
                <c:pt idx="232">
                  <c:v>578.79999999999995</c:v>
                </c:pt>
                <c:pt idx="233">
                  <c:v>578.70000000000005</c:v>
                </c:pt>
                <c:pt idx="234">
                  <c:v>578.6</c:v>
                </c:pt>
                <c:pt idx="235">
                  <c:v>578.5</c:v>
                </c:pt>
                <c:pt idx="236">
                  <c:v>578.4</c:v>
                </c:pt>
                <c:pt idx="237">
                  <c:v>578.29999999999995</c:v>
                </c:pt>
                <c:pt idx="238">
                  <c:v>578.20000000000005</c:v>
                </c:pt>
                <c:pt idx="239">
                  <c:v>578.1</c:v>
                </c:pt>
                <c:pt idx="240">
                  <c:v>578</c:v>
                </c:pt>
                <c:pt idx="241">
                  <c:v>577.9</c:v>
                </c:pt>
                <c:pt idx="242">
                  <c:v>577.79999999999995</c:v>
                </c:pt>
                <c:pt idx="243">
                  <c:v>577.70000000000005</c:v>
                </c:pt>
                <c:pt idx="244">
                  <c:v>577.6</c:v>
                </c:pt>
                <c:pt idx="245">
                  <c:v>577.5</c:v>
                </c:pt>
                <c:pt idx="246">
                  <c:v>577.4</c:v>
                </c:pt>
                <c:pt idx="247">
                  <c:v>577.29999999999995</c:v>
                </c:pt>
                <c:pt idx="248">
                  <c:v>577.20000000000005</c:v>
                </c:pt>
                <c:pt idx="249">
                  <c:v>577.1</c:v>
                </c:pt>
                <c:pt idx="250">
                  <c:v>577</c:v>
                </c:pt>
                <c:pt idx="251">
                  <c:v>576.9</c:v>
                </c:pt>
                <c:pt idx="252">
                  <c:v>576.79999999999995</c:v>
                </c:pt>
                <c:pt idx="253">
                  <c:v>576.70000000000005</c:v>
                </c:pt>
                <c:pt idx="254">
                  <c:v>576.6</c:v>
                </c:pt>
                <c:pt idx="255">
                  <c:v>576.5</c:v>
                </c:pt>
                <c:pt idx="256">
                  <c:v>576.4</c:v>
                </c:pt>
                <c:pt idx="257">
                  <c:v>576.29999999999995</c:v>
                </c:pt>
                <c:pt idx="258">
                  <c:v>576.20000000000005</c:v>
                </c:pt>
                <c:pt idx="259">
                  <c:v>576.1</c:v>
                </c:pt>
                <c:pt idx="260">
                  <c:v>576</c:v>
                </c:pt>
                <c:pt idx="261">
                  <c:v>575.9</c:v>
                </c:pt>
                <c:pt idx="262">
                  <c:v>575.79999999999995</c:v>
                </c:pt>
                <c:pt idx="263">
                  <c:v>575.70000000000005</c:v>
                </c:pt>
                <c:pt idx="264">
                  <c:v>575.6</c:v>
                </c:pt>
                <c:pt idx="265">
                  <c:v>575.5</c:v>
                </c:pt>
                <c:pt idx="266">
                  <c:v>575.4</c:v>
                </c:pt>
                <c:pt idx="267">
                  <c:v>575.29999999999995</c:v>
                </c:pt>
                <c:pt idx="268">
                  <c:v>575.20000000000005</c:v>
                </c:pt>
                <c:pt idx="269">
                  <c:v>575.1</c:v>
                </c:pt>
                <c:pt idx="270">
                  <c:v>575</c:v>
                </c:pt>
                <c:pt idx="271">
                  <c:v>574.9</c:v>
                </c:pt>
                <c:pt idx="272">
                  <c:v>574.79999999999995</c:v>
                </c:pt>
                <c:pt idx="273">
                  <c:v>574.70000000000005</c:v>
                </c:pt>
                <c:pt idx="274">
                  <c:v>574.6</c:v>
                </c:pt>
                <c:pt idx="275">
                  <c:v>574.5</c:v>
                </c:pt>
                <c:pt idx="276">
                  <c:v>574.4</c:v>
                </c:pt>
                <c:pt idx="277">
                  <c:v>574.29999999999995</c:v>
                </c:pt>
                <c:pt idx="278">
                  <c:v>574.20000000000005</c:v>
                </c:pt>
                <c:pt idx="279">
                  <c:v>574.1</c:v>
                </c:pt>
                <c:pt idx="280">
                  <c:v>574</c:v>
                </c:pt>
                <c:pt idx="281">
                  <c:v>573.9</c:v>
                </c:pt>
                <c:pt idx="282">
                  <c:v>573.79999999999995</c:v>
                </c:pt>
                <c:pt idx="283">
                  <c:v>573.70000000000005</c:v>
                </c:pt>
                <c:pt idx="284">
                  <c:v>573.6</c:v>
                </c:pt>
                <c:pt idx="285">
                  <c:v>573.5</c:v>
                </c:pt>
                <c:pt idx="286">
                  <c:v>573.4</c:v>
                </c:pt>
                <c:pt idx="287">
                  <c:v>573.29999999999995</c:v>
                </c:pt>
                <c:pt idx="288">
                  <c:v>573.20000000000005</c:v>
                </c:pt>
                <c:pt idx="289">
                  <c:v>573.1</c:v>
                </c:pt>
                <c:pt idx="290">
                  <c:v>573</c:v>
                </c:pt>
                <c:pt idx="291">
                  <c:v>572.9</c:v>
                </c:pt>
                <c:pt idx="292">
                  <c:v>572.79999999999995</c:v>
                </c:pt>
                <c:pt idx="293">
                  <c:v>572.70000000000005</c:v>
                </c:pt>
                <c:pt idx="294">
                  <c:v>572.6</c:v>
                </c:pt>
                <c:pt idx="295">
                  <c:v>572.5</c:v>
                </c:pt>
                <c:pt idx="296">
                  <c:v>572.4</c:v>
                </c:pt>
                <c:pt idx="297">
                  <c:v>572.29999999999995</c:v>
                </c:pt>
                <c:pt idx="298">
                  <c:v>572.20000000000005</c:v>
                </c:pt>
                <c:pt idx="299">
                  <c:v>572.1</c:v>
                </c:pt>
                <c:pt idx="300">
                  <c:v>572</c:v>
                </c:pt>
              </c:numCache>
            </c:numRef>
          </c:cat>
          <c:val>
            <c:numRef>
              <c:f>'Fig 9d'!$E$4:$E$343</c:f>
              <c:numCache>
                <c:formatCode>General</c:formatCode>
                <c:ptCount val="340"/>
                <c:pt idx="0">
                  <c:v>20472.5</c:v>
                </c:pt>
                <c:pt idx="1">
                  <c:v>20441.3</c:v>
                </c:pt>
                <c:pt idx="2">
                  <c:v>20433.5</c:v>
                </c:pt>
                <c:pt idx="3">
                  <c:v>20433.5</c:v>
                </c:pt>
                <c:pt idx="4">
                  <c:v>20433.3</c:v>
                </c:pt>
                <c:pt idx="5">
                  <c:v>20432.8</c:v>
                </c:pt>
                <c:pt idx="6">
                  <c:v>20430.599999999999</c:v>
                </c:pt>
                <c:pt idx="7">
                  <c:v>20427.599999999999</c:v>
                </c:pt>
                <c:pt idx="8">
                  <c:v>20423.400000000001</c:v>
                </c:pt>
                <c:pt idx="9">
                  <c:v>20420.7</c:v>
                </c:pt>
                <c:pt idx="10">
                  <c:v>20418.7</c:v>
                </c:pt>
                <c:pt idx="11">
                  <c:v>20417.900000000001</c:v>
                </c:pt>
                <c:pt idx="12">
                  <c:v>20417.599999999999</c:v>
                </c:pt>
                <c:pt idx="13">
                  <c:v>20417.599999999999</c:v>
                </c:pt>
                <c:pt idx="14">
                  <c:v>20417.900000000001</c:v>
                </c:pt>
                <c:pt idx="15">
                  <c:v>20418.3</c:v>
                </c:pt>
                <c:pt idx="16">
                  <c:v>20418.7</c:v>
                </c:pt>
                <c:pt idx="17">
                  <c:v>20419</c:v>
                </c:pt>
                <c:pt idx="18">
                  <c:v>20419.400000000001</c:v>
                </c:pt>
                <c:pt idx="19">
                  <c:v>20419.8</c:v>
                </c:pt>
                <c:pt idx="20">
                  <c:v>20420.2</c:v>
                </c:pt>
                <c:pt idx="21">
                  <c:v>20420.5</c:v>
                </c:pt>
                <c:pt idx="22">
                  <c:v>20420.900000000001</c:v>
                </c:pt>
                <c:pt idx="23">
                  <c:v>20421.3</c:v>
                </c:pt>
                <c:pt idx="24">
                  <c:v>20421.7</c:v>
                </c:pt>
                <c:pt idx="25">
                  <c:v>20422.099999999999</c:v>
                </c:pt>
                <c:pt idx="26">
                  <c:v>20422.400000000001</c:v>
                </c:pt>
                <c:pt idx="27">
                  <c:v>20422.8</c:v>
                </c:pt>
                <c:pt idx="28">
                  <c:v>20423.2</c:v>
                </c:pt>
                <c:pt idx="29">
                  <c:v>20423.599999999999</c:v>
                </c:pt>
                <c:pt idx="30">
                  <c:v>20424</c:v>
                </c:pt>
                <c:pt idx="31">
                  <c:v>20424.400000000001</c:v>
                </c:pt>
                <c:pt idx="32">
                  <c:v>20424.8</c:v>
                </c:pt>
                <c:pt idx="33">
                  <c:v>20425.2</c:v>
                </c:pt>
                <c:pt idx="34">
                  <c:v>20425.599999999999</c:v>
                </c:pt>
                <c:pt idx="35">
                  <c:v>20426</c:v>
                </c:pt>
                <c:pt idx="36">
                  <c:v>20426.400000000001</c:v>
                </c:pt>
                <c:pt idx="37">
                  <c:v>20426.8</c:v>
                </c:pt>
                <c:pt idx="38">
                  <c:v>20427.2</c:v>
                </c:pt>
                <c:pt idx="39">
                  <c:v>20427.599999999999</c:v>
                </c:pt>
                <c:pt idx="40">
                  <c:v>20428</c:v>
                </c:pt>
                <c:pt idx="41">
                  <c:v>20428.400000000001</c:v>
                </c:pt>
                <c:pt idx="42">
                  <c:v>20428.8</c:v>
                </c:pt>
                <c:pt idx="43">
                  <c:v>20429.2</c:v>
                </c:pt>
                <c:pt idx="44">
                  <c:v>20429.599999999999</c:v>
                </c:pt>
                <c:pt idx="45">
                  <c:v>20430</c:v>
                </c:pt>
                <c:pt idx="46">
                  <c:v>20430.5</c:v>
                </c:pt>
                <c:pt idx="47">
                  <c:v>20430.900000000001</c:v>
                </c:pt>
                <c:pt idx="48">
                  <c:v>20431.3</c:v>
                </c:pt>
                <c:pt idx="49">
                  <c:v>20431.7</c:v>
                </c:pt>
                <c:pt idx="50">
                  <c:v>20432.2</c:v>
                </c:pt>
                <c:pt idx="51">
                  <c:v>20432.599999999999</c:v>
                </c:pt>
                <c:pt idx="52">
                  <c:v>20433</c:v>
                </c:pt>
                <c:pt idx="53">
                  <c:v>20433.5</c:v>
                </c:pt>
                <c:pt idx="54">
                  <c:v>20433.900000000001</c:v>
                </c:pt>
                <c:pt idx="55">
                  <c:v>20434.400000000001</c:v>
                </c:pt>
                <c:pt idx="56">
                  <c:v>20434.8</c:v>
                </c:pt>
                <c:pt idx="57">
                  <c:v>20435.3</c:v>
                </c:pt>
                <c:pt idx="58">
                  <c:v>20435.7</c:v>
                </c:pt>
                <c:pt idx="59">
                  <c:v>20436.2</c:v>
                </c:pt>
                <c:pt idx="60">
                  <c:v>20436.7</c:v>
                </c:pt>
                <c:pt idx="61">
                  <c:v>20437.2</c:v>
                </c:pt>
                <c:pt idx="62">
                  <c:v>20437.599999999999</c:v>
                </c:pt>
                <c:pt idx="63">
                  <c:v>20438.099999999999</c:v>
                </c:pt>
                <c:pt idx="64">
                  <c:v>20438.599999999999</c:v>
                </c:pt>
                <c:pt idx="65">
                  <c:v>20439.099999999999</c:v>
                </c:pt>
                <c:pt idx="66">
                  <c:v>20439.599999999999</c:v>
                </c:pt>
                <c:pt idx="67">
                  <c:v>20440.099999999999</c:v>
                </c:pt>
                <c:pt idx="68">
                  <c:v>20440.599999999999</c:v>
                </c:pt>
                <c:pt idx="69">
                  <c:v>20441.099999999999</c:v>
                </c:pt>
                <c:pt idx="70">
                  <c:v>20441.599999999999</c:v>
                </c:pt>
                <c:pt idx="71">
                  <c:v>20442.2</c:v>
                </c:pt>
                <c:pt idx="72">
                  <c:v>20442.7</c:v>
                </c:pt>
                <c:pt idx="73">
                  <c:v>20443.3</c:v>
                </c:pt>
                <c:pt idx="74">
                  <c:v>20443.8</c:v>
                </c:pt>
                <c:pt idx="75">
                  <c:v>20444.400000000001</c:v>
                </c:pt>
                <c:pt idx="76">
                  <c:v>20445</c:v>
                </c:pt>
                <c:pt idx="77">
                  <c:v>20445.5</c:v>
                </c:pt>
                <c:pt idx="78">
                  <c:v>20446.099999999999</c:v>
                </c:pt>
                <c:pt idx="79">
                  <c:v>20446.7</c:v>
                </c:pt>
                <c:pt idx="80">
                  <c:v>20447.400000000001</c:v>
                </c:pt>
                <c:pt idx="81">
                  <c:v>20448</c:v>
                </c:pt>
                <c:pt idx="82">
                  <c:v>20448.599999999999</c:v>
                </c:pt>
                <c:pt idx="83">
                  <c:v>20449.3</c:v>
                </c:pt>
                <c:pt idx="84">
                  <c:v>20449.900000000001</c:v>
                </c:pt>
                <c:pt idx="85">
                  <c:v>20450.599999999999</c:v>
                </c:pt>
                <c:pt idx="86">
                  <c:v>20451.3</c:v>
                </c:pt>
                <c:pt idx="87">
                  <c:v>20452</c:v>
                </c:pt>
                <c:pt idx="88">
                  <c:v>20452.7</c:v>
                </c:pt>
                <c:pt idx="89">
                  <c:v>20453.5</c:v>
                </c:pt>
                <c:pt idx="90">
                  <c:v>20454.3</c:v>
                </c:pt>
                <c:pt idx="91">
                  <c:v>20455</c:v>
                </c:pt>
                <c:pt idx="92">
                  <c:v>20455.8</c:v>
                </c:pt>
                <c:pt idx="93">
                  <c:v>20456.7</c:v>
                </c:pt>
                <c:pt idx="94">
                  <c:v>20457.5</c:v>
                </c:pt>
                <c:pt idx="95">
                  <c:v>20458.400000000001</c:v>
                </c:pt>
                <c:pt idx="96">
                  <c:v>20459.3</c:v>
                </c:pt>
                <c:pt idx="97">
                  <c:v>20460.2</c:v>
                </c:pt>
                <c:pt idx="98">
                  <c:v>20461.099999999999</c:v>
                </c:pt>
                <c:pt idx="99">
                  <c:v>20462.099999999999</c:v>
                </c:pt>
                <c:pt idx="100">
                  <c:v>20463.099999999999</c:v>
                </c:pt>
                <c:pt idx="101">
                  <c:v>20464.2</c:v>
                </c:pt>
                <c:pt idx="102">
                  <c:v>20465.2</c:v>
                </c:pt>
                <c:pt idx="103">
                  <c:v>20466.3</c:v>
                </c:pt>
                <c:pt idx="104">
                  <c:v>20467.5</c:v>
                </c:pt>
                <c:pt idx="105">
                  <c:v>20468.599999999999</c:v>
                </c:pt>
                <c:pt idx="106">
                  <c:v>20469.8</c:v>
                </c:pt>
                <c:pt idx="107">
                  <c:v>20471.099999999999</c:v>
                </c:pt>
                <c:pt idx="108">
                  <c:v>20472.400000000001</c:v>
                </c:pt>
                <c:pt idx="109">
                  <c:v>20473.7</c:v>
                </c:pt>
                <c:pt idx="110">
                  <c:v>20475.099999999999</c:v>
                </c:pt>
                <c:pt idx="111">
                  <c:v>20476.5</c:v>
                </c:pt>
                <c:pt idx="112">
                  <c:v>20478</c:v>
                </c:pt>
                <c:pt idx="113">
                  <c:v>20479.5</c:v>
                </c:pt>
                <c:pt idx="114">
                  <c:v>20481.099999999999</c:v>
                </c:pt>
                <c:pt idx="115">
                  <c:v>20482.7</c:v>
                </c:pt>
                <c:pt idx="116">
                  <c:v>20484.400000000001</c:v>
                </c:pt>
                <c:pt idx="117">
                  <c:v>20486.2</c:v>
                </c:pt>
                <c:pt idx="118">
                  <c:v>20488</c:v>
                </c:pt>
                <c:pt idx="119">
                  <c:v>20489.900000000001</c:v>
                </c:pt>
                <c:pt idx="120">
                  <c:v>20491.8</c:v>
                </c:pt>
                <c:pt idx="121">
                  <c:v>20493.8</c:v>
                </c:pt>
                <c:pt idx="122">
                  <c:v>20495.900000000001</c:v>
                </c:pt>
                <c:pt idx="123">
                  <c:v>20498</c:v>
                </c:pt>
                <c:pt idx="124">
                  <c:v>20500.3</c:v>
                </c:pt>
                <c:pt idx="125">
                  <c:v>20502.599999999999</c:v>
                </c:pt>
                <c:pt idx="126">
                  <c:v>20504.900000000001</c:v>
                </c:pt>
                <c:pt idx="127">
                  <c:v>20507.400000000001</c:v>
                </c:pt>
                <c:pt idx="128">
                  <c:v>20509.900000000001</c:v>
                </c:pt>
                <c:pt idx="129">
                  <c:v>20512.599999999999</c:v>
                </c:pt>
                <c:pt idx="130">
                  <c:v>20515.3</c:v>
                </c:pt>
                <c:pt idx="131">
                  <c:v>20518.099999999999</c:v>
                </c:pt>
                <c:pt idx="132">
                  <c:v>20521</c:v>
                </c:pt>
                <c:pt idx="133">
                  <c:v>20524</c:v>
                </c:pt>
                <c:pt idx="134">
                  <c:v>20527.099999999999</c:v>
                </c:pt>
                <c:pt idx="135">
                  <c:v>20530.2</c:v>
                </c:pt>
                <c:pt idx="136">
                  <c:v>20533.5</c:v>
                </c:pt>
                <c:pt idx="137">
                  <c:v>20536.900000000001</c:v>
                </c:pt>
                <c:pt idx="138">
                  <c:v>20540.400000000001</c:v>
                </c:pt>
                <c:pt idx="139">
                  <c:v>20544</c:v>
                </c:pt>
                <c:pt idx="140">
                  <c:v>20547.7</c:v>
                </c:pt>
                <c:pt idx="141">
                  <c:v>20551.599999999999</c:v>
                </c:pt>
                <c:pt idx="142">
                  <c:v>20555.5</c:v>
                </c:pt>
                <c:pt idx="143">
                  <c:v>20559.599999999999</c:v>
                </c:pt>
                <c:pt idx="144">
                  <c:v>20563.7</c:v>
                </c:pt>
                <c:pt idx="145">
                  <c:v>20568</c:v>
                </c:pt>
                <c:pt idx="146">
                  <c:v>20572.400000000001</c:v>
                </c:pt>
                <c:pt idx="147">
                  <c:v>20576.900000000001</c:v>
                </c:pt>
                <c:pt idx="148">
                  <c:v>20581.599999999999</c:v>
                </c:pt>
                <c:pt idx="149">
                  <c:v>20586.400000000001</c:v>
                </c:pt>
                <c:pt idx="150">
                  <c:v>20591.2</c:v>
                </c:pt>
                <c:pt idx="151">
                  <c:v>20596.3</c:v>
                </c:pt>
                <c:pt idx="152">
                  <c:v>20601.400000000001</c:v>
                </c:pt>
                <c:pt idx="153">
                  <c:v>20606.7</c:v>
                </c:pt>
                <c:pt idx="154">
                  <c:v>20612</c:v>
                </c:pt>
                <c:pt idx="155">
                  <c:v>20617.599999999999</c:v>
                </c:pt>
                <c:pt idx="156">
                  <c:v>20623.2</c:v>
                </c:pt>
                <c:pt idx="157">
                  <c:v>20629</c:v>
                </c:pt>
                <c:pt idx="158">
                  <c:v>20634.8</c:v>
                </c:pt>
                <c:pt idx="159">
                  <c:v>20640.8</c:v>
                </c:pt>
                <c:pt idx="160">
                  <c:v>20647</c:v>
                </c:pt>
                <c:pt idx="161">
                  <c:v>20653.2</c:v>
                </c:pt>
                <c:pt idx="162">
                  <c:v>20659.599999999999</c:v>
                </c:pt>
                <c:pt idx="163">
                  <c:v>20666.099999999999</c:v>
                </c:pt>
                <c:pt idx="164">
                  <c:v>20672.7</c:v>
                </c:pt>
                <c:pt idx="165">
                  <c:v>20679.400000000001</c:v>
                </c:pt>
                <c:pt idx="166">
                  <c:v>20686.2</c:v>
                </c:pt>
                <c:pt idx="167">
                  <c:v>20693.099999999999</c:v>
                </c:pt>
                <c:pt idx="168">
                  <c:v>20700.2</c:v>
                </c:pt>
                <c:pt idx="169">
                  <c:v>20707.3</c:v>
                </c:pt>
                <c:pt idx="170">
                  <c:v>20714.5</c:v>
                </c:pt>
                <c:pt idx="171">
                  <c:v>20721.900000000001</c:v>
                </c:pt>
                <c:pt idx="172">
                  <c:v>20729.3</c:v>
                </c:pt>
                <c:pt idx="173">
                  <c:v>20736.8</c:v>
                </c:pt>
                <c:pt idx="174">
                  <c:v>20744.400000000001</c:v>
                </c:pt>
                <c:pt idx="175">
                  <c:v>20752</c:v>
                </c:pt>
                <c:pt idx="176">
                  <c:v>20759.8</c:v>
                </c:pt>
                <c:pt idx="177">
                  <c:v>20767.5</c:v>
                </c:pt>
                <c:pt idx="178">
                  <c:v>20775.400000000001</c:v>
                </c:pt>
                <c:pt idx="179">
                  <c:v>20783.3</c:v>
                </c:pt>
                <c:pt idx="180">
                  <c:v>20791.3</c:v>
                </c:pt>
                <c:pt idx="181">
                  <c:v>20799.3</c:v>
                </c:pt>
                <c:pt idx="182">
                  <c:v>20807.3</c:v>
                </c:pt>
                <c:pt idx="183">
                  <c:v>20815.3</c:v>
                </c:pt>
                <c:pt idx="184">
                  <c:v>20823.400000000001</c:v>
                </c:pt>
                <c:pt idx="185">
                  <c:v>20831.5</c:v>
                </c:pt>
                <c:pt idx="186">
                  <c:v>20839.599999999999</c:v>
                </c:pt>
                <c:pt idx="187">
                  <c:v>20847.599999999999</c:v>
                </c:pt>
                <c:pt idx="188">
                  <c:v>20855.7</c:v>
                </c:pt>
                <c:pt idx="189">
                  <c:v>20863.7</c:v>
                </c:pt>
                <c:pt idx="190">
                  <c:v>20871.7</c:v>
                </c:pt>
                <c:pt idx="191">
                  <c:v>20879.7</c:v>
                </c:pt>
                <c:pt idx="192">
                  <c:v>20887.599999999999</c:v>
                </c:pt>
                <c:pt idx="193">
                  <c:v>20895.400000000001</c:v>
                </c:pt>
                <c:pt idx="194">
                  <c:v>20903.2</c:v>
                </c:pt>
                <c:pt idx="195">
                  <c:v>20910.8</c:v>
                </c:pt>
                <c:pt idx="196">
                  <c:v>20918.400000000001</c:v>
                </c:pt>
                <c:pt idx="197">
                  <c:v>20925.900000000001</c:v>
                </c:pt>
                <c:pt idx="198">
                  <c:v>20933.2</c:v>
                </c:pt>
                <c:pt idx="199">
                  <c:v>20940.400000000001</c:v>
                </c:pt>
                <c:pt idx="200">
                  <c:v>20947.5</c:v>
                </c:pt>
                <c:pt idx="201">
                  <c:v>20954.400000000001</c:v>
                </c:pt>
                <c:pt idx="202">
                  <c:v>20961.099999999999</c:v>
                </c:pt>
                <c:pt idx="203">
                  <c:v>20967.7</c:v>
                </c:pt>
                <c:pt idx="204">
                  <c:v>20974.1</c:v>
                </c:pt>
                <c:pt idx="205">
                  <c:v>20980.2</c:v>
                </c:pt>
                <c:pt idx="206">
                  <c:v>20986.2</c:v>
                </c:pt>
                <c:pt idx="207">
                  <c:v>20991.9</c:v>
                </c:pt>
                <c:pt idx="208">
                  <c:v>20997.3</c:v>
                </c:pt>
                <c:pt idx="209">
                  <c:v>21002.6</c:v>
                </c:pt>
                <c:pt idx="210">
                  <c:v>21007.5</c:v>
                </c:pt>
                <c:pt idx="211">
                  <c:v>21012.2</c:v>
                </c:pt>
                <c:pt idx="212">
                  <c:v>21016.6</c:v>
                </c:pt>
                <c:pt idx="213">
                  <c:v>21020.6</c:v>
                </c:pt>
                <c:pt idx="214">
                  <c:v>21024.400000000001</c:v>
                </c:pt>
                <c:pt idx="215">
                  <c:v>21027.9</c:v>
                </c:pt>
                <c:pt idx="216">
                  <c:v>21031</c:v>
                </c:pt>
                <c:pt idx="217">
                  <c:v>21033.8</c:v>
                </c:pt>
                <c:pt idx="218">
                  <c:v>21036.3</c:v>
                </c:pt>
                <c:pt idx="219">
                  <c:v>21038.400000000001</c:v>
                </c:pt>
                <c:pt idx="220">
                  <c:v>21040.2</c:v>
                </c:pt>
                <c:pt idx="221">
                  <c:v>21041.599999999999</c:v>
                </c:pt>
                <c:pt idx="222">
                  <c:v>21042.7</c:v>
                </c:pt>
                <c:pt idx="223">
                  <c:v>21043.4</c:v>
                </c:pt>
                <c:pt idx="224">
                  <c:v>21043.7</c:v>
                </c:pt>
                <c:pt idx="225">
                  <c:v>21043.7</c:v>
                </c:pt>
                <c:pt idx="226">
                  <c:v>21043.3</c:v>
                </c:pt>
                <c:pt idx="227">
                  <c:v>21042.6</c:v>
                </c:pt>
                <c:pt idx="228">
                  <c:v>21041.5</c:v>
                </c:pt>
                <c:pt idx="229">
                  <c:v>21040</c:v>
                </c:pt>
                <c:pt idx="230">
                  <c:v>21038.2</c:v>
                </c:pt>
                <c:pt idx="231">
                  <c:v>21036.1</c:v>
                </c:pt>
                <c:pt idx="232">
                  <c:v>21033.599999999999</c:v>
                </c:pt>
                <c:pt idx="233">
                  <c:v>21030.799999999999</c:v>
                </c:pt>
                <c:pt idx="234">
                  <c:v>21027.7</c:v>
                </c:pt>
                <c:pt idx="235">
                  <c:v>21024.3</c:v>
                </c:pt>
                <c:pt idx="236">
                  <c:v>21020.5</c:v>
                </c:pt>
                <c:pt idx="237">
                  <c:v>21016.5</c:v>
                </c:pt>
                <c:pt idx="238">
                  <c:v>21012.2</c:v>
                </c:pt>
                <c:pt idx="239">
                  <c:v>21007.599999999999</c:v>
                </c:pt>
                <c:pt idx="240">
                  <c:v>21002.799999999999</c:v>
                </c:pt>
                <c:pt idx="241">
                  <c:v>20997.7</c:v>
                </c:pt>
                <c:pt idx="242">
                  <c:v>20992.400000000001</c:v>
                </c:pt>
                <c:pt idx="243">
                  <c:v>20986.9</c:v>
                </c:pt>
                <c:pt idx="244">
                  <c:v>20981.200000000001</c:v>
                </c:pt>
                <c:pt idx="245">
                  <c:v>20975.200000000001</c:v>
                </c:pt>
                <c:pt idx="246">
                  <c:v>20969.099999999999</c:v>
                </c:pt>
                <c:pt idx="247">
                  <c:v>20962.8</c:v>
                </c:pt>
                <c:pt idx="248">
                  <c:v>20956.400000000001</c:v>
                </c:pt>
                <c:pt idx="249">
                  <c:v>20949.8</c:v>
                </c:pt>
                <c:pt idx="250">
                  <c:v>20943</c:v>
                </c:pt>
                <c:pt idx="251">
                  <c:v>20936.2</c:v>
                </c:pt>
                <c:pt idx="252">
                  <c:v>20929.2</c:v>
                </c:pt>
                <c:pt idx="253">
                  <c:v>20922.099999999999</c:v>
                </c:pt>
                <c:pt idx="254">
                  <c:v>20915</c:v>
                </c:pt>
                <c:pt idx="255">
                  <c:v>20907.7</c:v>
                </c:pt>
                <c:pt idx="256">
                  <c:v>20900.400000000001</c:v>
                </c:pt>
                <c:pt idx="257">
                  <c:v>20893</c:v>
                </c:pt>
                <c:pt idx="258">
                  <c:v>20885.599999999999</c:v>
                </c:pt>
                <c:pt idx="259">
                  <c:v>20878.2</c:v>
                </c:pt>
                <c:pt idx="260">
                  <c:v>20870.7</c:v>
                </c:pt>
                <c:pt idx="261">
                  <c:v>20863.2</c:v>
                </c:pt>
                <c:pt idx="262">
                  <c:v>20855.7</c:v>
                </c:pt>
                <c:pt idx="263">
                  <c:v>20848.099999999999</c:v>
                </c:pt>
                <c:pt idx="264">
                  <c:v>20840.599999999999</c:v>
                </c:pt>
                <c:pt idx="265">
                  <c:v>20833.099999999999</c:v>
                </c:pt>
                <c:pt idx="266">
                  <c:v>20825.7</c:v>
                </c:pt>
                <c:pt idx="267">
                  <c:v>20818.2</c:v>
                </c:pt>
                <c:pt idx="268">
                  <c:v>20810.8</c:v>
                </c:pt>
                <c:pt idx="269">
                  <c:v>20803.5</c:v>
                </c:pt>
                <c:pt idx="270">
                  <c:v>20796.2</c:v>
                </c:pt>
                <c:pt idx="271">
                  <c:v>20788.900000000001</c:v>
                </c:pt>
                <c:pt idx="272">
                  <c:v>20781.8</c:v>
                </c:pt>
                <c:pt idx="273">
                  <c:v>20774.7</c:v>
                </c:pt>
                <c:pt idx="274">
                  <c:v>20767.599999999999</c:v>
                </c:pt>
                <c:pt idx="275">
                  <c:v>20760.7</c:v>
                </c:pt>
                <c:pt idx="276">
                  <c:v>20753.8</c:v>
                </c:pt>
                <c:pt idx="277">
                  <c:v>20747</c:v>
                </c:pt>
                <c:pt idx="278">
                  <c:v>20740.3</c:v>
                </c:pt>
                <c:pt idx="279">
                  <c:v>20733.7</c:v>
                </c:pt>
                <c:pt idx="280">
                  <c:v>20727.2</c:v>
                </c:pt>
                <c:pt idx="281">
                  <c:v>20720.8</c:v>
                </c:pt>
                <c:pt idx="282">
                  <c:v>20714.5</c:v>
                </c:pt>
                <c:pt idx="283">
                  <c:v>20708.3</c:v>
                </c:pt>
                <c:pt idx="284">
                  <c:v>20702.3</c:v>
                </c:pt>
                <c:pt idx="285">
                  <c:v>20696.3</c:v>
                </c:pt>
                <c:pt idx="286">
                  <c:v>20690.5</c:v>
                </c:pt>
                <c:pt idx="287">
                  <c:v>20684.8</c:v>
                </c:pt>
                <c:pt idx="288">
                  <c:v>20679.2</c:v>
                </c:pt>
                <c:pt idx="289">
                  <c:v>20673.7</c:v>
                </c:pt>
                <c:pt idx="290">
                  <c:v>20668.400000000001</c:v>
                </c:pt>
                <c:pt idx="291">
                  <c:v>20663.099999999999</c:v>
                </c:pt>
                <c:pt idx="292">
                  <c:v>20658</c:v>
                </c:pt>
                <c:pt idx="293">
                  <c:v>20653</c:v>
                </c:pt>
                <c:pt idx="294">
                  <c:v>20648.2</c:v>
                </c:pt>
                <c:pt idx="295">
                  <c:v>20643.400000000001</c:v>
                </c:pt>
                <c:pt idx="296">
                  <c:v>20638.8</c:v>
                </c:pt>
                <c:pt idx="297">
                  <c:v>20634.400000000001</c:v>
                </c:pt>
                <c:pt idx="298">
                  <c:v>20630</c:v>
                </c:pt>
                <c:pt idx="299">
                  <c:v>20625.8</c:v>
                </c:pt>
                <c:pt idx="300">
                  <c:v>20621.599999999999</c:v>
                </c:pt>
                <c:pt idx="301">
                  <c:v>20617.599999999999</c:v>
                </c:pt>
                <c:pt idx="302">
                  <c:v>20613.8</c:v>
                </c:pt>
                <c:pt idx="303">
                  <c:v>20610</c:v>
                </c:pt>
                <c:pt idx="304">
                  <c:v>20606.400000000001</c:v>
                </c:pt>
                <c:pt idx="305">
                  <c:v>20602.900000000001</c:v>
                </c:pt>
                <c:pt idx="306">
                  <c:v>20599.5</c:v>
                </c:pt>
                <c:pt idx="307">
                  <c:v>20596.2</c:v>
                </c:pt>
                <c:pt idx="308">
                  <c:v>20593</c:v>
                </c:pt>
                <c:pt idx="309">
                  <c:v>20589.900000000001</c:v>
                </c:pt>
                <c:pt idx="310">
                  <c:v>20587</c:v>
                </c:pt>
                <c:pt idx="311">
                  <c:v>20584.099999999999</c:v>
                </c:pt>
                <c:pt idx="312">
                  <c:v>20581.400000000001</c:v>
                </c:pt>
                <c:pt idx="313">
                  <c:v>20578.7</c:v>
                </c:pt>
                <c:pt idx="314">
                  <c:v>20576.099999999999</c:v>
                </c:pt>
                <c:pt idx="315">
                  <c:v>20573.7</c:v>
                </c:pt>
                <c:pt idx="316">
                  <c:v>20571.3</c:v>
                </c:pt>
                <c:pt idx="317">
                  <c:v>20569.099999999999</c:v>
                </c:pt>
                <c:pt idx="318">
                  <c:v>20566.900000000001</c:v>
                </c:pt>
                <c:pt idx="319">
                  <c:v>20564.8</c:v>
                </c:pt>
                <c:pt idx="320">
                  <c:v>20562.8</c:v>
                </c:pt>
                <c:pt idx="321">
                  <c:v>20560.900000000001</c:v>
                </c:pt>
                <c:pt idx="322">
                  <c:v>20559.099999999999</c:v>
                </c:pt>
                <c:pt idx="323">
                  <c:v>20558</c:v>
                </c:pt>
                <c:pt idx="324">
                  <c:v>20557</c:v>
                </c:pt>
                <c:pt idx="325">
                  <c:v>20556.099999999999</c:v>
                </c:pt>
                <c:pt idx="326">
                  <c:v>20555.2</c:v>
                </c:pt>
                <c:pt idx="327">
                  <c:v>20554.400000000001</c:v>
                </c:pt>
                <c:pt idx="328">
                  <c:v>20553.7</c:v>
                </c:pt>
                <c:pt idx="329">
                  <c:v>20553.099999999999</c:v>
                </c:pt>
                <c:pt idx="330">
                  <c:v>20552.5</c:v>
                </c:pt>
                <c:pt idx="331">
                  <c:v>20552</c:v>
                </c:pt>
                <c:pt idx="332">
                  <c:v>20551.5</c:v>
                </c:pt>
                <c:pt idx="333">
                  <c:v>20551.099999999999</c:v>
                </c:pt>
                <c:pt idx="334">
                  <c:v>20557.400000000001</c:v>
                </c:pt>
                <c:pt idx="335">
                  <c:v>20563.8</c:v>
                </c:pt>
                <c:pt idx="336">
                  <c:v>20570.2</c:v>
                </c:pt>
                <c:pt idx="337">
                  <c:v>20576.599999999999</c:v>
                </c:pt>
                <c:pt idx="338">
                  <c:v>20583.099999999999</c:v>
                </c:pt>
                <c:pt idx="339">
                  <c:v>20589.599999999999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C-124D-A75B-3EAFC9530774}"/>
            </c:ext>
          </c:extLst>
        </c:ser>
        <c:ser>
          <c:idx val="1"/>
          <c:order val="1"/>
          <c:tx>
            <c:strRef>
              <c:f>'Fig 9d'!$F$2</c:f>
              <c:strCache>
                <c:ptCount val="1"/>
                <c:pt idx="0">
                  <c:v>Cr2p 1/2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  <a:alpha val="50000"/>
                  </a:schemeClr>
                </a:gs>
                <a:gs pos="100000">
                  <a:srgbClr val="146082"/>
                </a:gs>
              </a:gsLst>
              <a:lin ang="16200000" scaled="1"/>
            </a:gradFill>
            <a:ln w="25400">
              <a:noFill/>
            </a:ln>
            <a:effectLst/>
          </c:spPr>
          <c:cat>
            <c:numRef>
              <c:f>'Fig 9d'!$A$4:$A$304</c:f>
              <c:numCache>
                <c:formatCode>General</c:formatCode>
                <c:ptCount val="301"/>
                <c:pt idx="0">
                  <c:v>602</c:v>
                </c:pt>
                <c:pt idx="1">
                  <c:v>601.9</c:v>
                </c:pt>
                <c:pt idx="2">
                  <c:v>601.79999999999995</c:v>
                </c:pt>
                <c:pt idx="3">
                  <c:v>601.70000000000005</c:v>
                </c:pt>
                <c:pt idx="4">
                  <c:v>601.6</c:v>
                </c:pt>
                <c:pt idx="5">
                  <c:v>601.5</c:v>
                </c:pt>
                <c:pt idx="6">
                  <c:v>601.4</c:v>
                </c:pt>
                <c:pt idx="7">
                  <c:v>601.29999999999995</c:v>
                </c:pt>
                <c:pt idx="8">
                  <c:v>601.20000000000005</c:v>
                </c:pt>
                <c:pt idx="9">
                  <c:v>601.1</c:v>
                </c:pt>
                <c:pt idx="10">
                  <c:v>601</c:v>
                </c:pt>
                <c:pt idx="11">
                  <c:v>600.9</c:v>
                </c:pt>
                <c:pt idx="12">
                  <c:v>600.79999999999995</c:v>
                </c:pt>
                <c:pt idx="13">
                  <c:v>600.70000000000005</c:v>
                </c:pt>
                <c:pt idx="14">
                  <c:v>600.6</c:v>
                </c:pt>
                <c:pt idx="15">
                  <c:v>600.5</c:v>
                </c:pt>
                <c:pt idx="16">
                  <c:v>600.4</c:v>
                </c:pt>
                <c:pt idx="17">
                  <c:v>600.29999999999995</c:v>
                </c:pt>
                <c:pt idx="18">
                  <c:v>600.20000000000005</c:v>
                </c:pt>
                <c:pt idx="19">
                  <c:v>600.1</c:v>
                </c:pt>
                <c:pt idx="20">
                  <c:v>600</c:v>
                </c:pt>
                <c:pt idx="21">
                  <c:v>599.9</c:v>
                </c:pt>
                <c:pt idx="22">
                  <c:v>599.79999999999995</c:v>
                </c:pt>
                <c:pt idx="23">
                  <c:v>599.70000000000005</c:v>
                </c:pt>
                <c:pt idx="24">
                  <c:v>599.6</c:v>
                </c:pt>
                <c:pt idx="25">
                  <c:v>599.5</c:v>
                </c:pt>
                <c:pt idx="26">
                  <c:v>599.4</c:v>
                </c:pt>
                <c:pt idx="27">
                  <c:v>599.29999999999995</c:v>
                </c:pt>
                <c:pt idx="28">
                  <c:v>599.20000000000005</c:v>
                </c:pt>
                <c:pt idx="29">
                  <c:v>599.1</c:v>
                </c:pt>
                <c:pt idx="30">
                  <c:v>599</c:v>
                </c:pt>
                <c:pt idx="31">
                  <c:v>598.9</c:v>
                </c:pt>
                <c:pt idx="32">
                  <c:v>598.79999999999995</c:v>
                </c:pt>
                <c:pt idx="33">
                  <c:v>598.70000000000005</c:v>
                </c:pt>
                <c:pt idx="34">
                  <c:v>598.6</c:v>
                </c:pt>
                <c:pt idx="35">
                  <c:v>598.5</c:v>
                </c:pt>
                <c:pt idx="36">
                  <c:v>598.4</c:v>
                </c:pt>
                <c:pt idx="37">
                  <c:v>598.29999999999995</c:v>
                </c:pt>
                <c:pt idx="38">
                  <c:v>598.20000000000005</c:v>
                </c:pt>
                <c:pt idx="39">
                  <c:v>598.1</c:v>
                </c:pt>
                <c:pt idx="40">
                  <c:v>598</c:v>
                </c:pt>
                <c:pt idx="41">
                  <c:v>597.9</c:v>
                </c:pt>
                <c:pt idx="42">
                  <c:v>597.79999999999995</c:v>
                </c:pt>
                <c:pt idx="43">
                  <c:v>597.70000000000005</c:v>
                </c:pt>
                <c:pt idx="44">
                  <c:v>597.6</c:v>
                </c:pt>
                <c:pt idx="45">
                  <c:v>597.5</c:v>
                </c:pt>
                <c:pt idx="46">
                  <c:v>597.4</c:v>
                </c:pt>
                <c:pt idx="47">
                  <c:v>597.29999999999995</c:v>
                </c:pt>
                <c:pt idx="48">
                  <c:v>597.20000000000005</c:v>
                </c:pt>
                <c:pt idx="49">
                  <c:v>597.1</c:v>
                </c:pt>
                <c:pt idx="50">
                  <c:v>597</c:v>
                </c:pt>
                <c:pt idx="51">
                  <c:v>596.9</c:v>
                </c:pt>
                <c:pt idx="52">
                  <c:v>596.79999999999995</c:v>
                </c:pt>
                <c:pt idx="53">
                  <c:v>596.70000000000005</c:v>
                </c:pt>
                <c:pt idx="54">
                  <c:v>596.6</c:v>
                </c:pt>
                <c:pt idx="55">
                  <c:v>596.5</c:v>
                </c:pt>
                <c:pt idx="56">
                  <c:v>596.4</c:v>
                </c:pt>
                <c:pt idx="57">
                  <c:v>596.29999999999995</c:v>
                </c:pt>
                <c:pt idx="58">
                  <c:v>596.20000000000005</c:v>
                </c:pt>
                <c:pt idx="59">
                  <c:v>596.1</c:v>
                </c:pt>
                <c:pt idx="60">
                  <c:v>596</c:v>
                </c:pt>
                <c:pt idx="61">
                  <c:v>595.9</c:v>
                </c:pt>
                <c:pt idx="62">
                  <c:v>595.79999999999995</c:v>
                </c:pt>
                <c:pt idx="63">
                  <c:v>595.70000000000005</c:v>
                </c:pt>
                <c:pt idx="64">
                  <c:v>595.6</c:v>
                </c:pt>
                <c:pt idx="65">
                  <c:v>595.5</c:v>
                </c:pt>
                <c:pt idx="66">
                  <c:v>595.4</c:v>
                </c:pt>
                <c:pt idx="67">
                  <c:v>595.29999999999995</c:v>
                </c:pt>
                <c:pt idx="68">
                  <c:v>595.20000000000005</c:v>
                </c:pt>
                <c:pt idx="69">
                  <c:v>595.1</c:v>
                </c:pt>
                <c:pt idx="70">
                  <c:v>595</c:v>
                </c:pt>
                <c:pt idx="71">
                  <c:v>594.9</c:v>
                </c:pt>
                <c:pt idx="72">
                  <c:v>594.79999999999995</c:v>
                </c:pt>
                <c:pt idx="73">
                  <c:v>594.70000000000005</c:v>
                </c:pt>
                <c:pt idx="74">
                  <c:v>594.6</c:v>
                </c:pt>
                <c:pt idx="75">
                  <c:v>594.5</c:v>
                </c:pt>
                <c:pt idx="76">
                  <c:v>594.4</c:v>
                </c:pt>
                <c:pt idx="77">
                  <c:v>594.29999999999995</c:v>
                </c:pt>
                <c:pt idx="78">
                  <c:v>594.20000000000005</c:v>
                </c:pt>
                <c:pt idx="79">
                  <c:v>594.1</c:v>
                </c:pt>
                <c:pt idx="80">
                  <c:v>594</c:v>
                </c:pt>
                <c:pt idx="81">
                  <c:v>593.9</c:v>
                </c:pt>
                <c:pt idx="82">
                  <c:v>593.79999999999995</c:v>
                </c:pt>
                <c:pt idx="83">
                  <c:v>593.70000000000005</c:v>
                </c:pt>
                <c:pt idx="84">
                  <c:v>593.6</c:v>
                </c:pt>
                <c:pt idx="85">
                  <c:v>593.5</c:v>
                </c:pt>
                <c:pt idx="86">
                  <c:v>593.4</c:v>
                </c:pt>
                <c:pt idx="87">
                  <c:v>593.29999999999995</c:v>
                </c:pt>
                <c:pt idx="88">
                  <c:v>593.20000000000005</c:v>
                </c:pt>
                <c:pt idx="89">
                  <c:v>593.1</c:v>
                </c:pt>
                <c:pt idx="90">
                  <c:v>593</c:v>
                </c:pt>
                <c:pt idx="91">
                  <c:v>592.9</c:v>
                </c:pt>
                <c:pt idx="92">
                  <c:v>592.79999999999995</c:v>
                </c:pt>
                <c:pt idx="93">
                  <c:v>592.70000000000005</c:v>
                </c:pt>
                <c:pt idx="94">
                  <c:v>592.6</c:v>
                </c:pt>
                <c:pt idx="95">
                  <c:v>592.5</c:v>
                </c:pt>
                <c:pt idx="96">
                  <c:v>592.4</c:v>
                </c:pt>
                <c:pt idx="97">
                  <c:v>592.29999999999995</c:v>
                </c:pt>
                <c:pt idx="98">
                  <c:v>592.20000000000005</c:v>
                </c:pt>
                <c:pt idx="99">
                  <c:v>592.1</c:v>
                </c:pt>
                <c:pt idx="100">
                  <c:v>592</c:v>
                </c:pt>
                <c:pt idx="101">
                  <c:v>591.9</c:v>
                </c:pt>
                <c:pt idx="102">
                  <c:v>591.79999999999995</c:v>
                </c:pt>
                <c:pt idx="103">
                  <c:v>591.70000000000005</c:v>
                </c:pt>
                <c:pt idx="104">
                  <c:v>591.6</c:v>
                </c:pt>
                <c:pt idx="105">
                  <c:v>591.5</c:v>
                </c:pt>
                <c:pt idx="106">
                  <c:v>591.4</c:v>
                </c:pt>
                <c:pt idx="107">
                  <c:v>591.29999999999995</c:v>
                </c:pt>
                <c:pt idx="108">
                  <c:v>591.20000000000005</c:v>
                </c:pt>
                <c:pt idx="109">
                  <c:v>591.1</c:v>
                </c:pt>
                <c:pt idx="110">
                  <c:v>591</c:v>
                </c:pt>
                <c:pt idx="111">
                  <c:v>590.9</c:v>
                </c:pt>
                <c:pt idx="112">
                  <c:v>590.79999999999995</c:v>
                </c:pt>
                <c:pt idx="113">
                  <c:v>590.70000000000005</c:v>
                </c:pt>
                <c:pt idx="114">
                  <c:v>590.6</c:v>
                </c:pt>
                <c:pt idx="115">
                  <c:v>590.5</c:v>
                </c:pt>
                <c:pt idx="116">
                  <c:v>590.4</c:v>
                </c:pt>
                <c:pt idx="117">
                  <c:v>590.29999999999995</c:v>
                </c:pt>
                <c:pt idx="118">
                  <c:v>590.20000000000005</c:v>
                </c:pt>
                <c:pt idx="119">
                  <c:v>590.1</c:v>
                </c:pt>
                <c:pt idx="120">
                  <c:v>590</c:v>
                </c:pt>
                <c:pt idx="121">
                  <c:v>589.9</c:v>
                </c:pt>
                <c:pt idx="122">
                  <c:v>589.79999999999995</c:v>
                </c:pt>
                <c:pt idx="123">
                  <c:v>589.70000000000005</c:v>
                </c:pt>
                <c:pt idx="124">
                  <c:v>589.6</c:v>
                </c:pt>
                <c:pt idx="125">
                  <c:v>589.5</c:v>
                </c:pt>
                <c:pt idx="126">
                  <c:v>589.4</c:v>
                </c:pt>
                <c:pt idx="127">
                  <c:v>589.29999999999995</c:v>
                </c:pt>
                <c:pt idx="128">
                  <c:v>589.20000000000005</c:v>
                </c:pt>
                <c:pt idx="129">
                  <c:v>589.1</c:v>
                </c:pt>
                <c:pt idx="130">
                  <c:v>589</c:v>
                </c:pt>
                <c:pt idx="131">
                  <c:v>588.9</c:v>
                </c:pt>
                <c:pt idx="132">
                  <c:v>588.79999999999995</c:v>
                </c:pt>
                <c:pt idx="133">
                  <c:v>588.70000000000005</c:v>
                </c:pt>
                <c:pt idx="134">
                  <c:v>588.6</c:v>
                </c:pt>
                <c:pt idx="135">
                  <c:v>588.5</c:v>
                </c:pt>
                <c:pt idx="136">
                  <c:v>588.4</c:v>
                </c:pt>
                <c:pt idx="137">
                  <c:v>588.29999999999995</c:v>
                </c:pt>
                <c:pt idx="138">
                  <c:v>588.20000000000005</c:v>
                </c:pt>
                <c:pt idx="139">
                  <c:v>588.1</c:v>
                </c:pt>
                <c:pt idx="140">
                  <c:v>588</c:v>
                </c:pt>
                <c:pt idx="141">
                  <c:v>587.9</c:v>
                </c:pt>
                <c:pt idx="142">
                  <c:v>587.79999999999995</c:v>
                </c:pt>
                <c:pt idx="143">
                  <c:v>587.70000000000005</c:v>
                </c:pt>
                <c:pt idx="144">
                  <c:v>587.6</c:v>
                </c:pt>
                <c:pt idx="145">
                  <c:v>587.5</c:v>
                </c:pt>
                <c:pt idx="146">
                  <c:v>587.4</c:v>
                </c:pt>
                <c:pt idx="147">
                  <c:v>587.29999999999995</c:v>
                </c:pt>
                <c:pt idx="148">
                  <c:v>587.20000000000005</c:v>
                </c:pt>
                <c:pt idx="149">
                  <c:v>587.1</c:v>
                </c:pt>
                <c:pt idx="150">
                  <c:v>587</c:v>
                </c:pt>
                <c:pt idx="151">
                  <c:v>586.9</c:v>
                </c:pt>
                <c:pt idx="152">
                  <c:v>586.79999999999995</c:v>
                </c:pt>
                <c:pt idx="153">
                  <c:v>586.70000000000005</c:v>
                </c:pt>
                <c:pt idx="154">
                  <c:v>586.6</c:v>
                </c:pt>
                <c:pt idx="155">
                  <c:v>586.5</c:v>
                </c:pt>
                <c:pt idx="156">
                  <c:v>586.4</c:v>
                </c:pt>
                <c:pt idx="157">
                  <c:v>586.29999999999995</c:v>
                </c:pt>
                <c:pt idx="158">
                  <c:v>586.20000000000005</c:v>
                </c:pt>
                <c:pt idx="159">
                  <c:v>586.1</c:v>
                </c:pt>
                <c:pt idx="160">
                  <c:v>586</c:v>
                </c:pt>
                <c:pt idx="161">
                  <c:v>585.9</c:v>
                </c:pt>
                <c:pt idx="162">
                  <c:v>585.79999999999995</c:v>
                </c:pt>
                <c:pt idx="163">
                  <c:v>585.70000000000005</c:v>
                </c:pt>
                <c:pt idx="164">
                  <c:v>585.6</c:v>
                </c:pt>
                <c:pt idx="165">
                  <c:v>585.5</c:v>
                </c:pt>
                <c:pt idx="166">
                  <c:v>585.4</c:v>
                </c:pt>
                <c:pt idx="167">
                  <c:v>585.29999999999995</c:v>
                </c:pt>
                <c:pt idx="168">
                  <c:v>585.20000000000005</c:v>
                </c:pt>
                <c:pt idx="169">
                  <c:v>585.1</c:v>
                </c:pt>
                <c:pt idx="170">
                  <c:v>585</c:v>
                </c:pt>
                <c:pt idx="171">
                  <c:v>584.9</c:v>
                </c:pt>
                <c:pt idx="172">
                  <c:v>584.79999999999995</c:v>
                </c:pt>
                <c:pt idx="173">
                  <c:v>584.70000000000005</c:v>
                </c:pt>
                <c:pt idx="174">
                  <c:v>584.6</c:v>
                </c:pt>
                <c:pt idx="175">
                  <c:v>584.5</c:v>
                </c:pt>
                <c:pt idx="176">
                  <c:v>584.4</c:v>
                </c:pt>
                <c:pt idx="177">
                  <c:v>584.29999999999995</c:v>
                </c:pt>
                <c:pt idx="178">
                  <c:v>584.20000000000005</c:v>
                </c:pt>
                <c:pt idx="179">
                  <c:v>584.1</c:v>
                </c:pt>
                <c:pt idx="180">
                  <c:v>584</c:v>
                </c:pt>
                <c:pt idx="181">
                  <c:v>583.9</c:v>
                </c:pt>
                <c:pt idx="182">
                  <c:v>583.79999999999995</c:v>
                </c:pt>
                <c:pt idx="183">
                  <c:v>583.70000000000005</c:v>
                </c:pt>
                <c:pt idx="184">
                  <c:v>583.6</c:v>
                </c:pt>
                <c:pt idx="185">
                  <c:v>583.5</c:v>
                </c:pt>
                <c:pt idx="186">
                  <c:v>583.4</c:v>
                </c:pt>
                <c:pt idx="187">
                  <c:v>583.29999999999995</c:v>
                </c:pt>
                <c:pt idx="188">
                  <c:v>583.20000000000005</c:v>
                </c:pt>
                <c:pt idx="189">
                  <c:v>583.1</c:v>
                </c:pt>
                <c:pt idx="190">
                  <c:v>583</c:v>
                </c:pt>
                <c:pt idx="191">
                  <c:v>582.9</c:v>
                </c:pt>
                <c:pt idx="192">
                  <c:v>582.79999999999995</c:v>
                </c:pt>
                <c:pt idx="193">
                  <c:v>582.70000000000005</c:v>
                </c:pt>
                <c:pt idx="194">
                  <c:v>582.6</c:v>
                </c:pt>
                <c:pt idx="195">
                  <c:v>582.5</c:v>
                </c:pt>
                <c:pt idx="196">
                  <c:v>582.4</c:v>
                </c:pt>
                <c:pt idx="197">
                  <c:v>582.29999999999995</c:v>
                </c:pt>
                <c:pt idx="198">
                  <c:v>582.20000000000005</c:v>
                </c:pt>
                <c:pt idx="199">
                  <c:v>582.1</c:v>
                </c:pt>
                <c:pt idx="200">
                  <c:v>582</c:v>
                </c:pt>
                <c:pt idx="201">
                  <c:v>581.9</c:v>
                </c:pt>
                <c:pt idx="202">
                  <c:v>581.79999999999995</c:v>
                </c:pt>
                <c:pt idx="203">
                  <c:v>581.70000000000005</c:v>
                </c:pt>
                <c:pt idx="204">
                  <c:v>581.6</c:v>
                </c:pt>
                <c:pt idx="205">
                  <c:v>581.5</c:v>
                </c:pt>
                <c:pt idx="206">
                  <c:v>581.4</c:v>
                </c:pt>
                <c:pt idx="207">
                  <c:v>581.29999999999995</c:v>
                </c:pt>
                <c:pt idx="208">
                  <c:v>581.20000000000005</c:v>
                </c:pt>
                <c:pt idx="209">
                  <c:v>581.1</c:v>
                </c:pt>
                <c:pt idx="210">
                  <c:v>581</c:v>
                </c:pt>
                <c:pt idx="211">
                  <c:v>580.9</c:v>
                </c:pt>
                <c:pt idx="212">
                  <c:v>580.79999999999995</c:v>
                </c:pt>
                <c:pt idx="213">
                  <c:v>580.70000000000005</c:v>
                </c:pt>
                <c:pt idx="214">
                  <c:v>580.6</c:v>
                </c:pt>
                <c:pt idx="215">
                  <c:v>580.5</c:v>
                </c:pt>
                <c:pt idx="216">
                  <c:v>580.4</c:v>
                </c:pt>
                <c:pt idx="217">
                  <c:v>580.29999999999995</c:v>
                </c:pt>
                <c:pt idx="218">
                  <c:v>580.20000000000005</c:v>
                </c:pt>
                <c:pt idx="219">
                  <c:v>580.1</c:v>
                </c:pt>
                <c:pt idx="220">
                  <c:v>580</c:v>
                </c:pt>
                <c:pt idx="221">
                  <c:v>579.9</c:v>
                </c:pt>
                <c:pt idx="222">
                  <c:v>579.79999999999995</c:v>
                </c:pt>
                <c:pt idx="223">
                  <c:v>579.70000000000005</c:v>
                </c:pt>
                <c:pt idx="224">
                  <c:v>579.6</c:v>
                </c:pt>
                <c:pt idx="225">
                  <c:v>579.5</c:v>
                </c:pt>
                <c:pt idx="226">
                  <c:v>579.4</c:v>
                </c:pt>
                <c:pt idx="227">
                  <c:v>579.29999999999995</c:v>
                </c:pt>
                <c:pt idx="228">
                  <c:v>579.20000000000005</c:v>
                </c:pt>
                <c:pt idx="229">
                  <c:v>579.1</c:v>
                </c:pt>
                <c:pt idx="230">
                  <c:v>579</c:v>
                </c:pt>
                <c:pt idx="231">
                  <c:v>578.9</c:v>
                </c:pt>
                <c:pt idx="232">
                  <c:v>578.79999999999995</c:v>
                </c:pt>
                <c:pt idx="233">
                  <c:v>578.70000000000005</c:v>
                </c:pt>
                <c:pt idx="234">
                  <c:v>578.6</c:v>
                </c:pt>
                <c:pt idx="235">
                  <c:v>578.5</c:v>
                </c:pt>
                <c:pt idx="236">
                  <c:v>578.4</c:v>
                </c:pt>
                <c:pt idx="237">
                  <c:v>578.29999999999995</c:v>
                </c:pt>
                <c:pt idx="238">
                  <c:v>578.20000000000005</c:v>
                </c:pt>
                <c:pt idx="239">
                  <c:v>578.1</c:v>
                </c:pt>
                <c:pt idx="240">
                  <c:v>578</c:v>
                </c:pt>
                <c:pt idx="241">
                  <c:v>577.9</c:v>
                </c:pt>
                <c:pt idx="242">
                  <c:v>577.79999999999995</c:v>
                </c:pt>
                <c:pt idx="243">
                  <c:v>577.70000000000005</c:v>
                </c:pt>
                <c:pt idx="244">
                  <c:v>577.6</c:v>
                </c:pt>
                <c:pt idx="245">
                  <c:v>577.5</c:v>
                </c:pt>
                <c:pt idx="246">
                  <c:v>577.4</c:v>
                </c:pt>
                <c:pt idx="247">
                  <c:v>577.29999999999995</c:v>
                </c:pt>
                <c:pt idx="248">
                  <c:v>577.20000000000005</c:v>
                </c:pt>
                <c:pt idx="249">
                  <c:v>577.1</c:v>
                </c:pt>
                <c:pt idx="250">
                  <c:v>577</c:v>
                </c:pt>
                <c:pt idx="251">
                  <c:v>576.9</c:v>
                </c:pt>
                <c:pt idx="252">
                  <c:v>576.79999999999995</c:v>
                </c:pt>
                <c:pt idx="253">
                  <c:v>576.70000000000005</c:v>
                </c:pt>
                <c:pt idx="254">
                  <c:v>576.6</c:v>
                </c:pt>
                <c:pt idx="255">
                  <c:v>576.5</c:v>
                </c:pt>
                <c:pt idx="256">
                  <c:v>576.4</c:v>
                </c:pt>
                <c:pt idx="257">
                  <c:v>576.29999999999995</c:v>
                </c:pt>
                <c:pt idx="258">
                  <c:v>576.20000000000005</c:v>
                </c:pt>
                <c:pt idx="259">
                  <c:v>576.1</c:v>
                </c:pt>
                <c:pt idx="260">
                  <c:v>576</c:v>
                </c:pt>
                <c:pt idx="261">
                  <c:v>575.9</c:v>
                </c:pt>
                <c:pt idx="262">
                  <c:v>575.79999999999995</c:v>
                </c:pt>
                <c:pt idx="263">
                  <c:v>575.70000000000005</c:v>
                </c:pt>
                <c:pt idx="264">
                  <c:v>575.6</c:v>
                </c:pt>
                <c:pt idx="265">
                  <c:v>575.5</c:v>
                </c:pt>
                <c:pt idx="266">
                  <c:v>575.4</c:v>
                </c:pt>
                <c:pt idx="267">
                  <c:v>575.29999999999995</c:v>
                </c:pt>
                <c:pt idx="268">
                  <c:v>575.20000000000005</c:v>
                </c:pt>
                <c:pt idx="269">
                  <c:v>575.1</c:v>
                </c:pt>
                <c:pt idx="270">
                  <c:v>575</c:v>
                </c:pt>
                <c:pt idx="271">
                  <c:v>574.9</c:v>
                </c:pt>
                <c:pt idx="272">
                  <c:v>574.79999999999995</c:v>
                </c:pt>
                <c:pt idx="273">
                  <c:v>574.70000000000005</c:v>
                </c:pt>
                <c:pt idx="274">
                  <c:v>574.6</c:v>
                </c:pt>
                <c:pt idx="275">
                  <c:v>574.5</c:v>
                </c:pt>
                <c:pt idx="276">
                  <c:v>574.4</c:v>
                </c:pt>
                <c:pt idx="277">
                  <c:v>574.29999999999995</c:v>
                </c:pt>
                <c:pt idx="278">
                  <c:v>574.20000000000005</c:v>
                </c:pt>
                <c:pt idx="279">
                  <c:v>574.1</c:v>
                </c:pt>
                <c:pt idx="280">
                  <c:v>574</c:v>
                </c:pt>
                <c:pt idx="281">
                  <c:v>573.9</c:v>
                </c:pt>
                <c:pt idx="282">
                  <c:v>573.79999999999995</c:v>
                </c:pt>
                <c:pt idx="283">
                  <c:v>573.70000000000005</c:v>
                </c:pt>
                <c:pt idx="284">
                  <c:v>573.6</c:v>
                </c:pt>
                <c:pt idx="285">
                  <c:v>573.5</c:v>
                </c:pt>
                <c:pt idx="286">
                  <c:v>573.4</c:v>
                </c:pt>
                <c:pt idx="287">
                  <c:v>573.29999999999995</c:v>
                </c:pt>
                <c:pt idx="288">
                  <c:v>573.20000000000005</c:v>
                </c:pt>
                <c:pt idx="289">
                  <c:v>573.1</c:v>
                </c:pt>
                <c:pt idx="290">
                  <c:v>573</c:v>
                </c:pt>
                <c:pt idx="291">
                  <c:v>572.9</c:v>
                </c:pt>
                <c:pt idx="292">
                  <c:v>572.79999999999995</c:v>
                </c:pt>
                <c:pt idx="293">
                  <c:v>572.70000000000005</c:v>
                </c:pt>
                <c:pt idx="294">
                  <c:v>572.6</c:v>
                </c:pt>
                <c:pt idx="295">
                  <c:v>572.5</c:v>
                </c:pt>
                <c:pt idx="296">
                  <c:v>572.4</c:v>
                </c:pt>
                <c:pt idx="297">
                  <c:v>572.29999999999995</c:v>
                </c:pt>
                <c:pt idx="298">
                  <c:v>572.20000000000005</c:v>
                </c:pt>
                <c:pt idx="299">
                  <c:v>572.1</c:v>
                </c:pt>
                <c:pt idx="300">
                  <c:v>572</c:v>
                </c:pt>
              </c:numCache>
            </c:numRef>
          </c:cat>
          <c:val>
            <c:numRef>
              <c:f>'Fig 9d'!$F$4:$F$343</c:f>
              <c:numCache>
                <c:formatCode>General</c:formatCode>
                <c:ptCount val="340"/>
                <c:pt idx="0">
                  <c:v>20486.400000000001</c:v>
                </c:pt>
                <c:pt idx="1">
                  <c:v>20455.8</c:v>
                </c:pt>
                <c:pt idx="2">
                  <c:v>20448.400000000001</c:v>
                </c:pt>
                <c:pt idx="3">
                  <c:v>20448.900000000001</c:v>
                </c:pt>
                <c:pt idx="4">
                  <c:v>20449.099999999999</c:v>
                </c:pt>
                <c:pt idx="5">
                  <c:v>20449.099999999999</c:v>
                </c:pt>
                <c:pt idx="6">
                  <c:v>20447.5</c:v>
                </c:pt>
                <c:pt idx="7">
                  <c:v>20445</c:v>
                </c:pt>
                <c:pt idx="8">
                  <c:v>20441.400000000001</c:v>
                </c:pt>
                <c:pt idx="9">
                  <c:v>20439.3</c:v>
                </c:pt>
                <c:pt idx="10">
                  <c:v>20437.900000000001</c:v>
                </c:pt>
                <c:pt idx="11">
                  <c:v>20437.8</c:v>
                </c:pt>
                <c:pt idx="12">
                  <c:v>20438.2</c:v>
                </c:pt>
                <c:pt idx="13">
                  <c:v>20438.900000000001</c:v>
                </c:pt>
                <c:pt idx="14">
                  <c:v>20440</c:v>
                </c:pt>
                <c:pt idx="15">
                  <c:v>20441.2</c:v>
                </c:pt>
                <c:pt idx="16">
                  <c:v>20442.400000000001</c:v>
                </c:pt>
                <c:pt idx="17">
                  <c:v>20443.7</c:v>
                </c:pt>
                <c:pt idx="18">
                  <c:v>20445</c:v>
                </c:pt>
                <c:pt idx="19">
                  <c:v>20446.3</c:v>
                </c:pt>
                <c:pt idx="20">
                  <c:v>20447.7</c:v>
                </c:pt>
                <c:pt idx="21">
                  <c:v>20449.099999999999</c:v>
                </c:pt>
                <c:pt idx="22">
                  <c:v>20450.599999999999</c:v>
                </c:pt>
                <c:pt idx="23">
                  <c:v>20452.099999999999</c:v>
                </c:pt>
                <c:pt idx="24">
                  <c:v>20453.7</c:v>
                </c:pt>
                <c:pt idx="25">
                  <c:v>20455.3</c:v>
                </c:pt>
                <c:pt idx="26">
                  <c:v>20457</c:v>
                </c:pt>
                <c:pt idx="27">
                  <c:v>20458.7</c:v>
                </c:pt>
                <c:pt idx="28">
                  <c:v>20460.5</c:v>
                </c:pt>
                <c:pt idx="29">
                  <c:v>20462.400000000001</c:v>
                </c:pt>
                <c:pt idx="30">
                  <c:v>20464.3</c:v>
                </c:pt>
                <c:pt idx="31">
                  <c:v>20466.3</c:v>
                </c:pt>
                <c:pt idx="32">
                  <c:v>20468.3</c:v>
                </c:pt>
                <c:pt idx="33">
                  <c:v>20470.400000000001</c:v>
                </c:pt>
                <c:pt idx="34">
                  <c:v>20472.599999999999</c:v>
                </c:pt>
                <c:pt idx="35">
                  <c:v>20474.900000000001</c:v>
                </c:pt>
                <c:pt idx="36">
                  <c:v>20477.2</c:v>
                </c:pt>
                <c:pt idx="37">
                  <c:v>20479.599999999999</c:v>
                </c:pt>
                <c:pt idx="38">
                  <c:v>20482.099999999999</c:v>
                </c:pt>
                <c:pt idx="39">
                  <c:v>20484.7</c:v>
                </c:pt>
                <c:pt idx="40">
                  <c:v>20487.400000000001</c:v>
                </c:pt>
                <c:pt idx="41">
                  <c:v>20490.099999999999</c:v>
                </c:pt>
                <c:pt idx="42">
                  <c:v>20492.900000000001</c:v>
                </c:pt>
                <c:pt idx="43">
                  <c:v>20495.8</c:v>
                </c:pt>
                <c:pt idx="44">
                  <c:v>20498.8</c:v>
                </c:pt>
                <c:pt idx="45">
                  <c:v>20501.900000000001</c:v>
                </c:pt>
                <c:pt idx="46">
                  <c:v>20505.099999999999</c:v>
                </c:pt>
                <c:pt idx="47">
                  <c:v>20508.400000000001</c:v>
                </c:pt>
                <c:pt idx="48">
                  <c:v>20511.8</c:v>
                </c:pt>
                <c:pt idx="49">
                  <c:v>20515.3</c:v>
                </c:pt>
                <c:pt idx="50">
                  <c:v>20518.8</c:v>
                </c:pt>
                <c:pt idx="51">
                  <c:v>20522.5</c:v>
                </c:pt>
                <c:pt idx="52">
                  <c:v>20526.3</c:v>
                </c:pt>
                <c:pt idx="53">
                  <c:v>20530.2</c:v>
                </c:pt>
                <c:pt idx="54">
                  <c:v>20534.099999999999</c:v>
                </c:pt>
                <c:pt idx="55">
                  <c:v>20538.2</c:v>
                </c:pt>
                <c:pt idx="56">
                  <c:v>20542.400000000001</c:v>
                </c:pt>
                <c:pt idx="57">
                  <c:v>20546.7</c:v>
                </c:pt>
                <c:pt idx="58">
                  <c:v>20551.099999999999</c:v>
                </c:pt>
                <c:pt idx="59">
                  <c:v>20555.599999999999</c:v>
                </c:pt>
                <c:pt idx="60">
                  <c:v>20560.2</c:v>
                </c:pt>
                <c:pt idx="61">
                  <c:v>20564.900000000001</c:v>
                </c:pt>
                <c:pt idx="62">
                  <c:v>20569.8</c:v>
                </c:pt>
                <c:pt idx="63">
                  <c:v>20574.7</c:v>
                </c:pt>
                <c:pt idx="64">
                  <c:v>20579.7</c:v>
                </c:pt>
                <c:pt idx="65">
                  <c:v>20584.900000000001</c:v>
                </c:pt>
                <c:pt idx="66">
                  <c:v>20590.099999999999</c:v>
                </c:pt>
                <c:pt idx="67">
                  <c:v>20595.5</c:v>
                </c:pt>
                <c:pt idx="68">
                  <c:v>20600.900000000001</c:v>
                </c:pt>
                <c:pt idx="69">
                  <c:v>20606.5</c:v>
                </c:pt>
                <c:pt idx="70">
                  <c:v>20612.099999999999</c:v>
                </c:pt>
                <c:pt idx="71">
                  <c:v>20617.8</c:v>
                </c:pt>
                <c:pt idx="72">
                  <c:v>20623.7</c:v>
                </c:pt>
                <c:pt idx="73">
                  <c:v>20629.599999999999</c:v>
                </c:pt>
                <c:pt idx="74">
                  <c:v>20635.599999999999</c:v>
                </c:pt>
                <c:pt idx="75">
                  <c:v>20641.7</c:v>
                </c:pt>
                <c:pt idx="76">
                  <c:v>20647.900000000001</c:v>
                </c:pt>
                <c:pt idx="77">
                  <c:v>20654.2</c:v>
                </c:pt>
                <c:pt idx="78">
                  <c:v>20660.599999999999</c:v>
                </c:pt>
                <c:pt idx="79">
                  <c:v>20667</c:v>
                </c:pt>
                <c:pt idx="80">
                  <c:v>20673.5</c:v>
                </c:pt>
                <c:pt idx="81">
                  <c:v>20680.099999999999</c:v>
                </c:pt>
                <c:pt idx="82">
                  <c:v>20686.7</c:v>
                </c:pt>
                <c:pt idx="83">
                  <c:v>20693.400000000001</c:v>
                </c:pt>
                <c:pt idx="84">
                  <c:v>20700.099999999999</c:v>
                </c:pt>
                <c:pt idx="85">
                  <c:v>20706.900000000001</c:v>
                </c:pt>
                <c:pt idx="86">
                  <c:v>20713.7</c:v>
                </c:pt>
                <c:pt idx="87">
                  <c:v>20720.5</c:v>
                </c:pt>
                <c:pt idx="88">
                  <c:v>20727.400000000001</c:v>
                </c:pt>
                <c:pt idx="89">
                  <c:v>20734.3</c:v>
                </c:pt>
                <c:pt idx="90">
                  <c:v>20741.3</c:v>
                </c:pt>
                <c:pt idx="91">
                  <c:v>20748.2</c:v>
                </c:pt>
                <c:pt idx="92">
                  <c:v>20755.099999999999</c:v>
                </c:pt>
                <c:pt idx="93">
                  <c:v>20762.099999999999</c:v>
                </c:pt>
                <c:pt idx="94">
                  <c:v>20769</c:v>
                </c:pt>
                <c:pt idx="95">
                  <c:v>20775.900000000001</c:v>
                </c:pt>
                <c:pt idx="96">
                  <c:v>20782.8</c:v>
                </c:pt>
                <c:pt idx="97">
                  <c:v>20789.599999999999</c:v>
                </c:pt>
                <c:pt idx="98">
                  <c:v>20796.400000000001</c:v>
                </c:pt>
                <c:pt idx="99">
                  <c:v>20803.2</c:v>
                </c:pt>
                <c:pt idx="100">
                  <c:v>20809.900000000001</c:v>
                </c:pt>
                <c:pt idx="101">
                  <c:v>20816.5</c:v>
                </c:pt>
                <c:pt idx="102">
                  <c:v>20823</c:v>
                </c:pt>
                <c:pt idx="103">
                  <c:v>20829.400000000001</c:v>
                </c:pt>
                <c:pt idx="104">
                  <c:v>20835.8</c:v>
                </c:pt>
                <c:pt idx="105">
                  <c:v>20842</c:v>
                </c:pt>
                <c:pt idx="106">
                  <c:v>20848.099999999999</c:v>
                </c:pt>
                <c:pt idx="107">
                  <c:v>20854.099999999999</c:v>
                </c:pt>
                <c:pt idx="108">
                  <c:v>20859.900000000001</c:v>
                </c:pt>
                <c:pt idx="109">
                  <c:v>20865.599999999999</c:v>
                </c:pt>
                <c:pt idx="110">
                  <c:v>20871.099999999999</c:v>
                </c:pt>
                <c:pt idx="111">
                  <c:v>20876.5</c:v>
                </c:pt>
                <c:pt idx="112">
                  <c:v>20881.599999999999</c:v>
                </c:pt>
                <c:pt idx="113">
                  <c:v>20886.599999999999</c:v>
                </c:pt>
                <c:pt idx="114">
                  <c:v>20891.400000000001</c:v>
                </c:pt>
                <c:pt idx="115">
                  <c:v>20895.900000000001</c:v>
                </c:pt>
                <c:pt idx="116">
                  <c:v>20900.2</c:v>
                </c:pt>
                <c:pt idx="117">
                  <c:v>20904.3</c:v>
                </c:pt>
                <c:pt idx="118">
                  <c:v>20908.2</c:v>
                </c:pt>
                <c:pt idx="119">
                  <c:v>20911.8</c:v>
                </c:pt>
                <c:pt idx="120">
                  <c:v>20915.099999999999</c:v>
                </c:pt>
                <c:pt idx="121">
                  <c:v>20918.2</c:v>
                </c:pt>
                <c:pt idx="122">
                  <c:v>20921</c:v>
                </c:pt>
                <c:pt idx="123">
                  <c:v>20923.5</c:v>
                </c:pt>
                <c:pt idx="124">
                  <c:v>20925.7</c:v>
                </c:pt>
                <c:pt idx="125">
                  <c:v>20927.7</c:v>
                </c:pt>
                <c:pt idx="126">
                  <c:v>20929.3</c:v>
                </c:pt>
                <c:pt idx="127">
                  <c:v>20930.599999999999</c:v>
                </c:pt>
                <c:pt idx="128">
                  <c:v>20931.7</c:v>
                </c:pt>
                <c:pt idx="129">
                  <c:v>20932.400000000001</c:v>
                </c:pt>
                <c:pt idx="130">
                  <c:v>20932.8</c:v>
                </c:pt>
                <c:pt idx="131">
                  <c:v>20932.900000000001</c:v>
                </c:pt>
                <c:pt idx="132">
                  <c:v>20932.7</c:v>
                </c:pt>
                <c:pt idx="133">
                  <c:v>20932.2</c:v>
                </c:pt>
                <c:pt idx="134">
                  <c:v>20931.400000000001</c:v>
                </c:pt>
                <c:pt idx="135">
                  <c:v>20930.3</c:v>
                </c:pt>
                <c:pt idx="136">
                  <c:v>20928.900000000001</c:v>
                </c:pt>
                <c:pt idx="137">
                  <c:v>20927.2</c:v>
                </c:pt>
                <c:pt idx="138">
                  <c:v>20925.2</c:v>
                </c:pt>
                <c:pt idx="139">
                  <c:v>20922.900000000001</c:v>
                </c:pt>
                <c:pt idx="140">
                  <c:v>20920.3</c:v>
                </c:pt>
                <c:pt idx="141">
                  <c:v>20917.5</c:v>
                </c:pt>
                <c:pt idx="142">
                  <c:v>20914.5</c:v>
                </c:pt>
                <c:pt idx="143">
                  <c:v>20911.099999999999</c:v>
                </c:pt>
                <c:pt idx="144">
                  <c:v>20907.599999999999</c:v>
                </c:pt>
                <c:pt idx="145">
                  <c:v>20903.8</c:v>
                </c:pt>
                <c:pt idx="146">
                  <c:v>20899.8</c:v>
                </c:pt>
                <c:pt idx="147">
                  <c:v>20895.5</c:v>
                </c:pt>
                <c:pt idx="148">
                  <c:v>20891.099999999999</c:v>
                </c:pt>
                <c:pt idx="149">
                  <c:v>20886.5</c:v>
                </c:pt>
                <c:pt idx="150">
                  <c:v>20881.7</c:v>
                </c:pt>
                <c:pt idx="151">
                  <c:v>20876.7</c:v>
                </c:pt>
                <c:pt idx="152">
                  <c:v>20871.5</c:v>
                </c:pt>
                <c:pt idx="153">
                  <c:v>20866.2</c:v>
                </c:pt>
                <c:pt idx="154">
                  <c:v>20860.8</c:v>
                </c:pt>
                <c:pt idx="155">
                  <c:v>20855.3</c:v>
                </c:pt>
                <c:pt idx="156">
                  <c:v>20849.599999999999</c:v>
                </c:pt>
                <c:pt idx="157">
                  <c:v>20843.8</c:v>
                </c:pt>
                <c:pt idx="158">
                  <c:v>20837.900000000001</c:v>
                </c:pt>
                <c:pt idx="159">
                  <c:v>20831.900000000001</c:v>
                </c:pt>
                <c:pt idx="160">
                  <c:v>20825.900000000001</c:v>
                </c:pt>
                <c:pt idx="161">
                  <c:v>20819.8</c:v>
                </c:pt>
                <c:pt idx="162">
                  <c:v>20813.599999999999</c:v>
                </c:pt>
                <c:pt idx="163">
                  <c:v>20807.3</c:v>
                </c:pt>
                <c:pt idx="164">
                  <c:v>20801</c:v>
                </c:pt>
                <c:pt idx="165">
                  <c:v>20794.7</c:v>
                </c:pt>
                <c:pt idx="166">
                  <c:v>20788.400000000001</c:v>
                </c:pt>
                <c:pt idx="167">
                  <c:v>20782</c:v>
                </c:pt>
                <c:pt idx="168">
                  <c:v>20775.7</c:v>
                </c:pt>
                <c:pt idx="169">
                  <c:v>20769.3</c:v>
                </c:pt>
                <c:pt idx="170">
                  <c:v>20762.900000000001</c:v>
                </c:pt>
                <c:pt idx="171">
                  <c:v>20756.599999999999</c:v>
                </c:pt>
                <c:pt idx="172">
                  <c:v>20750.2</c:v>
                </c:pt>
                <c:pt idx="173">
                  <c:v>20743.900000000001</c:v>
                </c:pt>
                <c:pt idx="174">
                  <c:v>20737.599999999999</c:v>
                </c:pt>
                <c:pt idx="175">
                  <c:v>20731.400000000001</c:v>
                </c:pt>
                <c:pt idx="176">
                  <c:v>20725.2</c:v>
                </c:pt>
                <c:pt idx="177">
                  <c:v>20719</c:v>
                </c:pt>
                <c:pt idx="178">
                  <c:v>20712.900000000001</c:v>
                </c:pt>
                <c:pt idx="179">
                  <c:v>20706.900000000001</c:v>
                </c:pt>
                <c:pt idx="180">
                  <c:v>20700.900000000001</c:v>
                </c:pt>
                <c:pt idx="181">
                  <c:v>20695</c:v>
                </c:pt>
                <c:pt idx="182">
                  <c:v>20689.099999999999</c:v>
                </c:pt>
                <c:pt idx="183">
                  <c:v>20683.400000000001</c:v>
                </c:pt>
                <c:pt idx="184">
                  <c:v>20677.7</c:v>
                </c:pt>
                <c:pt idx="185">
                  <c:v>20672</c:v>
                </c:pt>
                <c:pt idx="186">
                  <c:v>20666.5</c:v>
                </c:pt>
                <c:pt idx="187">
                  <c:v>20661.099999999999</c:v>
                </c:pt>
                <c:pt idx="188">
                  <c:v>20655.7</c:v>
                </c:pt>
                <c:pt idx="189">
                  <c:v>20650.5</c:v>
                </c:pt>
                <c:pt idx="190">
                  <c:v>20645.3</c:v>
                </c:pt>
                <c:pt idx="191">
                  <c:v>20640.2</c:v>
                </c:pt>
                <c:pt idx="192">
                  <c:v>20635.3</c:v>
                </c:pt>
                <c:pt idx="193">
                  <c:v>20630.400000000001</c:v>
                </c:pt>
                <c:pt idx="194">
                  <c:v>20625.599999999999</c:v>
                </c:pt>
                <c:pt idx="195">
                  <c:v>20621</c:v>
                </c:pt>
                <c:pt idx="196">
                  <c:v>20616.400000000001</c:v>
                </c:pt>
                <c:pt idx="197">
                  <c:v>20612</c:v>
                </c:pt>
                <c:pt idx="198">
                  <c:v>20607.599999999999</c:v>
                </c:pt>
                <c:pt idx="199">
                  <c:v>20603.400000000001</c:v>
                </c:pt>
                <c:pt idx="200">
                  <c:v>20599.3</c:v>
                </c:pt>
                <c:pt idx="201">
                  <c:v>20595.2</c:v>
                </c:pt>
                <c:pt idx="202">
                  <c:v>20591.3</c:v>
                </c:pt>
                <c:pt idx="203">
                  <c:v>20587.5</c:v>
                </c:pt>
                <c:pt idx="204">
                  <c:v>20583.8</c:v>
                </c:pt>
                <c:pt idx="205">
                  <c:v>20580.2</c:v>
                </c:pt>
                <c:pt idx="206">
                  <c:v>20576.7</c:v>
                </c:pt>
                <c:pt idx="207">
                  <c:v>20573.3</c:v>
                </c:pt>
                <c:pt idx="208">
                  <c:v>20570</c:v>
                </c:pt>
                <c:pt idx="209">
                  <c:v>20566.8</c:v>
                </c:pt>
                <c:pt idx="210">
                  <c:v>20563.7</c:v>
                </c:pt>
                <c:pt idx="211">
                  <c:v>20560.7</c:v>
                </c:pt>
                <c:pt idx="212">
                  <c:v>20557.8</c:v>
                </c:pt>
                <c:pt idx="213">
                  <c:v>20555</c:v>
                </c:pt>
                <c:pt idx="214">
                  <c:v>20552.3</c:v>
                </c:pt>
                <c:pt idx="215">
                  <c:v>20549.7</c:v>
                </c:pt>
                <c:pt idx="216">
                  <c:v>20547.2</c:v>
                </c:pt>
                <c:pt idx="217">
                  <c:v>20544.8</c:v>
                </c:pt>
                <c:pt idx="218">
                  <c:v>20542.5</c:v>
                </c:pt>
                <c:pt idx="219">
                  <c:v>20540.2</c:v>
                </c:pt>
                <c:pt idx="220">
                  <c:v>20538.099999999999</c:v>
                </c:pt>
                <c:pt idx="221">
                  <c:v>20536</c:v>
                </c:pt>
                <c:pt idx="222">
                  <c:v>20534</c:v>
                </c:pt>
                <c:pt idx="223">
                  <c:v>20532.099999999999</c:v>
                </c:pt>
                <c:pt idx="224">
                  <c:v>20530.3</c:v>
                </c:pt>
                <c:pt idx="225">
                  <c:v>20528.5</c:v>
                </c:pt>
                <c:pt idx="226">
                  <c:v>20526.8</c:v>
                </c:pt>
                <c:pt idx="227">
                  <c:v>20525.2</c:v>
                </c:pt>
                <c:pt idx="228">
                  <c:v>20523.7</c:v>
                </c:pt>
                <c:pt idx="229">
                  <c:v>20522.2</c:v>
                </c:pt>
                <c:pt idx="230">
                  <c:v>20520.8</c:v>
                </c:pt>
                <c:pt idx="231">
                  <c:v>20519.400000000001</c:v>
                </c:pt>
                <c:pt idx="232">
                  <c:v>20518.2</c:v>
                </c:pt>
                <c:pt idx="233">
                  <c:v>20516.900000000001</c:v>
                </c:pt>
                <c:pt idx="234">
                  <c:v>20515.8</c:v>
                </c:pt>
                <c:pt idx="235">
                  <c:v>20514.7</c:v>
                </c:pt>
                <c:pt idx="236">
                  <c:v>20513.599999999999</c:v>
                </c:pt>
                <c:pt idx="237">
                  <c:v>20512.599999999999</c:v>
                </c:pt>
                <c:pt idx="238">
                  <c:v>20511.7</c:v>
                </c:pt>
                <c:pt idx="239">
                  <c:v>20510.8</c:v>
                </c:pt>
                <c:pt idx="240">
                  <c:v>20509.900000000001</c:v>
                </c:pt>
                <c:pt idx="241">
                  <c:v>20509.099999999999</c:v>
                </c:pt>
                <c:pt idx="242">
                  <c:v>20508.400000000001</c:v>
                </c:pt>
                <c:pt idx="243">
                  <c:v>20507.7</c:v>
                </c:pt>
                <c:pt idx="244">
                  <c:v>20507</c:v>
                </c:pt>
                <c:pt idx="245">
                  <c:v>20506.3</c:v>
                </c:pt>
                <c:pt idx="246">
                  <c:v>20505.7</c:v>
                </c:pt>
                <c:pt idx="247">
                  <c:v>20505.2</c:v>
                </c:pt>
                <c:pt idx="248">
                  <c:v>20504.7</c:v>
                </c:pt>
                <c:pt idx="249">
                  <c:v>20504.2</c:v>
                </c:pt>
                <c:pt idx="250">
                  <c:v>20503.7</c:v>
                </c:pt>
                <c:pt idx="251">
                  <c:v>20503.3</c:v>
                </c:pt>
                <c:pt idx="252">
                  <c:v>20502.900000000001</c:v>
                </c:pt>
                <c:pt idx="253">
                  <c:v>20502.5</c:v>
                </c:pt>
                <c:pt idx="254">
                  <c:v>20502.2</c:v>
                </c:pt>
                <c:pt idx="255">
                  <c:v>20501.8</c:v>
                </c:pt>
                <c:pt idx="256">
                  <c:v>20501.5</c:v>
                </c:pt>
                <c:pt idx="257">
                  <c:v>20501.3</c:v>
                </c:pt>
                <c:pt idx="258">
                  <c:v>20501</c:v>
                </c:pt>
                <c:pt idx="259">
                  <c:v>20500.8</c:v>
                </c:pt>
                <c:pt idx="260">
                  <c:v>20500.599999999999</c:v>
                </c:pt>
                <c:pt idx="261">
                  <c:v>20500.400000000001</c:v>
                </c:pt>
                <c:pt idx="262">
                  <c:v>20500.2</c:v>
                </c:pt>
                <c:pt idx="263">
                  <c:v>20500.099999999999</c:v>
                </c:pt>
                <c:pt idx="264">
                  <c:v>20499.900000000001</c:v>
                </c:pt>
                <c:pt idx="265">
                  <c:v>20499.8</c:v>
                </c:pt>
                <c:pt idx="266">
                  <c:v>20499.7</c:v>
                </c:pt>
                <c:pt idx="267">
                  <c:v>20499.599999999999</c:v>
                </c:pt>
                <c:pt idx="268">
                  <c:v>20499.5</c:v>
                </c:pt>
                <c:pt idx="269">
                  <c:v>20499.5</c:v>
                </c:pt>
                <c:pt idx="270">
                  <c:v>20499.400000000001</c:v>
                </c:pt>
                <c:pt idx="271">
                  <c:v>20499.400000000001</c:v>
                </c:pt>
                <c:pt idx="272">
                  <c:v>20499.400000000001</c:v>
                </c:pt>
                <c:pt idx="273">
                  <c:v>20499.400000000001</c:v>
                </c:pt>
                <c:pt idx="274">
                  <c:v>20499.400000000001</c:v>
                </c:pt>
                <c:pt idx="275">
                  <c:v>20499.400000000001</c:v>
                </c:pt>
                <c:pt idx="276">
                  <c:v>20499.400000000001</c:v>
                </c:pt>
                <c:pt idx="277">
                  <c:v>20499.400000000001</c:v>
                </c:pt>
                <c:pt idx="278">
                  <c:v>20499.400000000001</c:v>
                </c:pt>
                <c:pt idx="279">
                  <c:v>20499.5</c:v>
                </c:pt>
                <c:pt idx="280">
                  <c:v>20499.5</c:v>
                </c:pt>
                <c:pt idx="281">
                  <c:v>20499.599999999999</c:v>
                </c:pt>
                <c:pt idx="282">
                  <c:v>20499.599999999999</c:v>
                </c:pt>
                <c:pt idx="283">
                  <c:v>20499.7</c:v>
                </c:pt>
                <c:pt idx="284">
                  <c:v>20499.8</c:v>
                </c:pt>
                <c:pt idx="285">
                  <c:v>20499.900000000001</c:v>
                </c:pt>
                <c:pt idx="286">
                  <c:v>20499.900000000001</c:v>
                </c:pt>
                <c:pt idx="287">
                  <c:v>20500</c:v>
                </c:pt>
                <c:pt idx="288">
                  <c:v>20500.099999999999</c:v>
                </c:pt>
                <c:pt idx="289">
                  <c:v>20500.2</c:v>
                </c:pt>
                <c:pt idx="290">
                  <c:v>20500.3</c:v>
                </c:pt>
                <c:pt idx="291">
                  <c:v>20500.5</c:v>
                </c:pt>
                <c:pt idx="292">
                  <c:v>20500.599999999999</c:v>
                </c:pt>
                <c:pt idx="293">
                  <c:v>20500.7</c:v>
                </c:pt>
                <c:pt idx="294">
                  <c:v>20500.8</c:v>
                </c:pt>
                <c:pt idx="295">
                  <c:v>20500.900000000001</c:v>
                </c:pt>
                <c:pt idx="296">
                  <c:v>20501.099999999999</c:v>
                </c:pt>
                <c:pt idx="297">
                  <c:v>20501.2</c:v>
                </c:pt>
                <c:pt idx="298">
                  <c:v>20501.400000000001</c:v>
                </c:pt>
                <c:pt idx="299">
                  <c:v>20501.5</c:v>
                </c:pt>
                <c:pt idx="300">
                  <c:v>20501.599999999999</c:v>
                </c:pt>
                <c:pt idx="301">
                  <c:v>20501.8</c:v>
                </c:pt>
                <c:pt idx="302">
                  <c:v>20501.900000000001</c:v>
                </c:pt>
                <c:pt idx="303">
                  <c:v>20502.099999999999</c:v>
                </c:pt>
                <c:pt idx="304">
                  <c:v>20502.2</c:v>
                </c:pt>
                <c:pt idx="305">
                  <c:v>20502.400000000001</c:v>
                </c:pt>
                <c:pt idx="306">
                  <c:v>20502.599999999999</c:v>
                </c:pt>
                <c:pt idx="307">
                  <c:v>20502.7</c:v>
                </c:pt>
                <c:pt idx="308">
                  <c:v>20502.900000000001</c:v>
                </c:pt>
                <c:pt idx="309">
                  <c:v>20503.099999999999</c:v>
                </c:pt>
                <c:pt idx="310">
                  <c:v>20503.2</c:v>
                </c:pt>
                <c:pt idx="311">
                  <c:v>20503.400000000001</c:v>
                </c:pt>
                <c:pt idx="312">
                  <c:v>20503.599999999999</c:v>
                </c:pt>
                <c:pt idx="313">
                  <c:v>20503.8</c:v>
                </c:pt>
                <c:pt idx="314">
                  <c:v>20503.900000000001</c:v>
                </c:pt>
                <c:pt idx="315">
                  <c:v>20504.099999999999</c:v>
                </c:pt>
                <c:pt idx="316">
                  <c:v>20504.3</c:v>
                </c:pt>
                <c:pt idx="317">
                  <c:v>20504.5</c:v>
                </c:pt>
                <c:pt idx="318">
                  <c:v>20504.7</c:v>
                </c:pt>
                <c:pt idx="319">
                  <c:v>20504.8</c:v>
                </c:pt>
                <c:pt idx="320">
                  <c:v>20505</c:v>
                </c:pt>
                <c:pt idx="321">
                  <c:v>20505.2</c:v>
                </c:pt>
                <c:pt idx="322">
                  <c:v>20505.400000000001</c:v>
                </c:pt>
                <c:pt idx="323">
                  <c:v>20506.3</c:v>
                </c:pt>
                <c:pt idx="324">
                  <c:v>20507.2</c:v>
                </c:pt>
                <c:pt idx="325">
                  <c:v>20508</c:v>
                </c:pt>
                <c:pt idx="326">
                  <c:v>20508.900000000001</c:v>
                </c:pt>
                <c:pt idx="327">
                  <c:v>20509.8</c:v>
                </c:pt>
                <c:pt idx="328">
                  <c:v>20510.7</c:v>
                </c:pt>
                <c:pt idx="329">
                  <c:v>20511.5</c:v>
                </c:pt>
                <c:pt idx="330">
                  <c:v>20512.400000000001</c:v>
                </c:pt>
                <c:pt idx="331">
                  <c:v>20513.3</c:v>
                </c:pt>
                <c:pt idx="332">
                  <c:v>20514.2</c:v>
                </c:pt>
                <c:pt idx="333">
                  <c:v>20515.099999999999</c:v>
                </c:pt>
                <c:pt idx="334">
                  <c:v>20522.599999999999</c:v>
                </c:pt>
                <c:pt idx="335">
                  <c:v>20530.099999999999</c:v>
                </c:pt>
                <c:pt idx="336">
                  <c:v>20537.599999999999</c:v>
                </c:pt>
                <c:pt idx="337">
                  <c:v>20545.2</c:v>
                </c:pt>
                <c:pt idx="338">
                  <c:v>20552.7</c:v>
                </c:pt>
                <c:pt idx="339">
                  <c:v>20560.2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C-124D-A75B-3EAFC9530774}"/>
            </c:ext>
          </c:extLst>
        </c:ser>
        <c:ser>
          <c:idx val="3"/>
          <c:order val="2"/>
          <c:tx>
            <c:strRef>
              <c:f>'Fig 9d'!$G$2</c:f>
              <c:strCache>
                <c:ptCount val="1"/>
                <c:pt idx="0">
                  <c:v>Backgnd.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'Fig 9d'!$A$4:$A$304</c:f>
              <c:numCache>
                <c:formatCode>General</c:formatCode>
                <c:ptCount val="301"/>
                <c:pt idx="0">
                  <c:v>602</c:v>
                </c:pt>
                <c:pt idx="1">
                  <c:v>601.9</c:v>
                </c:pt>
                <c:pt idx="2">
                  <c:v>601.79999999999995</c:v>
                </c:pt>
                <c:pt idx="3">
                  <c:v>601.70000000000005</c:v>
                </c:pt>
                <c:pt idx="4">
                  <c:v>601.6</c:v>
                </c:pt>
                <c:pt idx="5">
                  <c:v>601.5</c:v>
                </c:pt>
                <c:pt idx="6">
                  <c:v>601.4</c:v>
                </c:pt>
                <c:pt idx="7">
                  <c:v>601.29999999999995</c:v>
                </c:pt>
                <c:pt idx="8">
                  <c:v>601.20000000000005</c:v>
                </c:pt>
                <c:pt idx="9">
                  <c:v>601.1</c:v>
                </c:pt>
                <c:pt idx="10">
                  <c:v>601</c:v>
                </c:pt>
                <c:pt idx="11">
                  <c:v>600.9</c:v>
                </c:pt>
                <c:pt idx="12">
                  <c:v>600.79999999999995</c:v>
                </c:pt>
                <c:pt idx="13">
                  <c:v>600.70000000000005</c:v>
                </c:pt>
                <c:pt idx="14">
                  <c:v>600.6</c:v>
                </c:pt>
                <c:pt idx="15">
                  <c:v>600.5</c:v>
                </c:pt>
                <c:pt idx="16">
                  <c:v>600.4</c:v>
                </c:pt>
                <c:pt idx="17">
                  <c:v>600.29999999999995</c:v>
                </c:pt>
                <c:pt idx="18">
                  <c:v>600.20000000000005</c:v>
                </c:pt>
                <c:pt idx="19">
                  <c:v>600.1</c:v>
                </c:pt>
                <c:pt idx="20">
                  <c:v>600</c:v>
                </c:pt>
                <c:pt idx="21">
                  <c:v>599.9</c:v>
                </c:pt>
                <c:pt idx="22">
                  <c:v>599.79999999999995</c:v>
                </c:pt>
                <c:pt idx="23">
                  <c:v>599.70000000000005</c:v>
                </c:pt>
                <c:pt idx="24">
                  <c:v>599.6</c:v>
                </c:pt>
                <c:pt idx="25">
                  <c:v>599.5</c:v>
                </c:pt>
                <c:pt idx="26">
                  <c:v>599.4</c:v>
                </c:pt>
                <c:pt idx="27">
                  <c:v>599.29999999999995</c:v>
                </c:pt>
                <c:pt idx="28">
                  <c:v>599.20000000000005</c:v>
                </c:pt>
                <c:pt idx="29">
                  <c:v>599.1</c:v>
                </c:pt>
                <c:pt idx="30">
                  <c:v>599</c:v>
                </c:pt>
                <c:pt idx="31">
                  <c:v>598.9</c:v>
                </c:pt>
                <c:pt idx="32">
                  <c:v>598.79999999999995</c:v>
                </c:pt>
                <c:pt idx="33">
                  <c:v>598.70000000000005</c:v>
                </c:pt>
                <c:pt idx="34">
                  <c:v>598.6</c:v>
                </c:pt>
                <c:pt idx="35">
                  <c:v>598.5</c:v>
                </c:pt>
                <c:pt idx="36">
                  <c:v>598.4</c:v>
                </c:pt>
                <c:pt idx="37">
                  <c:v>598.29999999999995</c:v>
                </c:pt>
                <c:pt idx="38">
                  <c:v>598.20000000000005</c:v>
                </c:pt>
                <c:pt idx="39">
                  <c:v>598.1</c:v>
                </c:pt>
                <c:pt idx="40">
                  <c:v>598</c:v>
                </c:pt>
                <c:pt idx="41">
                  <c:v>597.9</c:v>
                </c:pt>
                <c:pt idx="42">
                  <c:v>597.79999999999995</c:v>
                </c:pt>
                <c:pt idx="43">
                  <c:v>597.70000000000005</c:v>
                </c:pt>
                <c:pt idx="44">
                  <c:v>597.6</c:v>
                </c:pt>
                <c:pt idx="45">
                  <c:v>597.5</c:v>
                </c:pt>
                <c:pt idx="46">
                  <c:v>597.4</c:v>
                </c:pt>
                <c:pt idx="47">
                  <c:v>597.29999999999995</c:v>
                </c:pt>
                <c:pt idx="48">
                  <c:v>597.20000000000005</c:v>
                </c:pt>
                <c:pt idx="49">
                  <c:v>597.1</c:v>
                </c:pt>
                <c:pt idx="50">
                  <c:v>597</c:v>
                </c:pt>
                <c:pt idx="51">
                  <c:v>596.9</c:v>
                </c:pt>
                <c:pt idx="52">
                  <c:v>596.79999999999995</c:v>
                </c:pt>
                <c:pt idx="53">
                  <c:v>596.70000000000005</c:v>
                </c:pt>
                <c:pt idx="54">
                  <c:v>596.6</c:v>
                </c:pt>
                <c:pt idx="55">
                  <c:v>596.5</c:v>
                </c:pt>
                <c:pt idx="56">
                  <c:v>596.4</c:v>
                </c:pt>
                <c:pt idx="57">
                  <c:v>596.29999999999995</c:v>
                </c:pt>
                <c:pt idx="58">
                  <c:v>596.20000000000005</c:v>
                </c:pt>
                <c:pt idx="59">
                  <c:v>596.1</c:v>
                </c:pt>
                <c:pt idx="60">
                  <c:v>596</c:v>
                </c:pt>
                <c:pt idx="61">
                  <c:v>595.9</c:v>
                </c:pt>
                <c:pt idx="62">
                  <c:v>595.79999999999995</c:v>
                </c:pt>
                <c:pt idx="63">
                  <c:v>595.70000000000005</c:v>
                </c:pt>
                <c:pt idx="64">
                  <c:v>595.6</c:v>
                </c:pt>
                <c:pt idx="65">
                  <c:v>595.5</c:v>
                </c:pt>
                <c:pt idx="66">
                  <c:v>595.4</c:v>
                </c:pt>
                <c:pt idx="67">
                  <c:v>595.29999999999995</c:v>
                </c:pt>
                <c:pt idx="68">
                  <c:v>595.20000000000005</c:v>
                </c:pt>
                <c:pt idx="69">
                  <c:v>595.1</c:v>
                </c:pt>
                <c:pt idx="70">
                  <c:v>595</c:v>
                </c:pt>
                <c:pt idx="71">
                  <c:v>594.9</c:v>
                </c:pt>
                <c:pt idx="72">
                  <c:v>594.79999999999995</c:v>
                </c:pt>
                <c:pt idx="73">
                  <c:v>594.70000000000005</c:v>
                </c:pt>
                <c:pt idx="74">
                  <c:v>594.6</c:v>
                </c:pt>
                <c:pt idx="75">
                  <c:v>594.5</c:v>
                </c:pt>
                <c:pt idx="76">
                  <c:v>594.4</c:v>
                </c:pt>
                <c:pt idx="77">
                  <c:v>594.29999999999995</c:v>
                </c:pt>
                <c:pt idx="78">
                  <c:v>594.20000000000005</c:v>
                </c:pt>
                <c:pt idx="79">
                  <c:v>594.1</c:v>
                </c:pt>
                <c:pt idx="80">
                  <c:v>594</c:v>
                </c:pt>
                <c:pt idx="81">
                  <c:v>593.9</c:v>
                </c:pt>
                <c:pt idx="82">
                  <c:v>593.79999999999995</c:v>
                </c:pt>
                <c:pt idx="83">
                  <c:v>593.70000000000005</c:v>
                </c:pt>
                <c:pt idx="84">
                  <c:v>593.6</c:v>
                </c:pt>
                <c:pt idx="85">
                  <c:v>593.5</c:v>
                </c:pt>
                <c:pt idx="86">
                  <c:v>593.4</c:v>
                </c:pt>
                <c:pt idx="87">
                  <c:v>593.29999999999995</c:v>
                </c:pt>
                <c:pt idx="88">
                  <c:v>593.20000000000005</c:v>
                </c:pt>
                <c:pt idx="89">
                  <c:v>593.1</c:v>
                </c:pt>
                <c:pt idx="90">
                  <c:v>593</c:v>
                </c:pt>
                <c:pt idx="91">
                  <c:v>592.9</c:v>
                </c:pt>
                <c:pt idx="92">
                  <c:v>592.79999999999995</c:v>
                </c:pt>
                <c:pt idx="93">
                  <c:v>592.70000000000005</c:v>
                </c:pt>
                <c:pt idx="94">
                  <c:v>592.6</c:v>
                </c:pt>
                <c:pt idx="95">
                  <c:v>592.5</c:v>
                </c:pt>
                <c:pt idx="96">
                  <c:v>592.4</c:v>
                </c:pt>
                <c:pt idx="97">
                  <c:v>592.29999999999995</c:v>
                </c:pt>
                <c:pt idx="98">
                  <c:v>592.20000000000005</c:v>
                </c:pt>
                <c:pt idx="99">
                  <c:v>592.1</c:v>
                </c:pt>
                <c:pt idx="100">
                  <c:v>592</c:v>
                </c:pt>
                <c:pt idx="101">
                  <c:v>591.9</c:v>
                </c:pt>
                <c:pt idx="102">
                  <c:v>591.79999999999995</c:v>
                </c:pt>
                <c:pt idx="103">
                  <c:v>591.70000000000005</c:v>
                </c:pt>
                <c:pt idx="104">
                  <c:v>591.6</c:v>
                </c:pt>
                <c:pt idx="105">
                  <c:v>591.5</c:v>
                </c:pt>
                <c:pt idx="106">
                  <c:v>591.4</c:v>
                </c:pt>
                <c:pt idx="107">
                  <c:v>591.29999999999995</c:v>
                </c:pt>
                <c:pt idx="108">
                  <c:v>591.20000000000005</c:v>
                </c:pt>
                <c:pt idx="109">
                  <c:v>591.1</c:v>
                </c:pt>
                <c:pt idx="110">
                  <c:v>591</c:v>
                </c:pt>
                <c:pt idx="111">
                  <c:v>590.9</c:v>
                </c:pt>
                <c:pt idx="112">
                  <c:v>590.79999999999995</c:v>
                </c:pt>
                <c:pt idx="113">
                  <c:v>590.70000000000005</c:v>
                </c:pt>
                <c:pt idx="114">
                  <c:v>590.6</c:v>
                </c:pt>
                <c:pt idx="115">
                  <c:v>590.5</c:v>
                </c:pt>
                <c:pt idx="116">
                  <c:v>590.4</c:v>
                </c:pt>
                <c:pt idx="117">
                  <c:v>590.29999999999995</c:v>
                </c:pt>
                <c:pt idx="118">
                  <c:v>590.20000000000005</c:v>
                </c:pt>
                <c:pt idx="119">
                  <c:v>590.1</c:v>
                </c:pt>
                <c:pt idx="120">
                  <c:v>590</c:v>
                </c:pt>
                <c:pt idx="121">
                  <c:v>589.9</c:v>
                </c:pt>
                <c:pt idx="122">
                  <c:v>589.79999999999995</c:v>
                </c:pt>
                <c:pt idx="123">
                  <c:v>589.70000000000005</c:v>
                </c:pt>
                <c:pt idx="124">
                  <c:v>589.6</c:v>
                </c:pt>
                <c:pt idx="125">
                  <c:v>589.5</c:v>
                </c:pt>
                <c:pt idx="126">
                  <c:v>589.4</c:v>
                </c:pt>
                <c:pt idx="127">
                  <c:v>589.29999999999995</c:v>
                </c:pt>
                <c:pt idx="128">
                  <c:v>589.20000000000005</c:v>
                </c:pt>
                <c:pt idx="129">
                  <c:v>589.1</c:v>
                </c:pt>
                <c:pt idx="130">
                  <c:v>589</c:v>
                </c:pt>
                <c:pt idx="131">
                  <c:v>588.9</c:v>
                </c:pt>
                <c:pt idx="132">
                  <c:v>588.79999999999995</c:v>
                </c:pt>
                <c:pt idx="133">
                  <c:v>588.70000000000005</c:v>
                </c:pt>
                <c:pt idx="134">
                  <c:v>588.6</c:v>
                </c:pt>
                <c:pt idx="135">
                  <c:v>588.5</c:v>
                </c:pt>
                <c:pt idx="136">
                  <c:v>588.4</c:v>
                </c:pt>
                <c:pt idx="137">
                  <c:v>588.29999999999995</c:v>
                </c:pt>
                <c:pt idx="138">
                  <c:v>588.20000000000005</c:v>
                </c:pt>
                <c:pt idx="139">
                  <c:v>588.1</c:v>
                </c:pt>
                <c:pt idx="140">
                  <c:v>588</c:v>
                </c:pt>
                <c:pt idx="141">
                  <c:v>587.9</c:v>
                </c:pt>
                <c:pt idx="142">
                  <c:v>587.79999999999995</c:v>
                </c:pt>
                <c:pt idx="143">
                  <c:v>587.70000000000005</c:v>
                </c:pt>
                <c:pt idx="144">
                  <c:v>587.6</c:v>
                </c:pt>
                <c:pt idx="145">
                  <c:v>587.5</c:v>
                </c:pt>
                <c:pt idx="146">
                  <c:v>587.4</c:v>
                </c:pt>
                <c:pt idx="147">
                  <c:v>587.29999999999995</c:v>
                </c:pt>
                <c:pt idx="148">
                  <c:v>587.20000000000005</c:v>
                </c:pt>
                <c:pt idx="149">
                  <c:v>587.1</c:v>
                </c:pt>
                <c:pt idx="150">
                  <c:v>587</c:v>
                </c:pt>
                <c:pt idx="151">
                  <c:v>586.9</c:v>
                </c:pt>
                <c:pt idx="152">
                  <c:v>586.79999999999995</c:v>
                </c:pt>
                <c:pt idx="153">
                  <c:v>586.70000000000005</c:v>
                </c:pt>
                <c:pt idx="154">
                  <c:v>586.6</c:v>
                </c:pt>
                <c:pt idx="155">
                  <c:v>586.5</c:v>
                </c:pt>
                <c:pt idx="156">
                  <c:v>586.4</c:v>
                </c:pt>
                <c:pt idx="157">
                  <c:v>586.29999999999995</c:v>
                </c:pt>
                <c:pt idx="158">
                  <c:v>586.20000000000005</c:v>
                </c:pt>
                <c:pt idx="159">
                  <c:v>586.1</c:v>
                </c:pt>
                <c:pt idx="160">
                  <c:v>586</c:v>
                </c:pt>
                <c:pt idx="161">
                  <c:v>585.9</c:v>
                </c:pt>
                <c:pt idx="162">
                  <c:v>585.79999999999995</c:v>
                </c:pt>
                <c:pt idx="163">
                  <c:v>585.70000000000005</c:v>
                </c:pt>
                <c:pt idx="164">
                  <c:v>585.6</c:v>
                </c:pt>
                <c:pt idx="165">
                  <c:v>585.5</c:v>
                </c:pt>
                <c:pt idx="166">
                  <c:v>585.4</c:v>
                </c:pt>
                <c:pt idx="167">
                  <c:v>585.29999999999995</c:v>
                </c:pt>
                <c:pt idx="168">
                  <c:v>585.20000000000005</c:v>
                </c:pt>
                <c:pt idx="169">
                  <c:v>585.1</c:v>
                </c:pt>
                <c:pt idx="170">
                  <c:v>585</c:v>
                </c:pt>
                <c:pt idx="171">
                  <c:v>584.9</c:v>
                </c:pt>
                <c:pt idx="172">
                  <c:v>584.79999999999995</c:v>
                </c:pt>
                <c:pt idx="173">
                  <c:v>584.70000000000005</c:v>
                </c:pt>
                <c:pt idx="174">
                  <c:v>584.6</c:v>
                </c:pt>
                <c:pt idx="175">
                  <c:v>584.5</c:v>
                </c:pt>
                <c:pt idx="176">
                  <c:v>584.4</c:v>
                </c:pt>
                <c:pt idx="177">
                  <c:v>584.29999999999995</c:v>
                </c:pt>
                <c:pt idx="178">
                  <c:v>584.20000000000005</c:v>
                </c:pt>
                <c:pt idx="179">
                  <c:v>584.1</c:v>
                </c:pt>
                <c:pt idx="180">
                  <c:v>584</c:v>
                </c:pt>
                <c:pt idx="181">
                  <c:v>583.9</c:v>
                </c:pt>
                <c:pt idx="182">
                  <c:v>583.79999999999995</c:v>
                </c:pt>
                <c:pt idx="183">
                  <c:v>583.70000000000005</c:v>
                </c:pt>
                <c:pt idx="184">
                  <c:v>583.6</c:v>
                </c:pt>
                <c:pt idx="185">
                  <c:v>583.5</c:v>
                </c:pt>
                <c:pt idx="186">
                  <c:v>583.4</c:v>
                </c:pt>
                <c:pt idx="187">
                  <c:v>583.29999999999995</c:v>
                </c:pt>
                <c:pt idx="188">
                  <c:v>583.20000000000005</c:v>
                </c:pt>
                <c:pt idx="189">
                  <c:v>583.1</c:v>
                </c:pt>
                <c:pt idx="190">
                  <c:v>583</c:v>
                </c:pt>
                <c:pt idx="191">
                  <c:v>582.9</c:v>
                </c:pt>
                <c:pt idx="192">
                  <c:v>582.79999999999995</c:v>
                </c:pt>
                <c:pt idx="193">
                  <c:v>582.70000000000005</c:v>
                </c:pt>
                <c:pt idx="194">
                  <c:v>582.6</c:v>
                </c:pt>
                <c:pt idx="195">
                  <c:v>582.5</c:v>
                </c:pt>
                <c:pt idx="196">
                  <c:v>582.4</c:v>
                </c:pt>
                <c:pt idx="197">
                  <c:v>582.29999999999995</c:v>
                </c:pt>
                <c:pt idx="198">
                  <c:v>582.20000000000005</c:v>
                </c:pt>
                <c:pt idx="199">
                  <c:v>582.1</c:v>
                </c:pt>
                <c:pt idx="200">
                  <c:v>582</c:v>
                </c:pt>
                <c:pt idx="201">
                  <c:v>581.9</c:v>
                </c:pt>
                <c:pt idx="202">
                  <c:v>581.79999999999995</c:v>
                </c:pt>
                <c:pt idx="203">
                  <c:v>581.70000000000005</c:v>
                </c:pt>
                <c:pt idx="204">
                  <c:v>581.6</c:v>
                </c:pt>
                <c:pt idx="205">
                  <c:v>581.5</c:v>
                </c:pt>
                <c:pt idx="206">
                  <c:v>581.4</c:v>
                </c:pt>
                <c:pt idx="207">
                  <c:v>581.29999999999995</c:v>
                </c:pt>
                <c:pt idx="208">
                  <c:v>581.20000000000005</c:v>
                </c:pt>
                <c:pt idx="209">
                  <c:v>581.1</c:v>
                </c:pt>
                <c:pt idx="210">
                  <c:v>581</c:v>
                </c:pt>
                <c:pt idx="211">
                  <c:v>580.9</c:v>
                </c:pt>
                <c:pt idx="212">
                  <c:v>580.79999999999995</c:v>
                </c:pt>
                <c:pt idx="213">
                  <c:v>580.70000000000005</c:v>
                </c:pt>
                <c:pt idx="214">
                  <c:v>580.6</c:v>
                </c:pt>
                <c:pt idx="215">
                  <c:v>580.5</c:v>
                </c:pt>
                <c:pt idx="216">
                  <c:v>580.4</c:v>
                </c:pt>
                <c:pt idx="217">
                  <c:v>580.29999999999995</c:v>
                </c:pt>
                <c:pt idx="218">
                  <c:v>580.20000000000005</c:v>
                </c:pt>
                <c:pt idx="219">
                  <c:v>580.1</c:v>
                </c:pt>
                <c:pt idx="220">
                  <c:v>580</c:v>
                </c:pt>
                <c:pt idx="221">
                  <c:v>579.9</c:v>
                </c:pt>
                <c:pt idx="222">
                  <c:v>579.79999999999995</c:v>
                </c:pt>
                <c:pt idx="223">
                  <c:v>579.70000000000005</c:v>
                </c:pt>
                <c:pt idx="224">
                  <c:v>579.6</c:v>
                </c:pt>
                <c:pt idx="225">
                  <c:v>579.5</c:v>
                </c:pt>
                <c:pt idx="226">
                  <c:v>579.4</c:v>
                </c:pt>
                <c:pt idx="227">
                  <c:v>579.29999999999995</c:v>
                </c:pt>
                <c:pt idx="228">
                  <c:v>579.20000000000005</c:v>
                </c:pt>
                <c:pt idx="229">
                  <c:v>579.1</c:v>
                </c:pt>
                <c:pt idx="230">
                  <c:v>579</c:v>
                </c:pt>
                <c:pt idx="231">
                  <c:v>578.9</c:v>
                </c:pt>
                <c:pt idx="232">
                  <c:v>578.79999999999995</c:v>
                </c:pt>
                <c:pt idx="233">
                  <c:v>578.70000000000005</c:v>
                </c:pt>
                <c:pt idx="234">
                  <c:v>578.6</c:v>
                </c:pt>
                <c:pt idx="235">
                  <c:v>578.5</c:v>
                </c:pt>
                <c:pt idx="236">
                  <c:v>578.4</c:v>
                </c:pt>
                <c:pt idx="237">
                  <c:v>578.29999999999995</c:v>
                </c:pt>
                <c:pt idx="238">
                  <c:v>578.20000000000005</c:v>
                </c:pt>
                <c:pt idx="239">
                  <c:v>578.1</c:v>
                </c:pt>
                <c:pt idx="240">
                  <c:v>578</c:v>
                </c:pt>
                <c:pt idx="241">
                  <c:v>577.9</c:v>
                </c:pt>
                <c:pt idx="242">
                  <c:v>577.79999999999995</c:v>
                </c:pt>
                <c:pt idx="243">
                  <c:v>577.70000000000005</c:v>
                </c:pt>
                <c:pt idx="244">
                  <c:v>577.6</c:v>
                </c:pt>
                <c:pt idx="245">
                  <c:v>577.5</c:v>
                </c:pt>
                <c:pt idx="246">
                  <c:v>577.4</c:v>
                </c:pt>
                <c:pt idx="247">
                  <c:v>577.29999999999995</c:v>
                </c:pt>
                <c:pt idx="248">
                  <c:v>577.20000000000005</c:v>
                </c:pt>
                <c:pt idx="249">
                  <c:v>577.1</c:v>
                </c:pt>
                <c:pt idx="250">
                  <c:v>577</c:v>
                </c:pt>
                <c:pt idx="251">
                  <c:v>576.9</c:v>
                </c:pt>
                <c:pt idx="252">
                  <c:v>576.79999999999995</c:v>
                </c:pt>
                <c:pt idx="253">
                  <c:v>576.70000000000005</c:v>
                </c:pt>
                <c:pt idx="254">
                  <c:v>576.6</c:v>
                </c:pt>
                <c:pt idx="255">
                  <c:v>576.5</c:v>
                </c:pt>
                <c:pt idx="256">
                  <c:v>576.4</c:v>
                </c:pt>
                <c:pt idx="257">
                  <c:v>576.29999999999995</c:v>
                </c:pt>
                <c:pt idx="258">
                  <c:v>576.20000000000005</c:v>
                </c:pt>
                <c:pt idx="259">
                  <c:v>576.1</c:v>
                </c:pt>
                <c:pt idx="260">
                  <c:v>576</c:v>
                </c:pt>
                <c:pt idx="261">
                  <c:v>575.9</c:v>
                </c:pt>
                <c:pt idx="262">
                  <c:v>575.79999999999995</c:v>
                </c:pt>
                <c:pt idx="263">
                  <c:v>575.70000000000005</c:v>
                </c:pt>
                <c:pt idx="264">
                  <c:v>575.6</c:v>
                </c:pt>
                <c:pt idx="265">
                  <c:v>575.5</c:v>
                </c:pt>
                <c:pt idx="266">
                  <c:v>575.4</c:v>
                </c:pt>
                <c:pt idx="267">
                  <c:v>575.29999999999995</c:v>
                </c:pt>
                <c:pt idx="268">
                  <c:v>575.20000000000005</c:v>
                </c:pt>
                <c:pt idx="269">
                  <c:v>575.1</c:v>
                </c:pt>
                <c:pt idx="270">
                  <c:v>575</c:v>
                </c:pt>
                <c:pt idx="271">
                  <c:v>574.9</c:v>
                </c:pt>
                <c:pt idx="272">
                  <c:v>574.79999999999995</c:v>
                </c:pt>
                <c:pt idx="273">
                  <c:v>574.70000000000005</c:v>
                </c:pt>
                <c:pt idx="274">
                  <c:v>574.6</c:v>
                </c:pt>
                <c:pt idx="275">
                  <c:v>574.5</c:v>
                </c:pt>
                <c:pt idx="276">
                  <c:v>574.4</c:v>
                </c:pt>
                <c:pt idx="277">
                  <c:v>574.29999999999995</c:v>
                </c:pt>
                <c:pt idx="278">
                  <c:v>574.20000000000005</c:v>
                </c:pt>
                <c:pt idx="279">
                  <c:v>574.1</c:v>
                </c:pt>
                <c:pt idx="280">
                  <c:v>574</c:v>
                </c:pt>
                <c:pt idx="281">
                  <c:v>573.9</c:v>
                </c:pt>
                <c:pt idx="282">
                  <c:v>573.79999999999995</c:v>
                </c:pt>
                <c:pt idx="283">
                  <c:v>573.70000000000005</c:v>
                </c:pt>
                <c:pt idx="284">
                  <c:v>573.6</c:v>
                </c:pt>
                <c:pt idx="285">
                  <c:v>573.5</c:v>
                </c:pt>
                <c:pt idx="286">
                  <c:v>573.4</c:v>
                </c:pt>
                <c:pt idx="287">
                  <c:v>573.29999999999995</c:v>
                </c:pt>
                <c:pt idx="288">
                  <c:v>573.20000000000005</c:v>
                </c:pt>
                <c:pt idx="289">
                  <c:v>573.1</c:v>
                </c:pt>
                <c:pt idx="290">
                  <c:v>573</c:v>
                </c:pt>
                <c:pt idx="291">
                  <c:v>572.9</c:v>
                </c:pt>
                <c:pt idx="292">
                  <c:v>572.79999999999995</c:v>
                </c:pt>
                <c:pt idx="293">
                  <c:v>572.70000000000005</c:v>
                </c:pt>
                <c:pt idx="294">
                  <c:v>572.6</c:v>
                </c:pt>
                <c:pt idx="295">
                  <c:v>572.5</c:v>
                </c:pt>
                <c:pt idx="296">
                  <c:v>572.4</c:v>
                </c:pt>
                <c:pt idx="297">
                  <c:v>572.29999999999995</c:v>
                </c:pt>
                <c:pt idx="298">
                  <c:v>572.20000000000005</c:v>
                </c:pt>
                <c:pt idx="299">
                  <c:v>572.1</c:v>
                </c:pt>
                <c:pt idx="300">
                  <c:v>572</c:v>
                </c:pt>
              </c:numCache>
            </c:numRef>
          </c:cat>
          <c:val>
            <c:numRef>
              <c:f>'Fig 9d'!$G$4:$G$343</c:f>
              <c:numCache>
                <c:formatCode>General</c:formatCode>
                <c:ptCount val="340"/>
                <c:pt idx="0">
                  <c:v>20464.2</c:v>
                </c:pt>
                <c:pt idx="1">
                  <c:v>20433.099999999999</c:v>
                </c:pt>
                <c:pt idx="2">
                  <c:v>20425.099999999999</c:v>
                </c:pt>
                <c:pt idx="3">
                  <c:v>20425.099999999999</c:v>
                </c:pt>
                <c:pt idx="4">
                  <c:v>20424.8</c:v>
                </c:pt>
                <c:pt idx="5">
                  <c:v>20424.2</c:v>
                </c:pt>
                <c:pt idx="6">
                  <c:v>20422</c:v>
                </c:pt>
                <c:pt idx="7">
                  <c:v>20418.8</c:v>
                </c:pt>
                <c:pt idx="8">
                  <c:v>20414.599999999999</c:v>
                </c:pt>
                <c:pt idx="9">
                  <c:v>20411.8</c:v>
                </c:pt>
                <c:pt idx="10">
                  <c:v>20409.7</c:v>
                </c:pt>
                <c:pt idx="11">
                  <c:v>20408.900000000001</c:v>
                </c:pt>
                <c:pt idx="12">
                  <c:v>20408.5</c:v>
                </c:pt>
                <c:pt idx="13">
                  <c:v>20408.400000000001</c:v>
                </c:pt>
                <c:pt idx="14">
                  <c:v>20408.599999999999</c:v>
                </c:pt>
                <c:pt idx="15">
                  <c:v>20408.900000000001</c:v>
                </c:pt>
                <c:pt idx="16">
                  <c:v>20409.2</c:v>
                </c:pt>
                <c:pt idx="17">
                  <c:v>20409.5</c:v>
                </c:pt>
                <c:pt idx="18">
                  <c:v>20409.8</c:v>
                </c:pt>
                <c:pt idx="19">
                  <c:v>20410.099999999999</c:v>
                </c:pt>
                <c:pt idx="20">
                  <c:v>20410.3</c:v>
                </c:pt>
                <c:pt idx="21">
                  <c:v>20410.599999999999</c:v>
                </c:pt>
                <c:pt idx="22">
                  <c:v>20410.900000000001</c:v>
                </c:pt>
                <c:pt idx="23">
                  <c:v>20411.2</c:v>
                </c:pt>
                <c:pt idx="24">
                  <c:v>20411.5</c:v>
                </c:pt>
                <c:pt idx="25">
                  <c:v>20411.8</c:v>
                </c:pt>
                <c:pt idx="26">
                  <c:v>20412.099999999999</c:v>
                </c:pt>
                <c:pt idx="27">
                  <c:v>20412.3</c:v>
                </c:pt>
                <c:pt idx="28">
                  <c:v>20412.599999999999</c:v>
                </c:pt>
                <c:pt idx="29">
                  <c:v>20412.900000000001</c:v>
                </c:pt>
                <c:pt idx="30">
                  <c:v>20413.2</c:v>
                </c:pt>
                <c:pt idx="31">
                  <c:v>20413.5</c:v>
                </c:pt>
                <c:pt idx="32">
                  <c:v>20413.8</c:v>
                </c:pt>
                <c:pt idx="33">
                  <c:v>20414</c:v>
                </c:pt>
                <c:pt idx="34">
                  <c:v>20414.3</c:v>
                </c:pt>
                <c:pt idx="35">
                  <c:v>20414.599999999999</c:v>
                </c:pt>
                <c:pt idx="36">
                  <c:v>20414.900000000001</c:v>
                </c:pt>
                <c:pt idx="37">
                  <c:v>20415.2</c:v>
                </c:pt>
                <c:pt idx="38">
                  <c:v>20415.5</c:v>
                </c:pt>
                <c:pt idx="39">
                  <c:v>20415.7</c:v>
                </c:pt>
                <c:pt idx="40">
                  <c:v>20416</c:v>
                </c:pt>
                <c:pt idx="41">
                  <c:v>20416.3</c:v>
                </c:pt>
                <c:pt idx="42">
                  <c:v>20416.599999999999</c:v>
                </c:pt>
                <c:pt idx="43">
                  <c:v>20416.900000000001</c:v>
                </c:pt>
                <c:pt idx="44">
                  <c:v>20417.2</c:v>
                </c:pt>
                <c:pt idx="45">
                  <c:v>20417.400000000001</c:v>
                </c:pt>
                <c:pt idx="46">
                  <c:v>20417.7</c:v>
                </c:pt>
                <c:pt idx="47">
                  <c:v>20418</c:v>
                </c:pt>
                <c:pt idx="48">
                  <c:v>20418.3</c:v>
                </c:pt>
                <c:pt idx="49">
                  <c:v>20418.599999999999</c:v>
                </c:pt>
                <c:pt idx="50">
                  <c:v>20418.900000000001</c:v>
                </c:pt>
                <c:pt idx="51">
                  <c:v>20419.099999999999</c:v>
                </c:pt>
                <c:pt idx="52">
                  <c:v>20419.400000000001</c:v>
                </c:pt>
                <c:pt idx="53">
                  <c:v>20419.7</c:v>
                </c:pt>
                <c:pt idx="54">
                  <c:v>20420</c:v>
                </c:pt>
                <c:pt idx="55">
                  <c:v>20420.3</c:v>
                </c:pt>
                <c:pt idx="56">
                  <c:v>20420.599999999999</c:v>
                </c:pt>
                <c:pt idx="57">
                  <c:v>20420.8</c:v>
                </c:pt>
                <c:pt idx="58">
                  <c:v>20421.099999999999</c:v>
                </c:pt>
                <c:pt idx="59">
                  <c:v>20421.400000000001</c:v>
                </c:pt>
                <c:pt idx="60">
                  <c:v>20421.7</c:v>
                </c:pt>
                <c:pt idx="61">
                  <c:v>20422</c:v>
                </c:pt>
                <c:pt idx="62">
                  <c:v>20422.3</c:v>
                </c:pt>
                <c:pt idx="63">
                  <c:v>20422.599999999999</c:v>
                </c:pt>
                <c:pt idx="64">
                  <c:v>20422.8</c:v>
                </c:pt>
                <c:pt idx="65">
                  <c:v>20423.099999999999</c:v>
                </c:pt>
                <c:pt idx="66">
                  <c:v>20423.400000000001</c:v>
                </c:pt>
                <c:pt idx="67">
                  <c:v>20423.7</c:v>
                </c:pt>
                <c:pt idx="68">
                  <c:v>20424</c:v>
                </c:pt>
                <c:pt idx="69">
                  <c:v>20424.3</c:v>
                </c:pt>
                <c:pt idx="70">
                  <c:v>20424.5</c:v>
                </c:pt>
                <c:pt idx="71">
                  <c:v>20424.8</c:v>
                </c:pt>
                <c:pt idx="72">
                  <c:v>20425.099999999999</c:v>
                </c:pt>
                <c:pt idx="73">
                  <c:v>20425.400000000001</c:v>
                </c:pt>
                <c:pt idx="74">
                  <c:v>20425.7</c:v>
                </c:pt>
                <c:pt idx="75">
                  <c:v>20426</c:v>
                </c:pt>
                <c:pt idx="76">
                  <c:v>20426.2</c:v>
                </c:pt>
                <c:pt idx="77">
                  <c:v>20426.5</c:v>
                </c:pt>
                <c:pt idx="78">
                  <c:v>20426.8</c:v>
                </c:pt>
                <c:pt idx="79">
                  <c:v>20427.099999999999</c:v>
                </c:pt>
                <c:pt idx="80">
                  <c:v>20427.400000000001</c:v>
                </c:pt>
                <c:pt idx="81">
                  <c:v>20427.7</c:v>
                </c:pt>
                <c:pt idx="82">
                  <c:v>20427.900000000001</c:v>
                </c:pt>
                <c:pt idx="83">
                  <c:v>20428.2</c:v>
                </c:pt>
                <c:pt idx="84">
                  <c:v>20428.5</c:v>
                </c:pt>
                <c:pt idx="85">
                  <c:v>20428.8</c:v>
                </c:pt>
                <c:pt idx="86">
                  <c:v>20429.099999999999</c:v>
                </c:pt>
                <c:pt idx="87">
                  <c:v>20429.400000000001</c:v>
                </c:pt>
                <c:pt idx="88">
                  <c:v>20429.599999999999</c:v>
                </c:pt>
                <c:pt idx="89">
                  <c:v>20429.900000000001</c:v>
                </c:pt>
                <c:pt idx="90">
                  <c:v>20430.2</c:v>
                </c:pt>
                <c:pt idx="91">
                  <c:v>20430.5</c:v>
                </c:pt>
                <c:pt idx="92">
                  <c:v>20430.8</c:v>
                </c:pt>
                <c:pt idx="93">
                  <c:v>20431.099999999999</c:v>
                </c:pt>
                <c:pt idx="94">
                  <c:v>20431.3</c:v>
                </c:pt>
                <c:pt idx="95">
                  <c:v>20431.599999999999</c:v>
                </c:pt>
                <c:pt idx="96">
                  <c:v>20431.900000000001</c:v>
                </c:pt>
                <c:pt idx="97">
                  <c:v>20432.2</c:v>
                </c:pt>
                <c:pt idx="98">
                  <c:v>20432.5</c:v>
                </c:pt>
                <c:pt idx="99">
                  <c:v>20432.8</c:v>
                </c:pt>
                <c:pt idx="100">
                  <c:v>20433.099999999999</c:v>
                </c:pt>
                <c:pt idx="101">
                  <c:v>20433.3</c:v>
                </c:pt>
                <c:pt idx="102">
                  <c:v>20433.599999999999</c:v>
                </c:pt>
                <c:pt idx="103">
                  <c:v>20433.900000000001</c:v>
                </c:pt>
                <c:pt idx="104">
                  <c:v>20434.2</c:v>
                </c:pt>
                <c:pt idx="105">
                  <c:v>20434.5</c:v>
                </c:pt>
                <c:pt idx="106">
                  <c:v>20434.8</c:v>
                </c:pt>
                <c:pt idx="107">
                  <c:v>20435</c:v>
                </c:pt>
                <c:pt idx="108">
                  <c:v>20435.3</c:v>
                </c:pt>
                <c:pt idx="109">
                  <c:v>20435.599999999999</c:v>
                </c:pt>
                <c:pt idx="110">
                  <c:v>20435.900000000001</c:v>
                </c:pt>
                <c:pt idx="111">
                  <c:v>20436.2</c:v>
                </c:pt>
                <c:pt idx="112">
                  <c:v>20436.5</c:v>
                </c:pt>
                <c:pt idx="113">
                  <c:v>20436.7</c:v>
                </c:pt>
                <c:pt idx="114">
                  <c:v>20437</c:v>
                </c:pt>
                <c:pt idx="115">
                  <c:v>20437.3</c:v>
                </c:pt>
                <c:pt idx="116">
                  <c:v>20437.599999999999</c:v>
                </c:pt>
                <c:pt idx="117">
                  <c:v>20437.900000000001</c:v>
                </c:pt>
                <c:pt idx="118">
                  <c:v>20438.2</c:v>
                </c:pt>
                <c:pt idx="119">
                  <c:v>20438.400000000001</c:v>
                </c:pt>
                <c:pt idx="120">
                  <c:v>20438.7</c:v>
                </c:pt>
                <c:pt idx="121">
                  <c:v>20439</c:v>
                </c:pt>
                <c:pt idx="122">
                  <c:v>20439.3</c:v>
                </c:pt>
                <c:pt idx="123">
                  <c:v>20439.599999999999</c:v>
                </c:pt>
                <c:pt idx="124">
                  <c:v>20439.900000000001</c:v>
                </c:pt>
                <c:pt idx="125">
                  <c:v>20440.099999999999</c:v>
                </c:pt>
                <c:pt idx="126">
                  <c:v>20440.400000000001</c:v>
                </c:pt>
                <c:pt idx="127">
                  <c:v>20440.7</c:v>
                </c:pt>
                <c:pt idx="128">
                  <c:v>20441</c:v>
                </c:pt>
                <c:pt idx="129">
                  <c:v>20441.3</c:v>
                </c:pt>
                <c:pt idx="130">
                  <c:v>20441.599999999999</c:v>
                </c:pt>
                <c:pt idx="131">
                  <c:v>20441.8</c:v>
                </c:pt>
                <c:pt idx="132">
                  <c:v>20442.099999999999</c:v>
                </c:pt>
                <c:pt idx="133">
                  <c:v>20442.400000000001</c:v>
                </c:pt>
                <c:pt idx="134">
                  <c:v>20442.7</c:v>
                </c:pt>
                <c:pt idx="135">
                  <c:v>20443</c:v>
                </c:pt>
                <c:pt idx="136">
                  <c:v>20443.3</c:v>
                </c:pt>
                <c:pt idx="137">
                  <c:v>20443.5</c:v>
                </c:pt>
                <c:pt idx="138">
                  <c:v>20443.8</c:v>
                </c:pt>
                <c:pt idx="139">
                  <c:v>20444.099999999999</c:v>
                </c:pt>
                <c:pt idx="140">
                  <c:v>20444.400000000001</c:v>
                </c:pt>
                <c:pt idx="141">
                  <c:v>20444.7</c:v>
                </c:pt>
                <c:pt idx="142">
                  <c:v>20445</c:v>
                </c:pt>
                <c:pt idx="143">
                  <c:v>20445.3</c:v>
                </c:pt>
                <c:pt idx="144">
                  <c:v>20445.5</c:v>
                </c:pt>
                <c:pt idx="145">
                  <c:v>20445.8</c:v>
                </c:pt>
                <c:pt idx="146">
                  <c:v>20446.099999999999</c:v>
                </c:pt>
                <c:pt idx="147">
                  <c:v>20446.400000000001</c:v>
                </c:pt>
                <c:pt idx="148">
                  <c:v>20446.7</c:v>
                </c:pt>
                <c:pt idx="149">
                  <c:v>20447</c:v>
                </c:pt>
                <c:pt idx="150">
                  <c:v>20447.2</c:v>
                </c:pt>
                <c:pt idx="151">
                  <c:v>20447.5</c:v>
                </c:pt>
                <c:pt idx="152">
                  <c:v>20447.8</c:v>
                </c:pt>
                <c:pt idx="153">
                  <c:v>20448.099999999999</c:v>
                </c:pt>
                <c:pt idx="154">
                  <c:v>20448.400000000001</c:v>
                </c:pt>
                <c:pt idx="155">
                  <c:v>20448.7</c:v>
                </c:pt>
                <c:pt idx="156">
                  <c:v>20448.900000000001</c:v>
                </c:pt>
                <c:pt idx="157">
                  <c:v>20449.2</c:v>
                </c:pt>
                <c:pt idx="158">
                  <c:v>20449.5</c:v>
                </c:pt>
                <c:pt idx="159">
                  <c:v>20449.8</c:v>
                </c:pt>
                <c:pt idx="160">
                  <c:v>20450.099999999999</c:v>
                </c:pt>
                <c:pt idx="161">
                  <c:v>20450.400000000001</c:v>
                </c:pt>
                <c:pt idx="162">
                  <c:v>20450.599999999999</c:v>
                </c:pt>
                <c:pt idx="163">
                  <c:v>20450.900000000001</c:v>
                </c:pt>
                <c:pt idx="164">
                  <c:v>20451.2</c:v>
                </c:pt>
                <c:pt idx="165">
                  <c:v>20451.5</c:v>
                </c:pt>
                <c:pt idx="166">
                  <c:v>20451.8</c:v>
                </c:pt>
                <c:pt idx="167">
                  <c:v>20452.099999999999</c:v>
                </c:pt>
                <c:pt idx="168">
                  <c:v>20452.3</c:v>
                </c:pt>
                <c:pt idx="169">
                  <c:v>20452.599999999999</c:v>
                </c:pt>
                <c:pt idx="170">
                  <c:v>20452.900000000001</c:v>
                </c:pt>
                <c:pt idx="171">
                  <c:v>20453.2</c:v>
                </c:pt>
                <c:pt idx="172">
                  <c:v>20453.5</c:v>
                </c:pt>
                <c:pt idx="173">
                  <c:v>20453.8</c:v>
                </c:pt>
                <c:pt idx="174">
                  <c:v>20454</c:v>
                </c:pt>
                <c:pt idx="175">
                  <c:v>20454.3</c:v>
                </c:pt>
                <c:pt idx="176">
                  <c:v>20454.599999999999</c:v>
                </c:pt>
                <c:pt idx="177">
                  <c:v>20454.900000000001</c:v>
                </c:pt>
                <c:pt idx="178">
                  <c:v>20455.2</c:v>
                </c:pt>
                <c:pt idx="179">
                  <c:v>20455.5</c:v>
                </c:pt>
                <c:pt idx="180">
                  <c:v>20455.8</c:v>
                </c:pt>
                <c:pt idx="181">
                  <c:v>20456</c:v>
                </c:pt>
                <c:pt idx="182">
                  <c:v>20456.3</c:v>
                </c:pt>
                <c:pt idx="183">
                  <c:v>20456.599999999999</c:v>
                </c:pt>
                <c:pt idx="184">
                  <c:v>20456.900000000001</c:v>
                </c:pt>
                <c:pt idx="185">
                  <c:v>20457.2</c:v>
                </c:pt>
                <c:pt idx="186">
                  <c:v>20457.5</c:v>
                </c:pt>
                <c:pt idx="187">
                  <c:v>20457.7</c:v>
                </c:pt>
                <c:pt idx="188">
                  <c:v>20458</c:v>
                </c:pt>
                <c:pt idx="189">
                  <c:v>20458.3</c:v>
                </c:pt>
                <c:pt idx="190">
                  <c:v>20458.599999999999</c:v>
                </c:pt>
                <c:pt idx="191">
                  <c:v>20458.900000000001</c:v>
                </c:pt>
                <c:pt idx="192">
                  <c:v>20459.2</c:v>
                </c:pt>
                <c:pt idx="193">
                  <c:v>20459.400000000001</c:v>
                </c:pt>
                <c:pt idx="194">
                  <c:v>20459.7</c:v>
                </c:pt>
                <c:pt idx="195">
                  <c:v>20460</c:v>
                </c:pt>
                <c:pt idx="196">
                  <c:v>20460.3</c:v>
                </c:pt>
                <c:pt idx="197">
                  <c:v>20460.599999999999</c:v>
                </c:pt>
                <c:pt idx="198">
                  <c:v>20460.900000000001</c:v>
                </c:pt>
                <c:pt idx="199">
                  <c:v>20461.099999999999</c:v>
                </c:pt>
                <c:pt idx="200">
                  <c:v>20461.400000000001</c:v>
                </c:pt>
                <c:pt idx="201">
                  <c:v>20461.7</c:v>
                </c:pt>
                <c:pt idx="202">
                  <c:v>20462</c:v>
                </c:pt>
                <c:pt idx="203">
                  <c:v>20462.3</c:v>
                </c:pt>
                <c:pt idx="204">
                  <c:v>20462.599999999999</c:v>
                </c:pt>
                <c:pt idx="205">
                  <c:v>20462.8</c:v>
                </c:pt>
                <c:pt idx="206">
                  <c:v>20463.099999999999</c:v>
                </c:pt>
                <c:pt idx="207">
                  <c:v>20463.400000000001</c:v>
                </c:pt>
                <c:pt idx="208">
                  <c:v>20463.7</c:v>
                </c:pt>
                <c:pt idx="209">
                  <c:v>20464</c:v>
                </c:pt>
                <c:pt idx="210">
                  <c:v>20464.3</c:v>
                </c:pt>
                <c:pt idx="211">
                  <c:v>20464.5</c:v>
                </c:pt>
                <c:pt idx="212">
                  <c:v>20464.8</c:v>
                </c:pt>
                <c:pt idx="213">
                  <c:v>20465.099999999999</c:v>
                </c:pt>
                <c:pt idx="214">
                  <c:v>20465.400000000001</c:v>
                </c:pt>
                <c:pt idx="215">
                  <c:v>20465.7</c:v>
                </c:pt>
                <c:pt idx="216">
                  <c:v>20466</c:v>
                </c:pt>
                <c:pt idx="217">
                  <c:v>20466.3</c:v>
                </c:pt>
                <c:pt idx="218">
                  <c:v>20466.5</c:v>
                </c:pt>
                <c:pt idx="219">
                  <c:v>20466.8</c:v>
                </c:pt>
                <c:pt idx="220">
                  <c:v>20467.099999999999</c:v>
                </c:pt>
                <c:pt idx="221">
                  <c:v>20467.400000000001</c:v>
                </c:pt>
                <c:pt idx="222">
                  <c:v>20467.7</c:v>
                </c:pt>
                <c:pt idx="223">
                  <c:v>20468</c:v>
                </c:pt>
                <c:pt idx="224">
                  <c:v>20468.2</c:v>
                </c:pt>
                <c:pt idx="225">
                  <c:v>20468.5</c:v>
                </c:pt>
                <c:pt idx="226">
                  <c:v>20468.8</c:v>
                </c:pt>
                <c:pt idx="227">
                  <c:v>20469.099999999999</c:v>
                </c:pt>
                <c:pt idx="228">
                  <c:v>20469.400000000001</c:v>
                </c:pt>
                <c:pt idx="229">
                  <c:v>20469.7</c:v>
                </c:pt>
                <c:pt idx="230">
                  <c:v>20469.900000000001</c:v>
                </c:pt>
                <c:pt idx="231">
                  <c:v>20470.2</c:v>
                </c:pt>
                <c:pt idx="232">
                  <c:v>20470.5</c:v>
                </c:pt>
                <c:pt idx="233">
                  <c:v>20470.8</c:v>
                </c:pt>
                <c:pt idx="234">
                  <c:v>20471.099999999999</c:v>
                </c:pt>
                <c:pt idx="235">
                  <c:v>20471.400000000001</c:v>
                </c:pt>
                <c:pt idx="236">
                  <c:v>20471.599999999999</c:v>
                </c:pt>
                <c:pt idx="237">
                  <c:v>20471.900000000001</c:v>
                </c:pt>
                <c:pt idx="238">
                  <c:v>20472.2</c:v>
                </c:pt>
                <c:pt idx="239">
                  <c:v>20472.5</c:v>
                </c:pt>
                <c:pt idx="240">
                  <c:v>20472.8</c:v>
                </c:pt>
                <c:pt idx="241">
                  <c:v>20473.099999999999</c:v>
                </c:pt>
                <c:pt idx="242">
                  <c:v>20473.3</c:v>
                </c:pt>
                <c:pt idx="243">
                  <c:v>20473.599999999999</c:v>
                </c:pt>
                <c:pt idx="244">
                  <c:v>20473.900000000001</c:v>
                </c:pt>
                <c:pt idx="245">
                  <c:v>20474.2</c:v>
                </c:pt>
                <c:pt idx="246">
                  <c:v>20474.5</c:v>
                </c:pt>
                <c:pt idx="247">
                  <c:v>20474.8</c:v>
                </c:pt>
                <c:pt idx="248">
                  <c:v>20475</c:v>
                </c:pt>
                <c:pt idx="249">
                  <c:v>20475.3</c:v>
                </c:pt>
                <c:pt idx="250">
                  <c:v>20475.599999999999</c:v>
                </c:pt>
                <c:pt idx="251">
                  <c:v>20475.900000000001</c:v>
                </c:pt>
                <c:pt idx="252">
                  <c:v>20476.2</c:v>
                </c:pt>
                <c:pt idx="253">
                  <c:v>20476.5</c:v>
                </c:pt>
                <c:pt idx="254">
                  <c:v>20476.7</c:v>
                </c:pt>
                <c:pt idx="255">
                  <c:v>20477</c:v>
                </c:pt>
                <c:pt idx="256">
                  <c:v>20477.3</c:v>
                </c:pt>
                <c:pt idx="257">
                  <c:v>20477.599999999999</c:v>
                </c:pt>
                <c:pt idx="258">
                  <c:v>20477.900000000001</c:v>
                </c:pt>
                <c:pt idx="259">
                  <c:v>20478.2</c:v>
                </c:pt>
                <c:pt idx="260">
                  <c:v>20478.5</c:v>
                </c:pt>
                <c:pt idx="261">
                  <c:v>20478.7</c:v>
                </c:pt>
                <c:pt idx="262">
                  <c:v>20479</c:v>
                </c:pt>
                <c:pt idx="263">
                  <c:v>20479.3</c:v>
                </c:pt>
                <c:pt idx="264">
                  <c:v>20479.599999999999</c:v>
                </c:pt>
                <c:pt idx="265">
                  <c:v>20479.900000000001</c:v>
                </c:pt>
                <c:pt idx="266">
                  <c:v>20480.2</c:v>
                </c:pt>
                <c:pt idx="267">
                  <c:v>20480.400000000001</c:v>
                </c:pt>
                <c:pt idx="268">
                  <c:v>20480.7</c:v>
                </c:pt>
                <c:pt idx="269">
                  <c:v>20481</c:v>
                </c:pt>
                <c:pt idx="270">
                  <c:v>20481.3</c:v>
                </c:pt>
                <c:pt idx="271">
                  <c:v>20481.599999999999</c:v>
                </c:pt>
                <c:pt idx="272">
                  <c:v>20481.900000000001</c:v>
                </c:pt>
                <c:pt idx="273">
                  <c:v>20482.099999999999</c:v>
                </c:pt>
                <c:pt idx="274">
                  <c:v>20482.400000000001</c:v>
                </c:pt>
                <c:pt idx="275">
                  <c:v>20482.7</c:v>
                </c:pt>
                <c:pt idx="276">
                  <c:v>20483</c:v>
                </c:pt>
                <c:pt idx="277">
                  <c:v>20483.3</c:v>
                </c:pt>
                <c:pt idx="278">
                  <c:v>20483.599999999999</c:v>
                </c:pt>
                <c:pt idx="279">
                  <c:v>20483.8</c:v>
                </c:pt>
                <c:pt idx="280">
                  <c:v>20484.099999999999</c:v>
                </c:pt>
                <c:pt idx="281">
                  <c:v>20484.400000000001</c:v>
                </c:pt>
                <c:pt idx="282">
                  <c:v>20484.7</c:v>
                </c:pt>
                <c:pt idx="283">
                  <c:v>20485</c:v>
                </c:pt>
                <c:pt idx="284">
                  <c:v>20485.3</c:v>
                </c:pt>
                <c:pt idx="285">
                  <c:v>20485.5</c:v>
                </c:pt>
                <c:pt idx="286">
                  <c:v>20485.8</c:v>
                </c:pt>
                <c:pt idx="287">
                  <c:v>20486.099999999999</c:v>
                </c:pt>
                <c:pt idx="288">
                  <c:v>20486.400000000001</c:v>
                </c:pt>
                <c:pt idx="289">
                  <c:v>20486.7</c:v>
                </c:pt>
                <c:pt idx="290">
                  <c:v>20487</c:v>
                </c:pt>
                <c:pt idx="291">
                  <c:v>20487.2</c:v>
                </c:pt>
                <c:pt idx="292">
                  <c:v>20487.5</c:v>
                </c:pt>
                <c:pt idx="293">
                  <c:v>20487.8</c:v>
                </c:pt>
                <c:pt idx="294">
                  <c:v>20488.099999999999</c:v>
                </c:pt>
                <c:pt idx="295">
                  <c:v>20488.400000000001</c:v>
                </c:pt>
                <c:pt idx="296">
                  <c:v>20488.7</c:v>
                </c:pt>
                <c:pt idx="297">
                  <c:v>20489</c:v>
                </c:pt>
                <c:pt idx="298">
                  <c:v>20489.2</c:v>
                </c:pt>
                <c:pt idx="299">
                  <c:v>20489.5</c:v>
                </c:pt>
                <c:pt idx="300">
                  <c:v>20489.8</c:v>
                </c:pt>
                <c:pt idx="301">
                  <c:v>20490.099999999999</c:v>
                </c:pt>
                <c:pt idx="302">
                  <c:v>20490.400000000001</c:v>
                </c:pt>
                <c:pt idx="303">
                  <c:v>20490.7</c:v>
                </c:pt>
                <c:pt idx="304">
                  <c:v>20490.900000000001</c:v>
                </c:pt>
                <c:pt idx="305">
                  <c:v>20491.2</c:v>
                </c:pt>
                <c:pt idx="306">
                  <c:v>20491.5</c:v>
                </c:pt>
                <c:pt idx="307">
                  <c:v>20491.8</c:v>
                </c:pt>
                <c:pt idx="308">
                  <c:v>20492.099999999999</c:v>
                </c:pt>
                <c:pt idx="309">
                  <c:v>20492.400000000001</c:v>
                </c:pt>
                <c:pt idx="310">
                  <c:v>20492.599999999999</c:v>
                </c:pt>
                <c:pt idx="311">
                  <c:v>20492.900000000001</c:v>
                </c:pt>
                <c:pt idx="312">
                  <c:v>20493.2</c:v>
                </c:pt>
                <c:pt idx="313">
                  <c:v>20493.5</c:v>
                </c:pt>
                <c:pt idx="314">
                  <c:v>20493.8</c:v>
                </c:pt>
                <c:pt idx="315">
                  <c:v>20494.099999999999</c:v>
                </c:pt>
                <c:pt idx="316">
                  <c:v>20494.3</c:v>
                </c:pt>
                <c:pt idx="317">
                  <c:v>20494.599999999999</c:v>
                </c:pt>
                <c:pt idx="318">
                  <c:v>20494.900000000001</c:v>
                </c:pt>
                <c:pt idx="319">
                  <c:v>20495.2</c:v>
                </c:pt>
                <c:pt idx="320">
                  <c:v>20495.5</c:v>
                </c:pt>
                <c:pt idx="321">
                  <c:v>20495.8</c:v>
                </c:pt>
                <c:pt idx="322">
                  <c:v>20496</c:v>
                </c:pt>
                <c:pt idx="323">
                  <c:v>20497</c:v>
                </c:pt>
                <c:pt idx="324">
                  <c:v>20498</c:v>
                </c:pt>
                <c:pt idx="325">
                  <c:v>20498.900000000001</c:v>
                </c:pt>
                <c:pt idx="326">
                  <c:v>20499.900000000001</c:v>
                </c:pt>
                <c:pt idx="327">
                  <c:v>20500.900000000001</c:v>
                </c:pt>
                <c:pt idx="328">
                  <c:v>20501.8</c:v>
                </c:pt>
                <c:pt idx="329">
                  <c:v>20502.8</c:v>
                </c:pt>
                <c:pt idx="330">
                  <c:v>20503.7</c:v>
                </c:pt>
                <c:pt idx="331">
                  <c:v>20504.7</c:v>
                </c:pt>
                <c:pt idx="332">
                  <c:v>20505.7</c:v>
                </c:pt>
                <c:pt idx="333">
                  <c:v>20506.599999999999</c:v>
                </c:pt>
                <c:pt idx="334">
                  <c:v>20514.2</c:v>
                </c:pt>
                <c:pt idx="335">
                  <c:v>20521.8</c:v>
                </c:pt>
                <c:pt idx="336">
                  <c:v>20529.5</c:v>
                </c:pt>
                <c:pt idx="337">
                  <c:v>20537.099999999999</c:v>
                </c:pt>
                <c:pt idx="338">
                  <c:v>20544.7</c:v>
                </c:pt>
                <c:pt idx="339">
                  <c:v>20552.3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7C-124D-A75B-3EAFC9530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7439"/>
        <c:axId val="1810940767"/>
      </c:areaChart>
      <c:lineChart>
        <c:grouping val="standard"/>
        <c:varyColors val="0"/>
        <c:ser>
          <c:idx val="5"/>
          <c:order val="3"/>
          <c:tx>
            <c:strRef>
              <c:f>'Fig 9d'!$C$3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 9d'!$C$4:$C$343</c:f>
              <c:numCache>
                <c:formatCode>General</c:formatCode>
                <c:ptCount val="340"/>
                <c:pt idx="0">
                  <c:v>20625.5</c:v>
                </c:pt>
                <c:pt idx="1">
                  <c:v>20438.599999999999</c:v>
                </c:pt>
                <c:pt idx="2">
                  <c:v>20410.2</c:v>
                </c:pt>
                <c:pt idx="3">
                  <c:v>20308.3</c:v>
                </c:pt>
                <c:pt idx="4">
                  <c:v>20343.099999999999</c:v>
                </c:pt>
                <c:pt idx="5">
                  <c:v>20677</c:v>
                </c:pt>
                <c:pt idx="6">
                  <c:v>20491.2</c:v>
                </c:pt>
                <c:pt idx="7">
                  <c:v>20691.400000000001</c:v>
                </c:pt>
                <c:pt idx="8">
                  <c:v>20460.900000000001</c:v>
                </c:pt>
                <c:pt idx="9">
                  <c:v>20534.7</c:v>
                </c:pt>
                <c:pt idx="10">
                  <c:v>20389.7</c:v>
                </c:pt>
                <c:pt idx="11">
                  <c:v>20353.8</c:v>
                </c:pt>
                <c:pt idx="12">
                  <c:v>20460</c:v>
                </c:pt>
                <c:pt idx="13">
                  <c:v>20383.8</c:v>
                </c:pt>
                <c:pt idx="14">
                  <c:v>20472.2</c:v>
                </c:pt>
                <c:pt idx="15">
                  <c:v>20372</c:v>
                </c:pt>
                <c:pt idx="16">
                  <c:v>20593.099999999999</c:v>
                </c:pt>
                <c:pt idx="17">
                  <c:v>20312.099999999999</c:v>
                </c:pt>
                <c:pt idx="18">
                  <c:v>20669.900000000001</c:v>
                </c:pt>
                <c:pt idx="19">
                  <c:v>20618.8</c:v>
                </c:pt>
                <c:pt idx="20">
                  <c:v>20744.8</c:v>
                </c:pt>
                <c:pt idx="21">
                  <c:v>20505.5</c:v>
                </c:pt>
                <c:pt idx="22">
                  <c:v>20640.599999999999</c:v>
                </c:pt>
                <c:pt idx="23">
                  <c:v>20430.5</c:v>
                </c:pt>
                <c:pt idx="24">
                  <c:v>20341.400000000001</c:v>
                </c:pt>
                <c:pt idx="25">
                  <c:v>20521.900000000001</c:v>
                </c:pt>
                <c:pt idx="26">
                  <c:v>20625.900000000001</c:v>
                </c:pt>
                <c:pt idx="27">
                  <c:v>20348.2</c:v>
                </c:pt>
                <c:pt idx="28">
                  <c:v>20416</c:v>
                </c:pt>
                <c:pt idx="29">
                  <c:v>20535.3</c:v>
                </c:pt>
                <c:pt idx="30">
                  <c:v>20629.599999999999</c:v>
                </c:pt>
                <c:pt idx="31">
                  <c:v>20527.8</c:v>
                </c:pt>
                <c:pt idx="32">
                  <c:v>20505.8</c:v>
                </c:pt>
                <c:pt idx="33">
                  <c:v>20498</c:v>
                </c:pt>
                <c:pt idx="34">
                  <c:v>20483.900000000001</c:v>
                </c:pt>
                <c:pt idx="35">
                  <c:v>20605.3</c:v>
                </c:pt>
                <c:pt idx="36">
                  <c:v>20541.2</c:v>
                </c:pt>
                <c:pt idx="37">
                  <c:v>20405.400000000001</c:v>
                </c:pt>
                <c:pt idx="38">
                  <c:v>20553</c:v>
                </c:pt>
                <c:pt idx="39">
                  <c:v>20479.400000000001</c:v>
                </c:pt>
                <c:pt idx="40">
                  <c:v>20602.2</c:v>
                </c:pt>
                <c:pt idx="41">
                  <c:v>20833.3</c:v>
                </c:pt>
                <c:pt idx="42">
                  <c:v>20526.2</c:v>
                </c:pt>
                <c:pt idx="43">
                  <c:v>20521.3</c:v>
                </c:pt>
                <c:pt idx="44">
                  <c:v>20561.8</c:v>
                </c:pt>
                <c:pt idx="45">
                  <c:v>20794</c:v>
                </c:pt>
                <c:pt idx="46">
                  <c:v>20517.5</c:v>
                </c:pt>
                <c:pt idx="47">
                  <c:v>20579.3</c:v>
                </c:pt>
                <c:pt idx="48">
                  <c:v>20374.2</c:v>
                </c:pt>
                <c:pt idx="49">
                  <c:v>20326.400000000001</c:v>
                </c:pt>
                <c:pt idx="50">
                  <c:v>20532.900000000001</c:v>
                </c:pt>
                <c:pt idx="51">
                  <c:v>20499.099999999999</c:v>
                </c:pt>
                <c:pt idx="52">
                  <c:v>20555.599999999999</c:v>
                </c:pt>
                <c:pt idx="53">
                  <c:v>20476.3</c:v>
                </c:pt>
                <c:pt idx="54">
                  <c:v>20699.400000000001</c:v>
                </c:pt>
                <c:pt idx="55">
                  <c:v>20525.3</c:v>
                </c:pt>
                <c:pt idx="56">
                  <c:v>20409.900000000001</c:v>
                </c:pt>
                <c:pt idx="57">
                  <c:v>20630.7</c:v>
                </c:pt>
                <c:pt idx="58">
                  <c:v>20536.8</c:v>
                </c:pt>
                <c:pt idx="59">
                  <c:v>20497.3</c:v>
                </c:pt>
                <c:pt idx="60">
                  <c:v>20504.900000000001</c:v>
                </c:pt>
                <c:pt idx="61">
                  <c:v>20514.8</c:v>
                </c:pt>
                <c:pt idx="62">
                  <c:v>20608.599999999999</c:v>
                </c:pt>
                <c:pt idx="63">
                  <c:v>20635.400000000001</c:v>
                </c:pt>
                <c:pt idx="64">
                  <c:v>20796</c:v>
                </c:pt>
                <c:pt idx="65">
                  <c:v>20643.400000000001</c:v>
                </c:pt>
                <c:pt idx="66">
                  <c:v>20695.7</c:v>
                </c:pt>
                <c:pt idx="67">
                  <c:v>20513.900000000001</c:v>
                </c:pt>
                <c:pt idx="68">
                  <c:v>20568.7</c:v>
                </c:pt>
                <c:pt idx="69">
                  <c:v>20619.900000000001</c:v>
                </c:pt>
                <c:pt idx="70">
                  <c:v>20809.5</c:v>
                </c:pt>
                <c:pt idx="71">
                  <c:v>20717.599999999999</c:v>
                </c:pt>
                <c:pt idx="72">
                  <c:v>20518.599999999999</c:v>
                </c:pt>
                <c:pt idx="73">
                  <c:v>20548.3</c:v>
                </c:pt>
                <c:pt idx="74">
                  <c:v>20746</c:v>
                </c:pt>
                <c:pt idx="75">
                  <c:v>20736.2</c:v>
                </c:pt>
                <c:pt idx="76">
                  <c:v>20798.599999999999</c:v>
                </c:pt>
                <c:pt idx="77">
                  <c:v>20594.400000000001</c:v>
                </c:pt>
                <c:pt idx="78">
                  <c:v>20423.8</c:v>
                </c:pt>
                <c:pt idx="79">
                  <c:v>20716.2</c:v>
                </c:pt>
                <c:pt idx="80">
                  <c:v>20612.400000000001</c:v>
                </c:pt>
                <c:pt idx="81">
                  <c:v>20501.900000000001</c:v>
                </c:pt>
                <c:pt idx="82">
                  <c:v>20719.3</c:v>
                </c:pt>
                <c:pt idx="83">
                  <c:v>20922.2</c:v>
                </c:pt>
                <c:pt idx="84">
                  <c:v>20745.7</c:v>
                </c:pt>
                <c:pt idx="85">
                  <c:v>20764.3</c:v>
                </c:pt>
                <c:pt idx="86">
                  <c:v>20605.2</c:v>
                </c:pt>
                <c:pt idx="87">
                  <c:v>20776</c:v>
                </c:pt>
                <c:pt idx="88">
                  <c:v>20638.099999999999</c:v>
                </c:pt>
                <c:pt idx="89">
                  <c:v>20753.400000000001</c:v>
                </c:pt>
                <c:pt idx="90">
                  <c:v>20811.2</c:v>
                </c:pt>
                <c:pt idx="91">
                  <c:v>20944.099999999999</c:v>
                </c:pt>
                <c:pt idx="92">
                  <c:v>20799.5</c:v>
                </c:pt>
                <c:pt idx="93">
                  <c:v>20784.5</c:v>
                </c:pt>
                <c:pt idx="94">
                  <c:v>20817.8</c:v>
                </c:pt>
                <c:pt idx="95">
                  <c:v>20967.7</c:v>
                </c:pt>
                <c:pt idx="96">
                  <c:v>20625.900000000001</c:v>
                </c:pt>
                <c:pt idx="97">
                  <c:v>20717.8</c:v>
                </c:pt>
                <c:pt idx="98">
                  <c:v>20638.099999999999</c:v>
                </c:pt>
                <c:pt idx="99">
                  <c:v>20653.7</c:v>
                </c:pt>
                <c:pt idx="100">
                  <c:v>20619.2</c:v>
                </c:pt>
                <c:pt idx="101">
                  <c:v>21103.8</c:v>
                </c:pt>
                <c:pt idx="102">
                  <c:v>21078.9</c:v>
                </c:pt>
                <c:pt idx="103">
                  <c:v>20901</c:v>
                </c:pt>
                <c:pt idx="104">
                  <c:v>20827.900000000001</c:v>
                </c:pt>
                <c:pt idx="105">
                  <c:v>20766.900000000001</c:v>
                </c:pt>
                <c:pt idx="106">
                  <c:v>20922.599999999999</c:v>
                </c:pt>
                <c:pt idx="107">
                  <c:v>20977.3</c:v>
                </c:pt>
                <c:pt idx="108">
                  <c:v>20871.2</c:v>
                </c:pt>
                <c:pt idx="109">
                  <c:v>20742.3</c:v>
                </c:pt>
                <c:pt idx="110">
                  <c:v>20981.200000000001</c:v>
                </c:pt>
                <c:pt idx="111">
                  <c:v>20768.3</c:v>
                </c:pt>
                <c:pt idx="112">
                  <c:v>21050.799999999999</c:v>
                </c:pt>
                <c:pt idx="113">
                  <c:v>21024</c:v>
                </c:pt>
                <c:pt idx="114">
                  <c:v>20950.2</c:v>
                </c:pt>
                <c:pt idx="115">
                  <c:v>20944.7</c:v>
                </c:pt>
                <c:pt idx="116">
                  <c:v>20992.7</c:v>
                </c:pt>
                <c:pt idx="117">
                  <c:v>20868.900000000001</c:v>
                </c:pt>
                <c:pt idx="118">
                  <c:v>21031.5</c:v>
                </c:pt>
                <c:pt idx="119">
                  <c:v>20804.7</c:v>
                </c:pt>
                <c:pt idx="120">
                  <c:v>20857.599999999999</c:v>
                </c:pt>
                <c:pt idx="121">
                  <c:v>20801.900000000001</c:v>
                </c:pt>
                <c:pt idx="122">
                  <c:v>21055.5</c:v>
                </c:pt>
                <c:pt idx="123">
                  <c:v>20896.3</c:v>
                </c:pt>
                <c:pt idx="124">
                  <c:v>21015.1</c:v>
                </c:pt>
                <c:pt idx="125">
                  <c:v>21122.5</c:v>
                </c:pt>
                <c:pt idx="126">
                  <c:v>21198.6</c:v>
                </c:pt>
                <c:pt idx="127">
                  <c:v>21127.5</c:v>
                </c:pt>
                <c:pt idx="128">
                  <c:v>21085.1</c:v>
                </c:pt>
                <c:pt idx="129">
                  <c:v>21083.200000000001</c:v>
                </c:pt>
                <c:pt idx="130">
                  <c:v>21003.9</c:v>
                </c:pt>
                <c:pt idx="131">
                  <c:v>21008.6</c:v>
                </c:pt>
                <c:pt idx="132">
                  <c:v>21053.3</c:v>
                </c:pt>
                <c:pt idx="133">
                  <c:v>20890</c:v>
                </c:pt>
                <c:pt idx="134">
                  <c:v>21011</c:v>
                </c:pt>
                <c:pt idx="135">
                  <c:v>20858.3</c:v>
                </c:pt>
                <c:pt idx="136">
                  <c:v>20884.8</c:v>
                </c:pt>
                <c:pt idx="137">
                  <c:v>21005.8</c:v>
                </c:pt>
                <c:pt idx="138">
                  <c:v>21264.1</c:v>
                </c:pt>
                <c:pt idx="139">
                  <c:v>20935.3</c:v>
                </c:pt>
                <c:pt idx="140">
                  <c:v>20918.599999999999</c:v>
                </c:pt>
                <c:pt idx="141">
                  <c:v>21148.799999999999</c:v>
                </c:pt>
                <c:pt idx="142">
                  <c:v>20995.3</c:v>
                </c:pt>
                <c:pt idx="143">
                  <c:v>20765.400000000001</c:v>
                </c:pt>
                <c:pt idx="144">
                  <c:v>20995.4</c:v>
                </c:pt>
                <c:pt idx="145">
                  <c:v>21064.400000000001</c:v>
                </c:pt>
                <c:pt idx="146">
                  <c:v>20960.5</c:v>
                </c:pt>
                <c:pt idx="147">
                  <c:v>21128.9</c:v>
                </c:pt>
                <c:pt idx="148">
                  <c:v>20845.7</c:v>
                </c:pt>
                <c:pt idx="149">
                  <c:v>21088.2</c:v>
                </c:pt>
                <c:pt idx="150">
                  <c:v>21100.6</c:v>
                </c:pt>
                <c:pt idx="151">
                  <c:v>20915.099999999999</c:v>
                </c:pt>
                <c:pt idx="152">
                  <c:v>20997.4</c:v>
                </c:pt>
                <c:pt idx="153">
                  <c:v>20922.7</c:v>
                </c:pt>
                <c:pt idx="154">
                  <c:v>21098.5</c:v>
                </c:pt>
                <c:pt idx="155">
                  <c:v>21137.200000000001</c:v>
                </c:pt>
                <c:pt idx="156">
                  <c:v>20993.9</c:v>
                </c:pt>
                <c:pt idx="157">
                  <c:v>21193.7</c:v>
                </c:pt>
                <c:pt idx="158">
                  <c:v>20826.099999999999</c:v>
                </c:pt>
                <c:pt idx="159">
                  <c:v>21124.9</c:v>
                </c:pt>
                <c:pt idx="160">
                  <c:v>21280.5</c:v>
                </c:pt>
                <c:pt idx="161">
                  <c:v>21355.3</c:v>
                </c:pt>
                <c:pt idx="162">
                  <c:v>21060.2</c:v>
                </c:pt>
                <c:pt idx="163">
                  <c:v>20715.7</c:v>
                </c:pt>
                <c:pt idx="164">
                  <c:v>21105.599999999999</c:v>
                </c:pt>
                <c:pt idx="165">
                  <c:v>21032.1</c:v>
                </c:pt>
                <c:pt idx="166">
                  <c:v>21306.1</c:v>
                </c:pt>
                <c:pt idx="167">
                  <c:v>20847</c:v>
                </c:pt>
                <c:pt idx="168">
                  <c:v>21015.7</c:v>
                </c:pt>
                <c:pt idx="169">
                  <c:v>21103.7</c:v>
                </c:pt>
                <c:pt idx="170">
                  <c:v>20847.599999999999</c:v>
                </c:pt>
                <c:pt idx="171">
                  <c:v>21034.6</c:v>
                </c:pt>
                <c:pt idx="172">
                  <c:v>21107.3</c:v>
                </c:pt>
                <c:pt idx="173">
                  <c:v>20876.400000000001</c:v>
                </c:pt>
                <c:pt idx="174">
                  <c:v>21039.5</c:v>
                </c:pt>
                <c:pt idx="175">
                  <c:v>20778.7</c:v>
                </c:pt>
                <c:pt idx="176">
                  <c:v>20877.900000000001</c:v>
                </c:pt>
                <c:pt idx="177">
                  <c:v>20992.5</c:v>
                </c:pt>
                <c:pt idx="178">
                  <c:v>21196.2</c:v>
                </c:pt>
                <c:pt idx="179">
                  <c:v>21050.6</c:v>
                </c:pt>
                <c:pt idx="180">
                  <c:v>20992.799999999999</c:v>
                </c:pt>
                <c:pt idx="181">
                  <c:v>20998.5</c:v>
                </c:pt>
                <c:pt idx="182">
                  <c:v>21002.9</c:v>
                </c:pt>
                <c:pt idx="183">
                  <c:v>21166.3</c:v>
                </c:pt>
                <c:pt idx="184">
                  <c:v>21243.3</c:v>
                </c:pt>
                <c:pt idx="185">
                  <c:v>21132.400000000001</c:v>
                </c:pt>
                <c:pt idx="186">
                  <c:v>20966.400000000001</c:v>
                </c:pt>
                <c:pt idx="187">
                  <c:v>21090.400000000001</c:v>
                </c:pt>
                <c:pt idx="188">
                  <c:v>21121.1</c:v>
                </c:pt>
                <c:pt idx="189">
                  <c:v>20927.400000000001</c:v>
                </c:pt>
                <c:pt idx="190">
                  <c:v>21144.1</c:v>
                </c:pt>
                <c:pt idx="191">
                  <c:v>20925.3</c:v>
                </c:pt>
                <c:pt idx="192">
                  <c:v>21232</c:v>
                </c:pt>
                <c:pt idx="193">
                  <c:v>21149.9</c:v>
                </c:pt>
                <c:pt idx="194">
                  <c:v>20804.5</c:v>
                </c:pt>
                <c:pt idx="195">
                  <c:v>20901.900000000001</c:v>
                </c:pt>
                <c:pt idx="196">
                  <c:v>21229.8</c:v>
                </c:pt>
                <c:pt idx="197">
                  <c:v>21098.7</c:v>
                </c:pt>
                <c:pt idx="198">
                  <c:v>20964.3</c:v>
                </c:pt>
                <c:pt idx="199">
                  <c:v>21237.4</c:v>
                </c:pt>
                <c:pt idx="200">
                  <c:v>20912.900000000001</c:v>
                </c:pt>
                <c:pt idx="201">
                  <c:v>21106.1</c:v>
                </c:pt>
                <c:pt idx="202">
                  <c:v>21339</c:v>
                </c:pt>
                <c:pt idx="203">
                  <c:v>21180.2</c:v>
                </c:pt>
                <c:pt idx="204">
                  <c:v>21227.7</c:v>
                </c:pt>
                <c:pt idx="205">
                  <c:v>21136.3</c:v>
                </c:pt>
                <c:pt idx="206">
                  <c:v>21105.1</c:v>
                </c:pt>
                <c:pt idx="207">
                  <c:v>21316.6</c:v>
                </c:pt>
                <c:pt idx="208">
                  <c:v>20995.4</c:v>
                </c:pt>
                <c:pt idx="209">
                  <c:v>21080.1</c:v>
                </c:pt>
                <c:pt idx="210">
                  <c:v>20945.7</c:v>
                </c:pt>
                <c:pt idx="211">
                  <c:v>21207.1</c:v>
                </c:pt>
                <c:pt idx="212">
                  <c:v>21081.4</c:v>
                </c:pt>
                <c:pt idx="213">
                  <c:v>21189.5</c:v>
                </c:pt>
                <c:pt idx="214">
                  <c:v>21256</c:v>
                </c:pt>
                <c:pt idx="215">
                  <c:v>20944.3</c:v>
                </c:pt>
                <c:pt idx="216">
                  <c:v>21177.4</c:v>
                </c:pt>
                <c:pt idx="217">
                  <c:v>21172.9</c:v>
                </c:pt>
                <c:pt idx="218">
                  <c:v>20901</c:v>
                </c:pt>
                <c:pt idx="219">
                  <c:v>21065.200000000001</c:v>
                </c:pt>
                <c:pt idx="220">
                  <c:v>21154.3</c:v>
                </c:pt>
                <c:pt idx="221">
                  <c:v>20777.599999999999</c:v>
                </c:pt>
                <c:pt idx="222">
                  <c:v>20854.8</c:v>
                </c:pt>
                <c:pt idx="223">
                  <c:v>21306.2</c:v>
                </c:pt>
                <c:pt idx="224">
                  <c:v>21123.7</c:v>
                </c:pt>
                <c:pt idx="225">
                  <c:v>21128.2</c:v>
                </c:pt>
                <c:pt idx="226">
                  <c:v>21411.3</c:v>
                </c:pt>
                <c:pt idx="227">
                  <c:v>20952</c:v>
                </c:pt>
                <c:pt idx="228">
                  <c:v>21108.5</c:v>
                </c:pt>
                <c:pt idx="229">
                  <c:v>21135.1</c:v>
                </c:pt>
                <c:pt idx="230">
                  <c:v>21244.2</c:v>
                </c:pt>
                <c:pt idx="231">
                  <c:v>21093.1</c:v>
                </c:pt>
                <c:pt idx="232">
                  <c:v>21037</c:v>
                </c:pt>
                <c:pt idx="233">
                  <c:v>21078.7</c:v>
                </c:pt>
                <c:pt idx="234">
                  <c:v>21078</c:v>
                </c:pt>
                <c:pt idx="235">
                  <c:v>21009.599999999999</c:v>
                </c:pt>
                <c:pt idx="236">
                  <c:v>20979.9</c:v>
                </c:pt>
                <c:pt idx="237">
                  <c:v>20871.900000000001</c:v>
                </c:pt>
                <c:pt idx="238">
                  <c:v>21027.3</c:v>
                </c:pt>
                <c:pt idx="239">
                  <c:v>20954.2</c:v>
                </c:pt>
                <c:pt idx="240">
                  <c:v>20990.9</c:v>
                </c:pt>
                <c:pt idx="241">
                  <c:v>21071.3</c:v>
                </c:pt>
                <c:pt idx="242">
                  <c:v>21135.5</c:v>
                </c:pt>
                <c:pt idx="243">
                  <c:v>21096.799999999999</c:v>
                </c:pt>
                <c:pt idx="244">
                  <c:v>21045.599999999999</c:v>
                </c:pt>
                <c:pt idx="245">
                  <c:v>20982.7</c:v>
                </c:pt>
                <c:pt idx="246">
                  <c:v>20959.7</c:v>
                </c:pt>
                <c:pt idx="247">
                  <c:v>21061.4</c:v>
                </c:pt>
                <c:pt idx="248">
                  <c:v>20926.099999999999</c:v>
                </c:pt>
                <c:pt idx="249">
                  <c:v>21068.799999999999</c:v>
                </c:pt>
                <c:pt idx="250">
                  <c:v>20909.400000000001</c:v>
                </c:pt>
                <c:pt idx="251">
                  <c:v>20710.8</c:v>
                </c:pt>
                <c:pt idx="252">
                  <c:v>20910.3</c:v>
                </c:pt>
                <c:pt idx="253">
                  <c:v>20910.599999999999</c:v>
                </c:pt>
                <c:pt idx="254">
                  <c:v>20847.400000000001</c:v>
                </c:pt>
                <c:pt idx="255">
                  <c:v>20919.7</c:v>
                </c:pt>
                <c:pt idx="256">
                  <c:v>20947.099999999999</c:v>
                </c:pt>
                <c:pt idx="257">
                  <c:v>20942</c:v>
                </c:pt>
                <c:pt idx="258">
                  <c:v>20802.400000000001</c:v>
                </c:pt>
                <c:pt idx="259">
                  <c:v>20780.8</c:v>
                </c:pt>
                <c:pt idx="260">
                  <c:v>20883.400000000001</c:v>
                </c:pt>
                <c:pt idx="261">
                  <c:v>20770.900000000001</c:v>
                </c:pt>
                <c:pt idx="262">
                  <c:v>20899.7</c:v>
                </c:pt>
                <c:pt idx="263">
                  <c:v>20899.599999999999</c:v>
                </c:pt>
                <c:pt idx="264">
                  <c:v>20918.7</c:v>
                </c:pt>
                <c:pt idx="265">
                  <c:v>20806.900000000001</c:v>
                </c:pt>
                <c:pt idx="266">
                  <c:v>20932.400000000001</c:v>
                </c:pt>
                <c:pt idx="267">
                  <c:v>20962.2</c:v>
                </c:pt>
                <c:pt idx="268">
                  <c:v>20758.400000000001</c:v>
                </c:pt>
                <c:pt idx="269">
                  <c:v>20654</c:v>
                </c:pt>
                <c:pt idx="270">
                  <c:v>20815.099999999999</c:v>
                </c:pt>
                <c:pt idx="271">
                  <c:v>20893.8</c:v>
                </c:pt>
                <c:pt idx="272">
                  <c:v>20845</c:v>
                </c:pt>
                <c:pt idx="273">
                  <c:v>20695.099999999999</c:v>
                </c:pt>
                <c:pt idx="274">
                  <c:v>20965.7</c:v>
                </c:pt>
                <c:pt idx="275">
                  <c:v>20583.5</c:v>
                </c:pt>
                <c:pt idx="276">
                  <c:v>20746.3</c:v>
                </c:pt>
                <c:pt idx="277">
                  <c:v>20813.5</c:v>
                </c:pt>
                <c:pt idx="278">
                  <c:v>20927</c:v>
                </c:pt>
                <c:pt idx="279">
                  <c:v>20719.3</c:v>
                </c:pt>
                <c:pt idx="280">
                  <c:v>20666.400000000001</c:v>
                </c:pt>
                <c:pt idx="281">
                  <c:v>20984.5</c:v>
                </c:pt>
                <c:pt idx="282">
                  <c:v>20836.8</c:v>
                </c:pt>
                <c:pt idx="283">
                  <c:v>20748.2</c:v>
                </c:pt>
                <c:pt idx="284">
                  <c:v>20815.099999999999</c:v>
                </c:pt>
                <c:pt idx="285">
                  <c:v>20858.599999999999</c:v>
                </c:pt>
                <c:pt idx="286">
                  <c:v>20701.599999999999</c:v>
                </c:pt>
                <c:pt idx="287">
                  <c:v>20720.400000000001</c:v>
                </c:pt>
                <c:pt idx="288">
                  <c:v>20762.599999999999</c:v>
                </c:pt>
                <c:pt idx="289">
                  <c:v>20553.8</c:v>
                </c:pt>
                <c:pt idx="290">
                  <c:v>20780.8</c:v>
                </c:pt>
                <c:pt idx="291">
                  <c:v>20697</c:v>
                </c:pt>
                <c:pt idx="292">
                  <c:v>20579.8</c:v>
                </c:pt>
                <c:pt idx="293">
                  <c:v>20529.3</c:v>
                </c:pt>
                <c:pt idx="294">
                  <c:v>20866.7</c:v>
                </c:pt>
                <c:pt idx="295">
                  <c:v>20713.599999999999</c:v>
                </c:pt>
                <c:pt idx="296">
                  <c:v>20703.3</c:v>
                </c:pt>
                <c:pt idx="297">
                  <c:v>20775</c:v>
                </c:pt>
                <c:pt idx="298">
                  <c:v>20832.400000000001</c:v>
                </c:pt>
                <c:pt idx="299">
                  <c:v>20712.599999999999</c:v>
                </c:pt>
                <c:pt idx="300">
                  <c:v>20629.400000000001</c:v>
                </c:pt>
                <c:pt idx="301">
                  <c:v>20528.2</c:v>
                </c:pt>
                <c:pt idx="302">
                  <c:v>20810.400000000001</c:v>
                </c:pt>
                <c:pt idx="303">
                  <c:v>20748.8</c:v>
                </c:pt>
                <c:pt idx="304">
                  <c:v>20797.900000000001</c:v>
                </c:pt>
                <c:pt idx="305">
                  <c:v>20748.5</c:v>
                </c:pt>
                <c:pt idx="306">
                  <c:v>20524.400000000001</c:v>
                </c:pt>
                <c:pt idx="307">
                  <c:v>20727.8</c:v>
                </c:pt>
                <c:pt idx="308">
                  <c:v>20608.099999999999</c:v>
                </c:pt>
                <c:pt idx="309">
                  <c:v>20861.5</c:v>
                </c:pt>
                <c:pt idx="310">
                  <c:v>20559.900000000001</c:v>
                </c:pt>
                <c:pt idx="311">
                  <c:v>20580.599999999999</c:v>
                </c:pt>
                <c:pt idx="312">
                  <c:v>20691.2</c:v>
                </c:pt>
                <c:pt idx="313">
                  <c:v>20407.900000000001</c:v>
                </c:pt>
                <c:pt idx="314">
                  <c:v>20539.599999999999</c:v>
                </c:pt>
                <c:pt idx="315">
                  <c:v>20509.5</c:v>
                </c:pt>
                <c:pt idx="316">
                  <c:v>20609.599999999999</c:v>
                </c:pt>
                <c:pt idx="317">
                  <c:v>20498.2</c:v>
                </c:pt>
                <c:pt idx="318">
                  <c:v>20357.3</c:v>
                </c:pt>
                <c:pt idx="319">
                  <c:v>20672</c:v>
                </c:pt>
                <c:pt idx="320">
                  <c:v>20394.900000000001</c:v>
                </c:pt>
                <c:pt idx="321">
                  <c:v>20598.599999999999</c:v>
                </c:pt>
                <c:pt idx="322">
                  <c:v>20521.7</c:v>
                </c:pt>
                <c:pt idx="323">
                  <c:v>20485</c:v>
                </c:pt>
                <c:pt idx="324">
                  <c:v>20480.099999999999</c:v>
                </c:pt>
                <c:pt idx="325">
                  <c:v>20628.3</c:v>
                </c:pt>
                <c:pt idx="326">
                  <c:v>20664.8</c:v>
                </c:pt>
                <c:pt idx="327">
                  <c:v>20441.599999999999</c:v>
                </c:pt>
                <c:pt idx="328">
                  <c:v>20616.400000000001</c:v>
                </c:pt>
                <c:pt idx="329">
                  <c:v>20583.099999999999</c:v>
                </c:pt>
                <c:pt idx="330">
                  <c:v>20535.900000000001</c:v>
                </c:pt>
                <c:pt idx="331">
                  <c:v>20339.7</c:v>
                </c:pt>
                <c:pt idx="332">
                  <c:v>20554.599999999999</c:v>
                </c:pt>
                <c:pt idx="333">
                  <c:v>20722.3</c:v>
                </c:pt>
                <c:pt idx="334">
                  <c:v>20461.099999999999</c:v>
                </c:pt>
                <c:pt idx="335">
                  <c:v>20455.400000000001</c:v>
                </c:pt>
                <c:pt idx="336">
                  <c:v>20604.2</c:v>
                </c:pt>
                <c:pt idx="337">
                  <c:v>20668.900000000001</c:v>
                </c:pt>
                <c:pt idx="338">
                  <c:v>20626.400000000001</c:v>
                </c:pt>
                <c:pt idx="339">
                  <c:v>20361.5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7C-124D-A75B-3EAFC9530774}"/>
            </c:ext>
          </c:extLst>
        </c:ser>
        <c:ser>
          <c:idx val="4"/>
          <c:order val="4"/>
          <c:tx>
            <c:strRef>
              <c:f>'[1]Fe2p Scan'!$I$15</c:f>
              <c:strCache>
                <c:ptCount val="1"/>
                <c:pt idx="0">
                  <c:v>Envelope</c:v>
                </c:pt>
              </c:strCache>
            </c:strRef>
          </c:tx>
          <c:spPr>
            <a:ln w="1905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 9d'!$H$4:$H$343</c:f>
              <c:numCache>
                <c:formatCode>General</c:formatCode>
                <c:ptCount val="340"/>
                <c:pt idx="0">
                  <c:v>20494.7</c:v>
                </c:pt>
                <c:pt idx="1">
                  <c:v>20464</c:v>
                </c:pt>
                <c:pt idx="2">
                  <c:v>20456.7</c:v>
                </c:pt>
                <c:pt idx="3">
                  <c:v>20457.3</c:v>
                </c:pt>
                <c:pt idx="4">
                  <c:v>20457.599999999999</c:v>
                </c:pt>
                <c:pt idx="5">
                  <c:v>20457.599999999999</c:v>
                </c:pt>
                <c:pt idx="6">
                  <c:v>20456.099999999999</c:v>
                </c:pt>
                <c:pt idx="7">
                  <c:v>20453.7</c:v>
                </c:pt>
                <c:pt idx="8">
                  <c:v>20450.2</c:v>
                </c:pt>
                <c:pt idx="9">
                  <c:v>20448.2</c:v>
                </c:pt>
                <c:pt idx="10">
                  <c:v>20446.900000000001</c:v>
                </c:pt>
                <c:pt idx="11">
                  <c:v>20446.900000000001</c:v>
                </c:pt>
                <c:pt idx="12">
                  <c:v>20447.3</c:v>
                </c:pt>
                <c:pt idx="13">
                  <c:v>20448.099999999999</c:v>
                </c:pt>
                <c:pt idx="14">
                  <c:v>20449.3</c:v>
                </c:pt>
                <c:pt idx="15">
                  <c:v>20450.599999999999</c:v>
                </c:pt>
                <c:pt idx="16">
                  <c:v>20451.900000000001</c:v>
                </c:pt>
                <c:pt idx="17">
                  <c:v>20453.2</c:v>
                </c:pt>
                <c:pt idx="18">
                  <c:v>20454.599999999999</c:v>
                </c:pt>
                <c:pt idx="19">
                  <c:v>20456</c:v>
                </c:pt>
                <c:pt idx="20">
                  <c:v>20457.5</c:v>
                </c:pt>
                <c:pt idx="21">
                  <c:v>20459</c:v>
                </c:pt>
                <c:pt idx="22">
                  <c:v>20460.599999999999</c:v>
                </c:pt>
                <c:pt idx="23">
                  <c:v>20462.2</c:v>
                </c:pt>
                <c:pt idx="24">
                  <c:v>20463.900000000001</c:v>
                </c:pt>
                <c:pt idx="25">
                  <c:v>20465.599999999999</c:v>
                </c:pt>
                <c:pt idx="26">
                  <c:v>20467.400000000001</c:v>
                </c:pt>
                <c:pt idx="27">
                  <c:v>20469.2</c:v>
                </c:pt>
                <c:pt idx="28">
                  <c:v>20471.099999999999</c:v>
                </c:pt>
                <c:pt idx="29">
                  <c:v>20473.099999999999</c:v>
                </c:pt>
                <c:pt idx="30">
                  <c:v>20475.099999999999</c:v>
                </c:pt>
                <c:pt idx="31">
                  <c:v>20477.2</c:v>
                </c:pt>
                <c:pt idx="32">
                  <c:v>20479.3</c:v>
                </c:pt>
                <c:pt idx="33">
                  <c:v>20481.599999999999</c:v>
                </c:pt>
                <c:pt idx="34">
                  <c:v>20483.900000000001</c:v>
                </c:pt>
                <c:pt idx="35">
                  <c:v>20486.2</c:v>
                </c:pt>
                <c:pt idx="36">
                  <c:v>20488.7</c:v>
                </c:pt>
                <c:pt idx="37">
                  <c:v>20491.2</c:v>
                </c:pt>
                <c:pt idx="38">
                  <c:v>20493.8</c:v>
                </c:pt>
                <c:pt idx="39">
                  <c:v>20496.5</c:v>
                </c:pt>
                <c:pt idx="40">
                  <c:v>20499.3</c:v>
                </c:pt>
                <c:pt idx="41">
                  <c:v>20502.2</c:v>
                </c:pt>
                <c:pt idx="42">
                  <c:v>20505.099999999999</c:v>
                </c:pt>
                <c:pt idx="43">
                  <c:v>20508.2</c:v>
                </c:pt>
                <c:pt idx="44">
                  <c:v>20511.3</c:v>
                </c:pt>
                <c:pt idx="45">
                  <c:v>20514.5</c:v>
                </c:pt>
                <c:pt idx="46">
                  <c:v>20517.900000000001</c:v>
                </c:pt>
                <c:pt idx="47">
                  <c:v>20521.3</c:v>
                </c:pt>
                <c:pt idx="48">
                  <c:v>20524.8</c:v>
                </c:pt>
                <c:pt idx="49">
                  <c:v>20528.400000000001</c:v>
                </c:pt>
                <c:pt idx="50">
                  <c:v>20532.099999999999</c:v>
                </c:pt>
                <c:pt idx="51">
                  <c:v>20536</c:v>
                </c:pt>
                <c:pt idx="52">
                  <c:v>20539.900000000001</c:v>
                </c:pt>
                <c:pt idx="53">
                  <c:v>20543.900000000001</c:v>
                </c:pt>
                <c:pt idx="54">
                  <c:v>20548.099999999999</c:v>
                </c:pt>
                <c:pt idx="55">
                  <c:v>20552.3</c:v>
                </c:pt>
                <c:pt idx="56">
                  <c:v>20556.7</c:v>
                </c:pt>
                <c:pt idx="57">
                  <c:v>20561.099999999999</c:v>
                </c:pt>
                <c:pt idx="58">
                  <c:v>20565.7</c:v>
                </c:pt>
                <c:pt idx="59">
                  <c:v>20570.400000000001</c:v>
                </c:pt>
                <c:pt idx="60">
                  <c:v>20575.2</c:v>
                </c:pt>
                <c:pt idx="61">
                  <c:v>20580.099999999999</c:v>
                </c:pt>
                <c:pt idx="62">
                  <c:v>20585.099999999999</c:v>
                </c:pt>
                <c:pt idx="63">
                  <c:v>20590.3</c:v>
                </c:pt>
                <c:pt idx="64">
                  <c:v>20595.5</c:v>
                </c:pt>
                <c:pt idx="65">
                  <c:v>20600.8</c:v>
                </c:pt>
                <c:pt idx="66">
                  <c:v>20606.3</c:v>
                </c:pt>
                <c:pt idx="67">
                  <c:v>20611.900000000001</c:v>
                </c:pt>
                <c:pt idx="68">
                  <c:v>20617.5</c:v>
                </c:pt>
                <c:pt idx="69">
                  <c:v>20623.3</c:v>
                </c:pt>
                <c:pt idx="70">
                  <c:v>20629.2</c:v>
                </c:pt>
                <c:pt idx="71">
                  <c:v>20635.2</c:v>
                </c:pt>
                <c:pt idx="72">
                  <c:v>20641.3</c:v>
                </c:pt>
                <c:pt idx="73">
                  <c:v>20647.5</c:v>
                </c:pt>
                <c:pt idx="74">
                  <c:v>20653.8</c:v>
                </c:pt>
                <c:pt idx="75">
                  <c:v>20660.2</c:v>
                </c:pt>
                <c:pt idx="76">
                  <c:v>20666.7</c:v>
                </c:pt>
                <c:pt idx="77">
                  <c:v>20673.2</c:v>
                </c:pt>
                <c:pt idx="78">
                  <c:v>20679.900000000001</c:v>
                </c:pt>
                <c:pt idx="79">
                  <c:v>20686.599999999999</c:v>
                </c:pt>
                <c:pt idx="80">
                  <c:v>20693.5</c:v>
                </c:pt>
                <c:pt idx="81">
                  <c:v>20700.400000000001</c:v>
                </c:pt>
                <c:pt idx="82">
                  <c:v>20707.400000000001</c:v>
                </c:pt>
                <c:pt idx="83">
                  <c:v>20714.400000000001</c:v>
                </c:pt>
                <c:pt idx="84">
                  <c:v>20721.5</c:v>
                </c:pt>
                <c:pt idx="85">
                  <c:v>20728.7</c:v>
                </c:pt>
                <c:pt idx="86">
                  <c:v>20735.900000000001</c:v>
                </c:pt>
                <c:pt idx="87">
                  <c:v>20743.2</c:v>
                </c:pt>
                <c:pt idx="88">
                  <c:v>20750.5</c:v>
                </c:pt>
                <c:pt idx="89">
                  <c:v>20757.900000000001</c:v>
                </c:pt>
                <c:pt idx="90">
                  <c:v>20765.3</c:v>
                </c:pt>
                <c:pt idx="91">
                  <c:v>20772.7</c:v>
                </c:pt>
                <c:pt idx="92">
                  <c:v>20780.2</c:v>
                </c:pt>
                <c:pt idx="93">
                  <c:v>20787.7</c:v>
                </c:pt>
                <c:pt idx="94">
                  <c:v>20795.2</c:v>
                </c:pt>
                <c:pt idx="95">
                  <c:v>20802.7</c:v>
                </c:pt>
                <c:pt idx="96">
                  <c:v>20810.099999999999</c:v>
                </c:pt>
                <c:pt idx="97">
                  <c:v>20817.599999999999</c:v>
                </c:pt>
                <c:pt idx="98">
                  <c:v>20825.099999999999</c:v>
                </c:pt>
                <c:pt idx="99">
                  <c:v>20832.5</c:v>
                </c:pt>
                <c:pt idx="100">
                  <c:v>20839.900000000001</c:v>
                </c:pt>
                <c:pt idx="101">
                  <c:v>20847.3</c:v>
                </c:pt>
                <c:pt idx="102">
                  <c:v>20854.599999999999</c:v>
                </c:pt>
                <c:pt idx="103">
                  <c:v>20861.900000000001</c:v>
                </c:pt>
                <c:pt idx="104">
                  <c:v>20869</c:v>
                </c:pt>
                <c:pt idx="105">
                  <c:v>20876.2</c:v>
                </c:pt>
                <c:pt idx="106">
                  <c:v>20883.2</c:v>
                </c:pt>
                <c:pt idx="107">
                  <c:v>20890.099999999999</c:v>
                </c:pt>
                <c:pt idx="108">
                  <c:v>20897</c:v>
                </c:pt>
                <c:pt idx="109">
                  <c:v>20903.7</c:v>
                </c:pt>
                <c:pt idx="110">
                  <c:v>20910.3</c:v>
                </c:pt>
                <c:pt idx="111">
                  <c:v>20916.8</c:v>
                </c:pt>
                <c:pt idx="112">
                  <c:v>20923.2</c:v>
                </c:pt>
                <c:pt idx="113">
                  <c:v>20929.400000000001</c:v>
                </c:pt>
                <c:pt idx="114">
                  <c:v>20935.5</c:v>
                </c:pt>
                <c:pt idx="115">
                  <c:v>20941.400000000001</c:v>
                </c:pt>
                <c:pt idx="116">
                  <c:v>20947.099999999999</c:v>
                </c:pt>
                <c:pt idx="117">
                  <c:v>20952.7</c:v>
                </c:pt>
                <c:pt idx="118">
                  <c:v>20958</c:v>
                </c:pt>
                <c:pt idx="119">
                  <c:v>20963.2</c:v>
                </c:pt>
                <c:pt idx="120">
                  <c:v>20968.2</c:v>
                </c:pt>
                <c:pt idx="121">
                  <c:v>20973</c:v>
                </c:pt>
                <c:pt idx="122">
                  <c:v>20977.599999999999</c:v>
                </c:pt>
                <c:pt idx="123">
                  <c:v>20982</c:v>
                </c:pt>
                <c:pt idx="124">
                  <c:v>20986.1</c:v>
                </c:pt>
                <c:pt idx="125">
                  <c:v>20990.1</c:v>
                </c:pt>
                <c:pt idx="126">
                  <c:v>20993.8</c:v>
                </c:pt>
                <c:pt idx="127">
                  <c:v>20997.3</c:v>
                </c:pt>
                <c:pt idx="128">
                  <c:v>21000.6</c:v>
                </c:pt>
                <c:pt idx="129">
                  <c:v>21003.7</c:v>
                </c:pt>
                <c:pt idx="130">
                  <c:v>21006.5</c:v>
                </c:pt>
                <c:pt idx="131">
                  <c:v>21009.1</c:v>
                </c:pt>
                <c:pt idx="132">
                  <c:v>21011.599999999999</c:v>
                </c:pt>
                <c:pt idx="133">
                  <c:v>21013.8</c:v>
                </c:pt>
                <c:pt idx="134">
                  <c:v>21015.7</c:v>
                </c:pt>
                <c:pt idx="135">
                  <c:v>21017.5</c:v>
                </c:pt>
                <c:pt idx="136">
                  <c:v>21019.1</c:v>
                </c:pt>
                <c:pt idx="137">
                  <c:v>21020.5</c:v>
                </c:pt>
                <c:pt idx="138">
                  <c:v>21021.8</c:v>
                </c:pt>
                <c:pt idx="139">
                  <c:v>21022.799999999999</c:v>
                </c:pt>
                <c:pt idx="140">
                  <c:v>21023.7</c:v>
                </c:pt>
                <c:pt idx="141">
                  <c:v>21024.400000000001</c:v>
                </c:pt>
                <c:pt idx="142">
                  <c:v>21025</c:v>
                </c:pt>
                <c:pt idx="143">
                  <c:v>21025.4</c:v>
                </c:pt>
                <c:pt idx="144">
                  <c:v>21025.8</c:v>
                </c:pt>
                <c:pt idx="145">
                  <c:v>21026</c:v>
                </c:pt>
                <c:pt idx="146">
                  <c:v>21026.1</c:v>
                </c:pt>
                <c:pt idx="147">
                  <c:v>21026.1</c:v>
                </c:pt>
                <c:pt idx="148">
                  <c:v>21026</c:v>
                </c:pt>
                <c:pt idx="149">
                  <c:v>21025.9</c:v>
                </c:pt>
                <c:pt idx="150">
                  <c:v>21025.7</c:v>
                </c:pt>
                <c:pt idx="151">
                  <c:v>21025.4</c:v>
                </c:pt>
                <c:pt idx="152">
                  <c:v>21025.1</c:v>
                </c:pt>
                <c:pt idx="153">
                  <c:v>21024.799999999999</c:v>
                </c:pt>
                <c:pt idx="154">
                  <c:v>21024.5</c:v>
                </c:pt>
                <c:pt idx="155">
                  <c:v>21024.2</c:v>
                </c:pt>
                <c:pt idx="156">
                  <c:v>21023.8</c:v>
                </c:pt>
                <c:pt idx="157">
                  <c:v>21023.5</c:v>
                </c:pt>
                <c:pt idx="158">
                  <c:v>21023.200000000001</c:v>
                </c:pt>
                <c:pt idx="159">
                  <c:v>21023</c:v>
                </c:pt>
                <c:pt idx="160">
                  <c:v>21022.799999999999</c:v>
                </c:pt>
                <c:pt idx="161">
                  <c:v>21022.6</c:v>
                </c:pt>
                <c:pt idx="162">
                  <c:v>21022.5</c:v>
                </c:pt>
                <c:pt idx="163">
                  <c:v>21022.5</c:v>
                </c:pt>
                <c:pt idx="164">
                  <c:v>21022.5</c:v>
                </c:pt>
                <c:pt idx="165">
                  <c:v>21022.6</c:v>
                </c:pt>
                <c:pt idx="166">
                  <c:v>21022.799999999999</c:v>
                </c:pt>
                <c:pt idx="167">
                  <c:v>21023.1</c:v>
                </c:pt>
                <c:pt idx="168">
                  <c:v>21023.5</c:v>
                </c:pt>
                <c:pt idx="169">
                  <c:v>21024</c:v>
                </c:pt>
                <c:pt idx="170">
                  <c:v>21024.5</c:v>
                </c:pt>
                <c:pt idx="171">
                  <c:v>21025.200000000001</c:v>
                </c:pt>
                <c:pt idx="172">
                  <c:v>21026</c:v>
                </c:pt>
                <c:pt idx="173">
                  <c:v>21026.9</c:v>
                </c:pt>
                <c:pt idx="174">
                  <c:v>21027.9</c:v>
                </c:pt>
                <c:pt idx="175">
                  <c:v>21029.1</c:v>
                </c:pt>
                <c:pt idx="176">
                  <c:v>21030.3</c:v>
                </c:pt>
                <c:pt idx="177">
                  <c:v>21031.7</c:v>
                </c:pt>
                <c:pt idx="178">
                  <c:v>21033.1</c:v>
                </c:pt>
                <c:pt idx="179">
                  <c:v>21034.7</c:v>
                </c:pt>
                <c:pt idx="180">
                  <c:v>21036.400000000001</c:v>
                </c:pt>
                <c:pt idx="181">
                  <c:v>21038.2</c:v>
                </c:pt>
                <c:pt idx="182">
                  <c:v>21040.1</c:v>
                </c:pt>
                <c:pt idx="183">
                  <c:v>21042.1</c:v>
                </c:pt>
                <c:pt idx="184">
                  <c:v>21044.2</c:v>
                </c:pt>
                <c:pt idx="185">
                  <c:v>21046.400000000001</c:v>
                </c:pt>
                <c:pt idx="186">
                  <c:v>21048.6</c:v>
                </c:pt>
                <c:pt idx="187">
                  <c:v>21051</c:v>
                </c:pt>
                <c:pt idx="188">
                  <c:v>21053.4</c:v>
                </c:pt>
                <c:pt idx="189">
                  <c:v>21055.9</c:v>
                </c:pt>
                <c:pt idx="190">
                  <c:v>21058.400000000001</c:v>
                </c:pt>
                <c:pt idx="191">
                  <c:v>21061</c:v>
                </c:pt>
                <c:pt idx="192">
                  <c:v>21063.7</c:v>
                </c:pt>
                <c:pt idx="193">
                  <c:v>21066.400000000001</c:v>
                </c:pt>
                <c:pt idx="194">
                  <c:v>21069.1</c:v>
                </c:pt>
                <c:pt idx="195">
                  <c:v>21071.8</c:v>
                </c:pt>
                <c:pt idx="196">
                  <c:v>21074.5</c:v>
                </c:pt>
                <c:pt idx="197">
                  <c:v>21077.3</c:v>
                </c:pt>
                <c:pt idx="198">
                  <c:v>21080</c:v>
                </c:pt>
                <c:pt idx="199">
                  <c:v>21082.7</c:v>
                </c:pt>
                <c:pt idx="200">
                  <c:v>21085.3</c:v>
                </c:pt>
                <c:pt idx="201">
                  <c:v>21087.9</c:v>
                </c:pt>
                <c:pt idx="202">
                  <c:v>21090.5</c:v>
                </c:pt>
                <c:pt idx="203">
                  <c:v>21092.9</c:v>
                </c:pt>
                <c:pt idx="204">
                  <c:v>21095.3</c:v>
                </c:pt>
                <c:pt idx="205">
                  <c:v>21097.599999999999</c:v>
                </c:pt>
                <c:pt idx="206">
                  <c:v>21099.7</c:v>
                </c:pt>
                <c:pt idx="207">
                  <c:v>21101.7</c:v>
                </c:pt>
                <c:pt idx="208">
                  <c:v>21103.599999999999</c:v>
                </c:pt>
                <c:pt idx="209">
                  <c:v>21105.4</c:v>
                </c:pt>
                <c:pt idx="210">
                  <c:v>21107</c:v>
                </c:pt>
                <c:pt idx="211">
                  <c:v>21108.400000000001</c:v>
                </c:pt>
                <c:pt idx="212">
                  <c:v>21109.599999999999</c:v>
                </c:pt>
                <c:pt idx="213">
                  <c:v>21110.6</c:v>
                </c:pt>
                <c:pt idx="214">
                  <c:v>21111.4</c:v>
                </c:pt>
                <c:pt idx="215">
                  <c:v>21111.9</c:v>
                </c:pt>
                <c:pt idx="216">
                  <c:v>21112.3</c:v>
                </c:pt>
                <c:pt idx="217">
                  <c:v>21112.400000000001</c:v>
                </c:pt>
                <c:pt idx="218">
                  <c:v>21112.2</c:v>
                </c:pt>
                <c:pt idx="219">
                  <c:v>21111.8</c:v>
                </c:pt>
                <c:pt idx="220">
                  <c:v>21111.200000000001</c:v>
                </c:pt>
                <c:pt idx="221">
                  <c:v>21110.2</c:v>
                </c:pt>
                <c:pt idx="222">
                  <c:v>21109</c:v>
                </c:pt>
                <c:pt idx="223">
                  <c:v>21107.5</c:v>
                </c:pt>
                <c:pt idx="224">
                  <c:v>21105.7</c:v>
                </c:pt>
                <c:pt idx="225">
                  <c:v>21103.7</c:v>
                </c:pt>
                <c:pt idx="226">
                  <c:v>21101.3</c:v>
                </c:pt>
                <c:pt idx="227">
                  <c:v>21098.7</c:v>
                </c:pt>
                <c:pt idx="228">
                  <c:v>21095.7</c:v>
                </c:pt>
                <c:pt idx="229">
                  <c:v>21092.5</c:v>
                </c:pt>
                <c:pt idx="230">
                  <c:v>21089</c:v>
                </c:pt>
                <c:pt idx="231">
                  <c:v>21085.3</c:v>
                </c:pt>
                <c:pt idx="232">
                  <c:v>21081.200000000001</c:v>
                </c:pt>
                <c:pt idx="233">
                  <c:v>21076.9</c:v>
                </c:pt>
                <c:pt idx="234">
                  <c:v>21072.400000000001</c:v>
                </c:pt>
                <c:pt idx="235">
                  <c:v>21067.599999999999</c:v>
                </c:pt>
                <c:pt idx="236">
                  <c:v>21062.5</c:v>
                </c:pt>
                <c:pt idx="237">
                  <c:v>21057.200000000001</c:v>
                </c:pt>
                <c:pt idx="238">
                  <c:v>21051.7</c:v>
                </c:pt>
                <c:pt idx="239">
                  <c:v>21045.9</c:v>
                </c:pt>
                <c:pt idx="240">
                  <c:v>21040</c:v>
                </c:pt>
                <c:pt idx="241">
                  <c:v>21033.8</c:v>
                </c:pt>
                <c:pt idx="242">
                  <c:v>21027.5</c:v>
                </c:pt>
                <c:pt idx="243">
                  <c:v>21020.9</c:v>
                </c:pt>
                <c:pt idx="244">
                  <c:v>21014.2</c:v>
                </c:pt>
                <c:pt idx="245">
                  <c:v>21007.4</c:v>
                </c:pt>
                <c:pt idx="246">
                  <c:v>21000.400000000001</c:v>
                </c:pt>
                <c:pt idx="247">
                  <c:v>20993.200000000001</c:v>
                </c:pt>
                <c:pt idx="248">
                  <c:v>20986</c:v>
                </c:pt>
                <c:pt idx="249">
                  <c:v>20978.6</c:v>
                </c:pt>
                <c:pt idx="250">
                  <c:v>20971.099999999999</c:v>
                </c:pt>
                <c:pt idx="251">
                  <c:v>20963.5</c:v>
                </c:pt>
                <c:pt idx="252">
                  <c:v>20955.900000000001</c:v>
                </c:pt>
                <c:pt idx="253">
                  <c:v>20948.2</c:v>
                </c:pt>
                <c:pt idx="254">
                  <c:v>20940.400000000001</c:v>
                </c:pt>
                <c:pt idx="255">
                  <c:v>20932.5</c:v>
                </c:pt>
                <c:pt idx="256">
                  <c:v>20924.599999999999</c:v>
                </c:pt>
                <c:pt idx="257">
                  <c:v>20916.7</c:v>
                </c:pt>
                <c:pt idx="258">
                  <c:v>20908.7</c:v>
                </c:pt>
                <c:pt idx="259">
                  <c:v>20900.8</c:v>
                </c:pt>
                <c:pt idx="260">
                  <c:v>20892.8</c:v>
                </c:pt>
                <c:pt idx="261">
                  <c:v>20884.8</c:v>
                </c:pt>
                <c:pt idx="262">
                  <c:v>20876.900000000001</c:v>
                </c:pt>
                <c:pt idx="263">
                  <c:v>20868.900000000001</c:v>
                </c:pt>
                <c:pt idx="264">
                  <c:v>20861</c:v>
                </c:pt>
                <c:pt idx="265">
                  <c:v>20853.099999999999</c:v>
                </c:pt>
                <c:pt idx="266">
                  <c:v>20845.2</c:v>
                </c:pt>
                <c:pt idx="267">
                  <c:v>20837.400000000001</c:v>
                </c:pt>
                <c:pt idx="268">
                  <c:v>20829.7</c:v>
                </c:pt>
                <c:pt idx="269">
                  <c:v>20822</c:v>
                </c:pt>
                <c:pt idx="270">
                  <c:v>20814.3</c:v>
                </c:pt>
                <c:pt idx="271">
                  <c:v>20806.8</c:v>
                </c:pt>
                <c:pt idx="272">
                  <c:v>20799.3</c:v>
                </c:pt>
                <c:pt idx="273">
                  <c:v>20791.900000000001</c:v>
                </c:pt>
                <c:pt idx="274">
                  <c:v>20784.5</c:v>
                </c:pt>
                <c:pt idx="275">
                  <c:v>20777.3</c:v>
                </c:pt>
                <c:pt idx="276">
                  <c:v>20770.2</c:v>
                </c:pt>
                <c:pt idx="277">
                  <c:v>20763.099999999999</c:v>
                </c:pt>
                <c:pt idx="278">
                  <c:v>20756.2</c:v>
                </c:pt>
                <c:pt idx="279">
                  <c:v>20749.3</c:v>
                </c:pt>
                <c:pt idx="280">
                  <c:v>20742.599999999999</c:v>
                </c:pt>
                <c:pt idx="281">
                  <c:v>20736</c:v>
                </c:pt>
                <c:pt idx="282">
                  <c:v>20729.5</c:v>
                </c:pt>
                <c:pt idx="283">
                  <c:v>20723.099999999999</c:v>
                </c:pt>
                <c:pt idx="284">
                  <c:v>20716.8</c:v>
                </c:pt>
                <c:pt idx="285">
                  <c:v>20710.599999999999</c:v>
                </c:pt>
                <c:pt idx="286">
                  <c:v>20704.599999999999</c:v>
                </c:pt>
                <c:pt idx="287">
                  <c:v>20698.7</c:v>
                </c:pt>
                <c:pt idx="288">
                  <c:v>20692.900000000001</c:v>
                </c:pt>
                <c:pt idx="289">
                  <c:v>20687.3</c:v>
                </c:pt>
                <c:pt idx="290">
                  <c:v>20681.7</c:v>
                </c:pt>
                <c:pt idx="291">
                  <c:v>20676.3</c:v>
                </c:pt>
                <c:pt idx="292">
                  <c:v>20671.099999999999</c:v>
                </c:pt>
                <c:pt idx="293">
                  <c:v>20665.900000000001</c:v>
                </c:pt>
                <c:pt idx="294">
                  <c:v>20660.900000000001</c:v>
                </c:pt>
                <c:pt idx="295">
                  <c:v>20656</c:v>
                </c:pt>
                <c:pt idx="296">
                  <c:v>20651.3</c:v>
                </c:pt>
                <c:pt idx="297">
                  <c:v>20646.599999999999</c:v>
                </c:pt>
                <c:pt idx="298">
                  <c:v>20642.099999999999</c:v>
                </c:pt>
                <c:pt idx="299">
                  <c:v>20637.7</c:v>
                </c:pt>
                <c:pt idx="300">
                  <c:v>20633.5</c:v>
                </c:pt>
                <c:pt idx="301">
                  <c:v>20629.3</c:v>
                </c:pt>
                <c:pt idx="302">
                  <c:v>20625.3</c:v>
                </c:pt>
                <c:pt idx="303">
                  <c:v>20621.5</c:v>
                </c:pt>
                <c:pt idx="304">
                  <c:v>20617.7</c:v>
                </c:pt>
                <c:pt idx="305">
                  <c:v>20614</c:v>
                </c:pt>
                <c:pt idx="306">
                  <c:v>20610.5</c:v>
                </c:pt>
                <c:pt idx="307">
                  <c:v>20607.099999999999</c:v>
                </c:pt>
                <c:pt idx="308">
                  <c:v>20603.8</c:v>
                </c:pt>
                <c:pt idx="309">
                  <c:v>20600.599999999999</c:v>
                </c:pt>
                <c:pt idx="310">
                  <c:v>20597.5</c:v>
                </c:pt>
                <c:pt idx="311">
                  <c:v>20594.599999999999</c:v>
                </c:pt>
                <c:pt idx="312">
                  <c:v>20591.7</c:v>
                </c:pt>
                <c:pt idx="313">
                  <c:v>20589</c:v>
                </c:pt>
                <c:pt idx="314">
                  <c:v>20586.3</c:v>
                </c:pt>
                <c:pt idx="315">
                  <c:v>20583.7</c:v>
                </c:pt>
                <c:pt idx="316">
                  <c:v>20581.3</c:v>
                </c:pt>
                <c:pt idx="317">
                  <c:v>20578.900000000001</c:v>
                </c:pt>
                <c:pt idx="318">
                  <c:v>20576.599999999999</c:v>
                </c:pt>
                <c:pt idx="319">
                  <c:v>20574.5</c:v>
                </c:pt>
                <c:pt idx="320">
                  <c:v>20572.400000000001</c:v>
                </c:pt>
                <c:pt idx="321">
                  <c:v>20570.400000000001</c:v>
                </c:pt>
                <c:pt idx="322">
                  <c:v>20568.400000000001</c:v>
                </c:pt>
                <c:pt idx="323">
                  <c:v>20567.3</c:v>
                </c:pt>
                <c:pt idx="324">
                  <c:v>20566.2</c:v>
                </c:pt>
                <c:pt idx="325">
                  <c:v>20565.2</c:v>
                </c:pt>
                <c:pt idx="326">
                  <c:v>20564.2</c:v>
                </c:pt>
                <c:pt idx="327">
                  <c:v>20563.400000000001</c:v>
                </c:pt>
                <c:pt idx="328">
                  <c:v>20562.599999999999</c:v>
                </c:pt>
                <c:pt idx="329">
                  <c:v>20561.8</c:v>
                </c:pt>
                <c:pt idx="330">
                  <c:v>20561.2</c:v>
                </c:pt>
                <c:pt idx="331">
                  <c:v>20560.599999999999</c:v>
                </c:pt>
                <c:pt idx="332">
                  <c:v>20560</c:v>
                </c:pt>
                <c:pt idx="333">
                  <c:v>20559.5</c:v>
                </c:pt>
                <c:pt idx="334">
                  <c:v>20565.8</c:v>
                </c:pt>
                <c:pt idx="335">
                  <c:v>20572</c:v>
                </c:pt>
                <c:pt idx="336">
                  <c:v>20578.400000000001</c:v>
                </c:pt>
                <c:pt idx="337">
                  <c:v>20584.7</c:v>
                </c:pt>
                <c:pt idx="338">
                  <c:v>20591.2</c:v>
                </c:pt>
                <c:pt idx="339">
                  <c:v>20597.599999999999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7C-124D-A75B-3EAFC9530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810940767"/>
        <c:scaling>
          <c:orientation val="minMax"/>
          <c:min val="203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areaChart>
        <c:grouping val="standard"/>
        <c:varyColors val="0"/>
        <c:ser>
          <c:idx val="0"/>
          <c:order val="0"/>
          <c:tx>
            <c:strRef>
              <c:f>'Fig 9e'!$E$2</c:f>
              <c:strCache>
                <c:ptCount val="1"/>
                <c:pt idx="0">
                  <c:v>Fe2p3/2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  <a:alpha val="0"/>
                  </a:schemeClr>
                </a:gs>
                <a:gs pos="100000">
                  <a:srgbClr val="4EA72D"/>
                </a:gs>
              </a:gsLst>
              <a:lin ang="16200000" scaled="1"/>
              <a:tileRect/>
            </a:gradFill>
            <a:ln>
              <a:noFill/>
            </a:ln>
            <a:effectLst>
              <a:softEdge rad="0"/>
            </a:effectLst>
          </c:spPr>
          <c:cat>
            <c:numRef>
              <c:f>'Fig 9e'!$A$4:$A$402</c:f>
              <c:numCache>
                <c:formatCode>General</c:formatCode>
                <c:ptCount val="399"/>
                <c:pt idx="0">
                  <c:v>740</c:v>
                </c:pt>
                <c:pt idx="1">
                  <c:v>739.9</c:v>
                </c:pt>
                <c:pt idx="2">
                  <c:v>739.8</c:v>
                </c:pt>
                <c:pt idx="3">
                  <c:v>739.7</c:v>
                </c:pt>
                <c:pt idx="4">
                  <c:v>739.6</c:v>
                </c:pt>
                <c:pt idx="5">
                  <c:v>739.5</c:v>
                </c:pt>
                <c:pt idx="6">
                  <c:v>739.4</c:v>
                </c:pt>
                <c:pt idx="7">
                  <c:v>739.3</c:v>
                </c:pt>
                <c:pt idx="8">
                  <c:v>739.2</c:v>
                </c:pt>
                <c:pt idx="9">
                  <c:v>739.1</c:v>
                </c:pt>
                <c:pt idx="10">
                  <c:v>739</c:v>
                </c:pt>
                <c:pt idx="11">
                  <c:v>738.9</c:v>
                </c:pt>
                <c:pt idx="12">
                  <c:v>738.8</c:v>
                </c:pt>
                <c:pt idx="13">
                  <c:v>738.7</c:v>
                </c:pt>
                <c:pt idx="14">
                  <c:v>738.6</c:v>
                </c:pt>
                <c:pt idx="15">
                  <c:v>738.5</c:v>
                </c:pt>
                <c:pt idx="16">
                  <c:v>738.4</c:v>
                </c:pt>
                <c:pt idx="17">
                  <c:v>738.3</c:v>
                </c:pt>
                <c:pt idx="18">
                  <c:v>738.2</c:v>
                </c:pt>
                <c:pt idx="19">
                  <c:v>738.1</c:v>
                </c:pt>
                <c:pt idx="20">
                  <c:v>738</c:v>
                </c:pt>
                <c:pt idx="21">
                  <c:v>737.9</c:v>
                </c:pt>
                <c:pt idx="22">
                  <c:v>737.8</c:v>
                </c:pt>
                <c:pt idx="23">
                  <c:v>737.7</c:v>
                </c:pt>
                <c:pt idx="24">
                  <c:v>737.6</c:v>
                </c:pt>
                <c:pt idx="25">
                  <c:v>737.5</c:v>
                </c:pt>
                <c:pt idx="26">
                  <c:v>737.4</c:v>
                </c:pt>
                <c:pt idx="27">
                  <c:v>737.3</c:v>
                </c:pt>
                <c:pt idx="28">
                  <c:v>737.2</c:v>
                </c:pt>
                <c:pt idx="29">
                  <c:v>737.1</c:v>
                </c:pt>
                <c:pt idx="30">
                  <c:v>737</c:v>
                </c:pt>
                <c:pt idx="31">
                  <c:v>736.9</c:v>
                </c:pt>
                <c:pt idx="32">
                  <c:v>736.8</c:v>
                </c:pt>
                <c:pt idx="33">
                  <c:v>736.7</c:v>
                </c:pt>
                <c:pt idx="34">
                  <c:v>736.6</c:v>
                </c:pt>
                <c:pt idx="35">
                  <c:v>736.5</c:v>
                </c:pt>
                <c:pt idx="36">
                  <c:v>736.4</c:v>
                </c:pt>
                <c:pt idx="37">
                  <c:v>736.3</c:v>
                </c:pt>
                <c:pt idx="38">
                  <c:v>736.2</c:v>
                </c:pt>
                <c:pt idx="39">
                  <c:v>736.1</c:v>
                </c:pt>
                <c:pt idx="40">
                  <c:v>736</c:v>
                </c:pt>
                <c:pt idx="41">
                  <c:v>735.9</c:v>
                </c:pt>
                <c:pt idx="42">
                  <c:v>735.8</c:v>
                </c:pt>
                <c:pt idx="43">
                  <c:v>735.7</c:v>
                </c:pt>
                <c:pt idx="44">
                  <c:v>735.6</c:v>
                </c:pt>
                <c:pt idx="45">
                  <c:v>735.5</c:v>
                </c:pt>
                <c:pt idx="46">
                  <c:v>735.4</c:v>
                </c:pt>
                <c:pt idx="47">
                  <c:v>735.3</c:v>
                </c:pt>
                <c:pt idx="48">
                  <c:v>735.2</c:v>
                </c:pt>
                <c:pt idx="49">
                  <c:v>735.1</c:v>
                </c:pt>
                <c:pt idx="50">
                  <c:v>735</c:v>
                </c:pt>
                <c:pt idx="51">
                  <c:v>734.9</c:v>
                </c:pt>
                <c:pt idx="52">
                  <c:v>734.8</c:v>
                </c:pt>
                <c:pt idx="53">
                  <c:v>734.7</c:v>
                </c:pt>
                <c:pt idx="54">
                  <c:v>734.6</c:v>
                </c:pt>
                <c:pt idx="55">
                  <c:v>734.5</c:v>
                </c:pt>
                <c:pt idx="56">
                  <c:v>734.4</c:v>
                </c:pt>
                <c:pt idx="57">
                  <c:v>734.3</c:v>
                </c:pt>
                <c:pt idx="58">
                  <c:v>734.2</c:v>
                </c:pt>
                <c:pt idx="59">
                  <c:v>734.1</c:v>
                </c:pt>
                <c:pt idx="60">
                  <c:v>734</c:v>
                </c:pt>
                <c:pt idx="61">
                  <c:v>733.9</c:v>
                </c:pt>
                <c:pt idx="62">
                  <c:v>733.8</c:v>
                </c:pt>
                <c:pt idx="63">
                  <c:v>733.7</c:v>
                </c:pt>
                <c:pt idx="64">
                  <c:v>733.6</c:v>
                </c:pt>
                <c:pt idx="65">
                  <c:v>733.5</c:v>
                </c:pt>
                <c:pt idx="66">
                  <c:v>733.4</c:v>
                </c:pt>
                <c:pt idx="67">
                  <c:v>733.3</c:v>
                </c:pt>
                <c:pt idx="68">
                  <c:v>733.2</c:v>
                </c:pt>
                <c:pt idx="69">
                  <c:v>733.1</c:v>
                </c:pt>
                <c:pt idx="70">
                  <c:v>733</c:v>
                </c:pt>
                <c:pt idx="71">
                  <c:v>732.9</c:v>
                </c:pt>
                <c:pt idx="72">
                  <c:v>732.8</c:v>
                </c:pt>
                <c:pt idx="73">
                  <c:v>732.7</c:v>
                </c:pt>
                <c:pt idx="74">
                  <c:v>732.6</c:v>
                </c:pt>
                <c:pt idx="75">
                  <c:v>732.5</c:v>
                </c:pt>
                <c:pt idx="76">
                  <c:v>732.4</c:v>
                </c:pt>
                <c:pt idx="77">
                  <c:v>732.3</c:v>
                </c:pt>
                <c:pt idx="78">
                  <c:v>732.2</c:v>
                </c:pt>
                <c:pt idx="79">
                  <c:v>732.1</c:v>
                </c:pt>
                <c:pt idx="80">
                  <c:v>732</c:v>
                </c:pt>
                <c:pt idx="81">
                  <c:v>731.9</c:v>
                </c:pt>
                <c:pt idx="82">
                  <c:v>731.8</c:v>
                </c:pt>
                <c:pt idx="83">
                  <c:v>731.7</c:v>
                </c:pt>
                <c:pt idx="84">
                  <c:v>731.6</c:v>
                </c:pt>
                <c:pt idx="85">
                  <c:v>731.5</c:v>
                </c:pt>
                <c:pt idx="86">
                  <c:v>731.4</c:v>
                </c:pt>
                <c:pt idx="87">
                  <c:v>731.3</c:v>
                </c:pt>
                <c:pt idx="88">
                  <c:v>731.2</c:v>
                </c:pt>
                <c:pt idx="89">
                  <c:v>731.1</c:v>
                </c:pt>
                <c:pt idx="90">
                  <c:v>731</c:v>
                </c:pt>
                <c:pt idx="91">
                  <c:v>730.9</c:v>
                </c:pt>
                <c:pt idx="92">
                  <c:v>730.8</c:v>
                </c:pt>
                <c:pt idx="93">
                  <c:v>730.7</c:v>
                </c:pt>
                <c:pt idx="94">
                  <c:v>730.6</c:v>
                </c:pt>
                <c:pt idx="95">
                  <c:v>730.5</c:v>
                </c:pt>
                <c:pt idx="96">
                  <c:v>730.4</c:v>
                </c:pt>
                <c:pt idx="97">
                  <c:v>730.3</c:v>
                </c:pt>
                <c:pt idx="98">
                  <c:v>730.2</c:v>
                </c:pt>
                <c:pt idx="99">
                  <c:v>730.1</c:v>
                </c:pt>
                <c:pt idx="100">
                  <c:v>730</c:v>
                </c:pt>
                <c:pt idx="101">
                  <c:v>729.9</c:v>
                </c:pt>
                <c:pt idx="102">
                  <c:v>729.8</c:v>
                </c:pt>
                <c:pt idx="103">
                  <c:v>729.7</c:v>
                </c:pt>
                <c:pt idx="104">
                  <c:v>729.6</c:v>
                </c:pt>
                <c:pt idx="105">
                  <c:v>729.5</c:v>
                </c:pt>
                <c:pt idx="106">
                  <c:v>729.4</c:v>
                </c:pt>
                <c:pt idx="107">
                  <c:v>729.3</c:v>
                </c:pt>
                <c:pt idx="108">
                  <c:v>729.2</c:v>
                </c:pt>
                <c:pt idx="109">
                  <c:v>729.1</c:v>
                </c:pt>
                <c:pt idx="110">
                  <c:v>729</c:v>
                </c:pt>
                <c:pt idx="111">
                  <c:v>728.9</c:v>
                </c:pt>
                <c:pt idx="112">
                  <c:v>728.8</c:v>
                </c:pt>
                <c:pt idx="113">
                  <c:v>728.7</c:v>
                </c:pt>
                <c:pt idx="114">
                  <c:v>728.6</c:v>
                </c:pt>
                <c:pt idx="115">
                  <c:v>728.5</c:v>
                </c:pt>
                <c:pt idx="116">
                  <c:v>728.4</c:v>
                </c:pt>
                <c:pt idx="117">
                  <c:v>728.3</c:v>
                </c:pt>
                <c:pt idx="118">
                  <c:v>728.2</c:v>
                </c:pt>
                <c:pt idx="119">
                  <c:v>728.1</c:v>
                </c:pt>
                <c:pt idx="120">
                  <c:v>728</c:v>
                </c:pt>
                <c:pt idx="121">
                  <c:v>727.9</c:v>
                </c:pt>
                <c:pt idx="122">
                  <c:v>727.8</c:v>
                </c:pt>
                <c:pt idx="123">
                  <c:v>727.7</c:v>
                </c:pt>
                <c:pt idx="124">
                  <c:v>727.6</c:v>
                </c:pt>
                <c:pt idx="125">
                  <c:v>727.5</c:v>
                </c:pt>
                <c:pt idx="126">
                  <c:v>727.4</c:v>
                </c:pt>
                <c:pt idx="127">
                  <c:v>727.3</c:v>
                </c:pt>
                <c:pt idx="128">
                  <c:v>727.2</c:v>
                </c:pt>
                <c:pt idx="129">
                  <c:v>727.1</c:v>
                </c:pt>
                <c:pt idx="130">
                  <c:v>727</c:v>
                </c:pt>
                <c:pt idx="131">
                  <c:v>726.9</c:v>
                </c:pt>
                <c:pt idx="132">
                  <c:v>726.8</c:v>
                </c:pt>
                <c:pt idx="133">
                  <c:v>726.7</c:v>
                </c:pt>
                <c:pt idx="134">
                  <c:v>726.6</c:v>
                </c:pt>
                <c:pt idx="135">
                  <c:v>726.5</c:v>
                </c:pt>
                <c:pt idx="136">
                  <c:v>726.4</c:v>
                </c:pt>
                <c:pt idx="137">
                  <c:v>726.3</c:v>
                </c:pt>
                <c:pt idx="138">
                  <c:v>726.2</c:v>
                </c:pt>
                <c:pt idx="139">
                  <c:v>726.1</c:v>
                </c:pt>
                <c:pt idx="140">
                  <c:v>726</c:v>
                </c:pt>
                <c:pt idx="141">
                  <c:v>725.9</c:v>
                </c:pt>
                <c:pt idx="142">
                  <c:v>725.8</c:v>
                </c:pt>
                <c:pt idx="143">
                  <c:v>725.7</c:v>
                </c:pt>
                <c:pt idx="144">
                  <c:v>725.6</c:v>
                </c:pt>
                <c:pt idx="145">
                  <c:v>725.5</c:v>
                </c:pt>
                <c:pt idx="146">
                  <c:v>725.4</c:v>
                </c:pt>
                <c:pt idx="147">
                  <c:v>725.3</c:v>
                </c:pt>
                <c:pt idx="148">
                  <c:v>725.2</c:v>
                </c:pt>
                <c:pt idx="149">
                  <c:v>725.1</c:v>
                </c:pt>
                <c:pt idx="150">
                  <c:v>725</c:v>
                </c:pt>
                <c:pt idx="151">
                  <c:v>724.9</c:v>
                </c:pt>
                <c:pt idx="152">
                  <c:v>724.8</c:v>
                </c:pt>
                <c:pt idx="153">
                  <c:v>724.7</c:v>
                </c:pt>
                <c:pt idx="154">
                  <c:v>724.6</c:v>
                </c:pt>
                <c:pt idx="155">
                  <c:v>724.5</c:v>
                </c:pt>
                <c:pt idx="156">
                  <c:v>724.4</c:v>
                </c:pt>
                <c:pt idx="157">
                  <c:v>724.3</c:v>
                </c:pt>
                <c:pt idx="158">
                  <c:v>724.2</c:v>
                </c:pt>
                <c:pt idx="159">
                  <c:v>724.1</c:v>
                </c:pt>
                <c:pt idx="160">
                  <c:v>724</c:v>
                </c:pt>
                <c:pt idx="161">
                  <c:v>723.9</c:v>
                </c:pt>
                <c:pt idx="162">
                  <c:v>723.8</c:v>
                </c:pt>
                <c:pt idx="163">
                  <c:v>723.7</c:v>
                </c:pt>
                <c:pt idx="164">
                  <c:v>723.6</c:v>
                </c:pt>
                <c:pt idx="165">
                  <c:v>723.5</c:v>
                </c:pt>
                <c:pt idx="166">
                  <c:v>723.4</c:v>
                </c:pt>
                <c:pt idx="167">
                  <c:v>723.3</c:v>
                </c:pt>
                <c:pt idx="168">
                  <c:v>723.2</c:v>
                </c:pt>
                <c:pt idx="169">
                  <c:v>723.1</c:v>
                </c:pt>
                <c:pt idx="170">
                  <c:v>723</c:v>
                </c:pt>
                <c:pt idx="171">
                  <c:v>722.9</c:v>
                </c:pt>
                <c:pt idx="172">
                  <c:v>722.8</c:v>
                </c:pt>
                <c:pt idx="173">
                  <c:v>722.7</c:v>
                </c:pt>
                <c:pt idx="174">
                  <c:v>722.6</c:v>
                </c:pt>
                <c:pt idx="175">
                  <c:v>722.5</c:v>
                </c:pt>
                <c:pt idx="176">
                  <c:v>722.4</c:v>
                </c:pt>
                <c:pt idx="177">
                  <c:v>722.3</c:v>
                </c:pt>
                <c:pt idx="178">
                  <c:v>722.2</c:v>
                </c:pt>
                <c:pt idx="179">
                  <c:v>722.1</c:v>
                </c:pt>
                <c:pt idx="180">
                  <c:v>722</c:v>
                </c:pt>
                <c:pt idx="181">
                  <c:v>721.9</c:v>
                </c:pt>
                <c:pt idx="182">
                  <c:v>721.8</c:v>
                </c:pt>
                <c:pt idx="183">
                  <c:v>721.7</c:v>
                </c:pt>
                <c:pt idx="184">
                  <c:v>721.6</c:v>
                </c:pt>
                <c:pt idx="185">
                  <c:v>721.5</c:v>
                </c:pt>
                <c:pt idx="186">
                  <c:v>721.4</c:v>
                </c:pt>
                <c:pt idx="187">
                  <c:v>721.3</c:v>
                </c:pt>
                <c:pt idx="188">
                  <c:v>721.2</c:v>
                </c:pt>
                <c:pt idx="189">
                  <c:v>721.1</c:v>
                </c:pt>
                <c:pt idx="190">
                  <c:v>721</c:v>
                </c:pt>
                <c:pt idx="191">
                  <c:v>720.9</c:v>
                </c:pt>
                <c:pt idx="192">
                  <c:v>720.8</c:v>
                </c:pt>
                <c:pt idx="193">
                  <c:v>720.7</c:v>
                </c:pt>
                <c:pt idx="194">
                  <c:v>720.6</c:v>
                </c:pt>
                <c:pt idx="195">
                  <c:v>720.5</c:v>
                </c:pt>
                <c:pt idx="196">
                  <c:v>720.4</c:v>
                </c:pt>
                <c:pt idx="197">
                  <c:v>720.3</c:v>
                </c:pt>
                <c:pt idx="198">
                  <c:v>720.2</c:v>
                </c:pt>
                <c:pt idx="199">
                  <c:v>720.1</c:v>
                </c:pt>
                <c:pt idx="200">
                  <c:v>720</c:v>
                </c:pt>
                <c:pt idx="201">
                  <c:v>719.9</c:v>
                </c:pt>
                <c:pt idx="202">
                  <c:v>719.8</c:v>
                </c:pt>
                <c:pt idx="203">
                  <c:v>719.7</c:v>
                </c:pt>
                <c:pt idx="204">
                  <c:v>719.6</c:v>
                </c:pt>
                <c:pt idx="205">
                  <c:v>719.5</c:v>
                </c:pt>
                <c:pt idx="206">
                  <c:v>719.4</c:v>
                </c:pt>
                <c:pt idx="207">
                  <c:v>719.3</c:v>
                </c:pt>
                <c:pt idx="208">
                  <c:v>719.2</c:v>
                </c:pt>
                <c:pt idx="209">
                  <c:v>719.1</c:v>
                </c:pt>
                <c:pt idx="210">
                  <c:v>719</c:v>
                </c:pt>
                <c:pt idx="211">
                  <c:v>718.9</c:v>
                </c:pt>
                <c:pt idx="212">
                  <c:v>718.8</c:v>
                </c:pt>
                <c:pt idx="213">
                  <c:v>718.7</c:v>
                </c:pt>
                <c:pt idx="214">
                  <c:v>718.6</c:v>
                </c:pt>
                <c:pt idx="215">
                  <c:v>718.5</c:v>
                </c:pt>
                <c:pt idx="216">
                  <c:v>718.4</c:v>
                </c:pt>
                <c:pt idx="217">
                  <c:v>718.3</c:v>
                </c:pt>
                <c:pt idx="218">
                  <c:v>718.2</c:v>
                </c:pt>
                <c:pt idx="219">
                  <c:v>718.1</c:v>
                </c:pt>
                <c:pt idx="220">
                  <c:v>718</c:v>
                </c:pt>
                <c:pt idx="221">
                  <c:v>717.9</c:v>
                </c:pt>
                <c:pt idx="222">
                  <c:v>717.8</c:v>
                </c:pt>
                <c:pt idx="223">
                  <c:v>717.7</c:v>
                </c:pt>
                <c:pt idx="224">
                  <c:v>717.6</c:v>
                </c:pt>
                <c:pt idx="225">
                  <c:v>717.5</c:v>
                </c:pt>
                <c:pt idx="226">
                  <c:v>717.4</c:v>
                </c:pt>
                <c:pt idx="227">
                  <c:v>717.3</c:v>
                </c:pt>
                <c:pt idx="228">
                  <c:v>717.2</c:v>
                </c:pt>
                <c:pt idx="229">
                  <c:v>717.1</c:v>
                </c:pt>
                <c:pt idx="230">
                  <c:v>717</c:v>
                </c:pt>
                <c:pt idx="231">
                  <c:v>716.9</c:v>
                </c:pt>
                <c:pt idx="232">
                  <c:v>716.8</c:v>
                </c:pt>
                <c:pt idx="233">
                  <c:v>716.7</c:v>
                </c:pt>
                <c:pt idx="234">
                  <c:v>716.6</c:v>
                </c:pt>
                <c:pt idx="235">
                  <c:v>716.5</c:v>
                </c:pt>
                <c:pt idx="236">
                  <c:v>716.4</c:v>
                </c:pt>
                <c:pt idx="237">
                  <c:v>716.3</c:v>
                </c:pt>
                <c:pt idx="238">
                  <c:v>716.2</c:v>
                </c:pt>
                <c:pt idx="239">
                  <c:v>716.1</c:v>
                </c:pt>
                <c:pt idx="240">
                  <c:v>716</c:v>
                </c:pt>
                <c:pt idx="241">
                  <c:v>715.9</c:v>
                </c:pt>
                <c:pt idx="242">
                  <c:v>715.8</c:v>
                </c:pt>
                <c:pt idx="243">
                  <c:v>715.7</c:v>
                </c:pt>
                <c:pt idx="244">
                  <c:v>715.6</c:v>
                </c:pt>
                <c:pt idx="245">
                  <c:v>715.5</c:v>
                </c:pt>
                <c:pt idx="246">
                  <c:v>715.4</c:v>
                </c:pt>
                <c:pt idx="247">
                  <c:v>715.3</c:v>
                </c:pt>
                <c:pt idx="248">
                  <c:v>715.2</c:v>
                </c:pt>
                <c:pt idx="249">
                  <c:v>715.1</c:v>
                </c:pt>
                <c:pt idx="250">
                  <c:v>715</c:v>
                </c:pt>
                <c:pt idx="251">
                  <c:v>714.9</c:v>
                </c:pt>
                <c:pt idx="252">
                  <c:v>714.8</c:v>
                </c:pt>
                <c:pt idx="253">
                  <c:v>714.7</c:v>
                </c:pt>
                <c:pt idx="254">
                  <c:v>714.6</c:v>
                </c:pt>
                <c:pt idx="255">
                  <c:v>714.5</c:v>
                </c:pt>
                <c:pt idx="256">
                  <c:v>714.4</c:v>
                </c:pt>
                <c:pt idx="257">
                  <c:v>714.3</c:v>
                </c:pt>
                <c:pt idx="258">
                  <c:v>714.2</c:v>
                </c:pt>
                <c:pt idx="259">
                  <c:v>714.1</c:v>
                </c:pt>
                <c:pt idx="260">
                  <c:v>714</c:v>
                </c:pt>
                <c:pt idx="261">
                  <c:v>713.9</c:v>
                </c:pt>
                <c:pt idx="262">
                  <c:v>713.8</c:v>
                </c:pt>
                <c:pt idx="263">
                  <c:v>713.7</c:v>
                </c:pt>
                <c:pt idx="264">
                  <c:v>713.6</c:v>
                </c:pt>
                <c:pt idx="265">
                  <c:v>713.5</c:v>
                </c:pt>
                <c:pt idx="266">
                  <c:v>713.4</c:v>
                </c:pt>
                <c:pt idx="267">
                  <c:v>713.3</c:v>
                </c:pt>
                <c:pt idx="268">
                  <c:v>713.2</c:v>
                </c:pt>
                <c:pt idx="269">
                  <c:v>713.1</c:v>
                </c:pt>
                <c:pt idx="270">
                  <c:v>713</c:v>
                </c:pt>
                <c:pt idx="271">
                  <c:v>712.9</c:v>
                </c:pt>
                <c:pt idx="272">
                  <c:v>712.8</c:v>
                </c:pt>
                <c:pt idx="273">
                  <c:v>712.7</c:v>
                </c:pt>
                <c:pt idx="274">
                  <c:v>712.6</c:v>
                </c:pt>
                <c:pt idx="275">
                  <c:v>712.5</c:v>
                </c:pt>
                <c:pt idx="276">
                  <c:v>712.4</c:v>
                </c:pt>
                <c:pt idx="277">
                  <c:v>712.3</c:v>
                </c:pt>
                <c:pt idx="278">
                  <c:v>712.2</c:v>
                </c:pt>
                <c:pt idx="279">
                  <c:v>712.1</c:v>
                </c:pt>
                <c:pt idx="280">
                  <c:v>712</c:v>
                </c:pt>
                <c:pt idx="281">
                  <c:v>711.9</c:v>
                </c:pt>
                <c:pt idx="282">
                  <c:v>711.8</c:v>
                </c:pt>
                <c:pt idx="283">
                  <c:v>711.7</c:v>
                </c:pt>
                <c:pt idx="284">
                  <c:v>711.6</c:v>
                </c:pt>
                <c:pt idx="285">
                  <c:v>711.5</c:v>
                </c:pt>
                <c:pt idx="286">
                  <c:v>711.4</c:v>
                </c:pt>
                <c:pt idx="287">
                  <c:v>711.3</c:v>
                </c:pt>
                <c:pt idx="288">
                  <c:v>711.2</c:v>
                </c:pt>
                <c:pt idx="289">
                  <c:v>711.1</c:v>
                </c:pt>
                <c:pt idx="290">
                  <c:v>711</c:v>
                </c:pt>
                <c:pt idx="291">
                  <c:v>710.9</c:v>
                </c:pt>
                <c:pt idx="292">
                  <c:v>710.8</c:v>
                </c:pt>
                <c:pt idx="293">
                  <c:v>710.7</c:v>
                </c:pt>
                <c:pt idx="294">
                  <c:v>710.6</c:v>
                </c:pt>
                <c:pt idx="295">
                  <c:v>710.5</c:v>
                </c:pt>
                <c:pt idx="296">
                  <c:v>710.4</c:v>
                </c:pt>
                <c:pt idx="297">
                  <c:v>710.3</c:v>
                </c:pt>
                <c:pt idx="298">
                  <c:v>710.2</c:v>
                </c:pt>
                <c:pt idx="299">
                  <c:v>710.1</c:v>
                </c:pt>
                <c:pt idx="300">
                  <c:v>710</c:v>
                </c:pt>
                <c:pt idx="301">
                  <c:v>709.9</c:v>
                </c:pt>
                <c:pt idx="302">
                  <c:v>709.8</c:v>
                </c:pt>
                <c:pt idx="303">
                  <c:v>709.7</c:v>
                </c:pt>
                <c:pt idx="304">
                  <c:v>709.6</c:v>
                </c:pt>
                <c:pt idx="305">
                  <c:v>709.5</c:v>
                </c:pt>
                <c:pt idx="306">
                  <c:v>709.4</c:v>
                </c:pt>
                <c:pt idx="307">
                  <c:v>709.3</c:v>
                </c:pt>
                <c:pt idx="308">
                  <c:v>709.2</c:v>
                </c:pt>
                <c:pt idx="309">
                  <c:v>709.1</c:v>
                </c:pt>
                <c:pt idx="310">
                  <c:v>709</c:v>
                </c:pt>
                <c:pt idx="311">
                  <c:v>708.9</c:v>
                </c:pt>
                <c:pt idx="312">
                  <c:v>708.8</c:v>
                </c:pt>
                <c:pt idx="313">
                  <c:v>708.7</c:v>
                </c:pt>
                <c:pt idx="314">
                  <c:v>708.6</c:v>
                </c:pt>
                <c:pt idx="315">
                  <c:v>708.5</c:v>
                </c:pt>
                <c:pt idx="316">
                  <c:v>708.4</c:v>
                </c:pt>
                <c:pt idx="317">
                  <c:v>708.3</c:v>
                </c:pt>
                <c:pt idx="318">
                  <c:v>708.2</c:v>
                </c:pt>
                <c:pt idx="319">
                  <c:v>708.1</c:v>
                </c:pt>
                <c:pt idx="320">
                  <c:v>708</c:v>
                </c:pt>
                <c:pt idx="321">
                  <c:v>707.9</c:v>
                </c:pt>
                <c:pt idx="322">
                  <c:v>707.8</c:v>
                </c:pt>
                <c:pt idx="323">
                  <c:v>707.7</c:v>
                </c:pt>
                <c:pt idx="324">
                  <c:v>707.6</c:v>
                </c:pt>
                <c:pt idx="325">
                  <c:v>707.5</c:v>
                </c:pt>
                <c:pt idx="326">
                  <c:v>707.4</c:v>
                </c:pt>
                <c:pt idx="327">
                  <c:v>707.3</c:v>
                </c:pt>
                <c:pt idx="328">
                  <c:v>707.2</c:v>
                </c:pt>
                <c:pt idx="329">
                  <c:v>707.1</c:v>
                </c:pt>
                <c:pt idx="330">
                  <c:v>707</c:v>
                </c:pt>
                <c:pt idx="331">
                  <c:v>706.9</c:v>
                </c:pt>
                <c:pt idx="332">
                  <c:v>706.8</c:v>
                </c:pt>
                <c:pt idx="333">
                  <c:v>706.7</c:v>
                </c:pt>
                <c:pt idx="334">
                  <c:v>706.6</c:v>
                </c:pt>
                <c:pt idx="335">
                  <c:v>706.5</c:v>
                </c:pt>
                <c:pt idx="336">
                  <c:v>706.4</c:v>
                </c:pt>
                <c:pt idx="337">
                  <c:v>706.3</c:v>
                </c:pt>
                <c:pt idx="338">
                  <c:v>706.2</c:v>
                </c:pt>
                <c:pt idx="339">
                  <c:v>706.1</c:v>
                </c:pt>
                <c:pt idx="340">
                  <c:v>706</c:v>
                </c:pt>
                <c:pt idx="341">
                  <c:v>705.9</c:v>
                </c:pt>
                <c:pt idx="342">
                  <c:v>705.8</c:v>
                </c:pt>
                <c:pt idx="343">
                  <c:v>705.7</c:v>
                </c:pt>
                <c:pt idx="344">
                  <c:v>705.6</c:v>
                </c:pt>
                <c:pt idx="345">
                  <c:v>705.5</c:v>
                </c:pt>
                <c:pt idx="346">
                  <c:v>705.4</c:v>
                </c:pt>
                <c:pt idx="347">
                  <c:v>705.3</c:v>
                </c:pt>
                <c:pt idx="348">
                  <c:v>705.2</c:v>
                </c:pt>
                <c:pt idx="349">
                  <c:v>705.1</c:v>
                </c:pt>
                <c:pt idx="350">
                  <c:v>705</c:v>
                </c:pt>
                <c:pt idx="351">
                  <c:v>704.9</c:v>
                </c:pt>
                <c:pt idx="352">
                  <c:v>704.8</c:v>
                </c:pt>
                <c:pt idx="353">
                  <c:v>704.7</c:v>
                </c:pt>
                <c:pt idx="354">
                  <c:v>704.6</c:v>
                </c:pt>
                <c:pt idx="355">
                  <c:v>704.5</c:v>
                </c:pt>
                <c:pt idx="356">
                  <c:v>704.4</c:v>
                </c:pt>
                <c:pt idx="357">
                  <c:v>704.3</c:v>
                </c:pt>
                <c:pt idx="358">
                  <c:v>704.2</c:v>
                </c:pt>
                <c:pt idx="359">
                  <c:v>704.1</c:v>
                </c:pt>
                <c:pt idx="360">
                  <c:v>704</c:v>
                </c:pt>
                <c:pt idx="361">
                  <c:v>703.9</c:v>
                </c:pt>
                <c:pt idx="362">
                  <c:v>703.8</c:v>
                </c:pt>
                <c:pt idx="363">
                  <c:v>703.7</c:v>
                </c:pt>
                <c:pt idx="364">
                  <c:v>703.6</c:v>
                </c:pt>
                <c:pt idx="365">
                  <c:v>703.5</c:v>
                </c:pt>
                <c:pt idx="366">
                  <c:v>703.4</c:v>
                </c:pt>
                <c:pt idx="367">
                  <c:v>703.3</c:v>
                </c:pt>
                <c:pt idx="368">
                  <c:v>703.2</c:v>
                </c:pt>
                <c:pt idx="369">
                  <c:v>703.1</c:v>
                </c:pt>
                <c:pt idx="370">
                  <c:v>703</c:v>
                </c:pt>
                <c:pt idx="371">
                  <c:v>702.9</c:v>
                </c:pt>
                <c:pt idx="372">
                  <c:v>702.8</c:v>
                </c:pt>
                <c:pt idx="373">
                  <c:v>702.7</c:v>
                </c:pt>
                <c:pt idx="374">
                  <c:v>702.6</c:v>
                </c:pt>
                <c:pt idx="375">
                  <c:v>702.5</c:v>
                </c:pt>
                <c:pt idx="376">
                  <c:v>702.4</c:v>
                </c:pt>
                <c:pt idx="377">
                  <c:v>702.3</c:v>
                </c:pt>
                <c:pt idx="378">
                  <c:v>702.2</c:v>
                </c:pt>
                <c:pt idx="379">
                  <c:v>702.1</c:v>
                </c:pt>
                <c:pt idx="380">
                  <c:v>702</c:v>
                </c:pt>
                <c:pt idx="381">
                  <c:v>701.9</c:v>
                </c:pt>
                <c:pt idx="382">
                  <c:v>701.8</c:v>
                </c:pt>
                <c:pt idx="383">
                  <c:v>701.7</c:v>
                </c:pt>
                <c:pt idx="384">
                  <c:v>701.6</c:v>
                </c:pt>
                <c:pt idx="385">
                  <c:v>701.5</c:v>
                </c:pt>
                <c:pt idx="386">
                  <c:v>701.4</c:v>
                </c:pt>
                <c:pt idx="387">
                  <c:v>701.3</c:v>
                </c:pt>
                <c:pt idx="388">
                  <c:v>701.2</c:v>
                </c:pt>
                <c:pt idx="389">
                  <c:v>701.1</c:v>
                </c:pt>
                <c:pt idx="390">
                  <c:v>701</c:v>
                </c:pt>
                <c:pt idx="391">
                  <c:v>700.9</c:v>
                </c:pt>
                <c:pt idx="392">
                  <c:v>700.8</c:v>
                </c:pt>
                <c:pt idx="393">
                  <c:v>700.7</c:v>
                </c:pt>
                <c:pt idx="394">
                  <c:v>700.6</c:v>
                </c:pt>
                <c:pt idx="395">
                  <c:v>700.5</c:v>
                </c:pt>
                <c:pt idx="396">
                  <c:v>700.4</c:v>
                </c:pt>
                <c:pt idx="397">
                  <c:v>700.3</c:v>
                </c:pt>
                <c:pt idx="398">
                  <c:v>700.2</c:v>
                </c:pt>
              </c:numCache>
            </c:numRef>
          </c:cat>
          <c:val>
            <c:numRef>
              <c:f>'Fig 9e'!$E$4:$E$402</c:f>
              <c:numCache>
                <c:formatCode>General</c:formatCode>
                <c:ptCount val="399"/>
                <c:pt idx="0">
                  <c:v>9204.42</c:v>
                </c:pt>
                <c:pt idx="1">
                  <c:v>9203.64</c:v>
                </c:pt>
                <c:pt idx="2">
                  <c:v>9187.7000000000007</c:v>
                </c:pt>
                <c:pt idx="3">
                  <c:v>9176.7900000000009</c:v>
                </c:pt>
                <c:pt idx="4">
                  <c:v>9173.32</c:v>
                </c:pt>
                <c:pt idx="5">
                  <c:v>9169.56</c:v>
                </c:pt>
                <c:pt idx="6">
                  <c:v>9154.76</c:v>
                </c:pt>
                <c:pt idx="7">
                  <c:v>9154.76</c:v>
                </c:pt>
                <c:pt idx="8">
                  <c:v>9154.65</c:v>
                </c:pt>
                <c:pt idx="9">
                  <c:v>9154.4599999999991</c:v>
                </c:pt>
                <c:pt idx="10">
                  <c:v>9154.23</c:v>
                </c:pt>
                <c:pt idx="11">
                  <c:v>9153.85</c:v>
                </c:pt>
                <c:pt idx="12">
                  <c:v>9153.36</c:v>
                </c:pt>
                <c:pt idx="13">
                  <c:v>9152.89</c:v>
                </c:pt>
                <c:pt idx="14">
                  <c:v>9152.32</c:v>
                </c:pt>
                <c:pt idx="15">
                  <c:v>9151.81</c:v>
                </c:pt>
                <c:pt idx="16">
                  <c:v>9151.39</c:v>
                </c:pt>
                <c:pt idx="17">
                  <c:v>9151.1</c:v>
                </c:pt>
                <c:pt idx="18">
                  <c:v>9150.92</c:v>
                </c:pt>
                <c:pt idx="19">
                  <c:v>9150.83</c:v>
                </c:pt>
                <c:pt idx="20">
                  <c:v>9150.7999999999993</c:v>
                </c:pt>
                <c:pt idx="21">
                  <c:v>9150.7999999999993</c:v>
                </c:pt>
                <c:pt idx="22">
                  <c:v>9150.65</c:v>
                </c:pt>
                <c:pt idx="23">
                  <c:v>9150.33</c:v>
                </c:pt>
                <c:pt idx="24">
                  <c:v>9149.93</c:v>
                </c:pt>
                <c:pt idx="25">
                  <c:v>9149.44</c:v>
                </c:pt>
                <c:pt idx="26">
                  <c:v>9148.91</c:v>
                </c:pt>
                <c:pt idx="27">
                  <c:v>9148.5</c:v>
                </c:pt>
                <c:pt idx="28">
                  <c:v>9148.11</c:v>
                </c:pt>
                <c:pt idx="29">
                  <c:v>9147.77</c:v>
                </c:pt>
                <c:pt idx="30">
                  <c:v>9147.3799999999992</c:v>
                </c:pt>
                <c:pt idx="31">
                  <c:v>9147.07</c:v>
                </c:pt>
                <c:pt idx="32">
                  <c:v>9146.91</c:v>
                </c:pt>
                <c:pt idx="33">
                  <c:v>9146.84</c:v>
                </c:pt>
                <c:pt idx="34">
                  <c:v>9146.84</c:v>
                </c:pt>
                <c:pt idx="35">
                  <c:v>9147.43</c:v>
                </c:pt>
                <c:pt idx="36">
                  <c:v>9148.01</c:v>
                </c:pt>
                <c:pt idx="37">
                  <c:v>9148.59</c:v>
                </c:pt>
                <c:pt idx="38">
                  <c:v>9149.18</c:v>
                </c:pt>
                <c:pt idx="39">
                  <c:v>9149.76</c:v>
                </c:pt>
                <c:pt idx="40">
                  <c:v>9150.34</c:v>
                </c:pt>
                <c:pt idx="41">
                  <c:v>9150.93</c:v>
                </c:pt>
                <c:pt idx="42">
                  <c:v>9151.51</c:v>
                </c:pt>
                <c:pt idx="43">
                  <c:v>9152.09</c:v>
                </c:pt>
                <c:pt idx="44">
                  <c:v>9152.68</c:v>
                </c:pt>
                <c:pt idx="45">
                  <c:v>9153.26</c:v>
                </c:pt>
                <c:pt idx="46">
                  <c:v>9153.85</c:v>
                </c:pt>
                <c:pt idx="47">
                  <c:v>9154.43</c:v>
                </c:pt>
                <c:pt idx="48">
                  <c:v>9155.02</c:v>
                </c:pt>
                <c:pt idx="49">
                  <c:v>9155.6</c:v>
                </c:pt>
                <c:pt idx="50">
                  <c:v>9156.19</c:v>
                </c:pt>
                <c:pt idx="51">
                  <c:v>9156.77</c:v>
                </c:pt>
                <c:pt idx="52">
                  <c:v>9157.36</c:v>
                </c:pt>
                <c:pt idx="53">
                  <c:v>9157.94</c:v>
                </c:pt>
                <c:pt idx="54">
                  <c:v>9158.5300000000007</c:v>
                </c:pt>
                <c:pt idx="55">
                  <c:v>9159.1200000000008</c:v>
                </c:pt>
                <c:pt idx="56">
                  <c:v>9159.7000000000007</c:v>
                </c:pt>
                <c:pt idx="57">
                  <c:v>9160.2900000000009</c:v>
                </c:pt>
                <c:pt idx="58">
                  <c:v>9160.8700000000008</c:v>
                </c:pt>
                <c:pt idx="59">
                  <c:v>9161.4599999999991</c:v>
                </c:pt>
                <c:pt idx="60">
                  <c:v>9162.0499999999993</c:v>
                </c:pt>
                <c:pt idx="61">
                  <c:v>9162.6299999999992</c:v>
                </c:pt>
                <c:pt idx="62">
                  <c:v>9163.2199999999993</c:v>
                </c:pt>
                <c:pt idx="63">
                  <c:v>9163.81</c:v>
                </c:pt>
                <c:pt idx="64">
                  <c:v>9164.39</c:v>
                </c:pt>
                <c:pt idx="65">
                  <c:v>9164.98</c:v>
                </c:pt>
                <c:pt idx="66">
                  <c:v>9165.57</c:v>
                </c:pt>
                <c:pt idx="67">
                  <c:v>9166.16</c:v>
                </c:pt>
                <c:pt idx="68">
                  <c:v>9166.75</c:v>
                </c:pt>
                <c:pt idx="69">
                  <c:v>9167.33</c:v>
                </c:pt>
                <c:pt idx="70">
                  <c:v>9167.92</c:v>
                </c:pt>
                <c:pt idx="71">
                  <c:v>9168.51</c:v>
                </c:pt>
                <c:pt idx="72">
                  <c:v>9169.1</c:v>
                </c:pt>
                <c:pt idx="73">
                  <c:v>9169.69</c:v>
                </c:pt>
                <c:pt idx="74">
                  <c:v>9170.2800000000007</c:v>
                </c:pt>
                <c:pt idx="75">
                  <c:v>9170.8700000000008</c:v>
                </c:pt>
                <c:pt idx="76">
                  <c:v>9171.4599999999991</c:v>
                </c:pt>
                <c:pt idx="77">
                  <c:v>9172.0499999999993</c:v>
                </c:pt>
                <c:pt idx="78">
                  <c:v>9172.64</c:v>
                </c:pt>
                <c:pt idx="79">
                  <c:v>9173.23</c:v>
                </c:pt>
                <c:pt idx="80">
                  <c:v>9173.82</c:v>
                </c:pt>
                <c:pt idx="81">
                  <c:v>9174.41</c:v>
                </c:pt>
                <c:pt idx="82">
                  <c:v>9175</c:v>
                </c:pt>
                <c:pt idx="83">
                  <c:v>9175.59</c:v>
                </c:pt>
                <c:pt idx="84">
                  <c:v>9176.19</c:v>
                </c:pt>
                <c:pt idx="85">
                  <c:v>9176.7800000000007</c:v>
                </c:pt>
                <c:pt idx="86">
                  <c:v>9177.3700000000008</c:v>
                </c:pt>
                <c:pt idx="87">
                  <c:v>9177.9599999999991</c:v>
                </c:pt>
                <c:pt idx="88">
                  <c:v>9178.56</c:v>
                </c:pt>
                <c:pt idx="89">
                  <c:v>9179.15</c:v>
                </c:pt>
                <c:pt idx="90">
                  <c:v>9179.74</c:v>
                </c:pt>
                <c:pt idx="91">
                  <c:v>9180.34</c:v>
                </c:pt>
                <c:pt idx="92">
                  <c:v>9180.93</c:v>
                </c:pt>
                <c:pt idx="93">
                  <c:v>9181.52</c:v>
                </c:pt>
                <c:pt idx="94">
                  <c:v>9182.1200000000008</c:v>
                </c:pt>
                <c:pt idx="95">
                  <c:v>9182.7099999999991</c:v>
                </c:pt>
                <c:pt idx="96">
                  <c:v>9183.31</c:v>
                </c:pt>
                <c:pt idx="97">
                  <c:v>9183.91</c:v>
                </c:pt>
                <c:pt idx="98">
                  <c:v>9184.5</c:v>
                </c:pt>
                <c:pt idx="99">
                  <c:v>9185.1</c:v>
                </c:pt>
                <c:pt idx="100">
                  <c:v>9185.69</c:v>
                </c:pt>
                <c:pt idx="101">
                  <c:v>9186.2900000000009</c:v>
                </c:pt>
                <c:pt idx="102">
                  <c:v>9186.89</c:v>
                </c:pt>
                <c:pt idx="103">
                  <c:v>9187.49</c:v>
                </c:pt>
                <c:pt idx="104">
                  <c:v>9188.09</c:v>
                </c:pt>
                <c:pt idx="105">
                  <c:v>9188.68</c:v>
                </c:pt>
                <c:pt idx="106">
                  <c:v>9189.2800000000007</c:v>
                </c:pt>
                <c:pt idx="107">
                  <c:v>9189.8799999999992</c:v>
                </c:pt>
                <c:pt idx="108">
                  <c:v>9190.48</c:v>
                </c:pt>
                <c:pt idx="109">
                  <c:v>9191.08</c:v>
                </c:pt>
                <c:pt idx="110">
                  <c:v>9191.69</c:v>
                </c:pt>
                <c:pt idx="111">
                  <c:v>9192.2900000000009</c:v>
                </c:pt>
                <c:pt idx="112">
                  <c:v>9192.89</c:v>
                </c:pt>
                <c:pt idx="113">
                  <c:v>9193.49</c:v>
                </c:pt>
                <c:pt idx="114">
                  <c:v>9194.09</c:v>
                </c:pt>
                <c:pt idx="115">
                  <c:v>9194.7000000000007</c:v>
                </c:pt>
                <c:pt idx="116">
                  <c:v>9195.2999999999993</c:v>
                </c:pt>
                <c:pt idx="117">
                  <c:v>9195.91</c:v>
                </c:pt>
                <c:pt idx="118">
                  <c:v>9196.51</c:v>
                </c:pt>
                <c:pt idx="119">
                  <c:v>9197.1200000000008</c:v>
                </c:pt>
                <c:pt idx="120">
                  <c:v>9197.7199999999993</c:v>
                </c:pt>
                <c:pt idx="121">
                  <c:v>9198.33</c:v>
                </c:pt>
                <c:pt idx="122">
                  <c:v>9198.94</c:v>
                </c:pt>
                <c:pt idx="123">
                  <c:v>9199.5499999999993</c:v>
                </c:pt>
                <c:pt idx="124">
                  <c:v>9200.15</c:v>
                </c:pt>
                <c:pt idx="125">
                  <c:v>9200.76</c:v>
                </c:pt>
                <c:pt idx="126">
                  <c:v>9201.3700000000008</c:v>
                </c:pt>
                <c:pt idx="127">
                  <c:v>9201.99</c:v>
                </c:pt>
                <c:pt idx="128">
                  <c:v>9202.6</c:v>
                </c:pt>
                <c:pt idx="129">
                  <c:v>9203.2099999999991</c:v>
                </c:pt>
                <c:pt idx="130">
                  <c:v>9203.82</c:v>
                </c:pt>
                <c:pt idx="131">
                  <c:v>9204.44</c:v>
                </c:pt>
                <c:pt idx="132">
                  <c:v>9205.0499999999993</c:v>
                </c:pt>
                <c:pt idx="133">
                  <c:v>9205.67</c:v>
                </c:pt>
                <c:pt idx="134">
                  <c:v>9206.2800000000007</c:v>
                </c:pt>
                <c:pt idx="135">
                  <c:v>9206.9</c:v>
                </c:pt>
                <c:pt idx="136">
                  <c:v>9207.52</c:v>
                </c:pt>
                <c:pt idx="137">
                  <c:v>9208.14</c:v>
                </c:pt>
                <c:pt idx="138">
                  <c:v>9208.76</c:v>
                </c:pt>
                <c:pt idx="139">
                  <c:v>9209.3799999999992</c:v>
                </c:pt>
                <c:pt idx="140">
                  <c:v>9210</c:v>
                </c:pt>
                <c:pt idx="141">
                  <c:v>9210.6200000000008</c:v>
                </c:pt>
                <c:pt idx="142">
                  <c:v>9211.24</c:v>
                </c:pt>
                <c:pt idx="143">
                  <c:v>9211.8700000000008</c:v>
                </c:pt>
                <c:pt idx="144">
                  <c:v>9212.49</c:v>
                </c:pt>
                <c:pt idx="145">
                  <c:v>9213.1200000000008</c:v>
                </c:pt>
                <c:pt idx="146">
                  <c:v>9213.75</c:v>
                </c:pt>
                <c:pt idx="147">
                  <c:v>9214.3799999999992</c:v>
                </c:pt>
                <c:pt idx="148">
                  <c:v>9215.01</c:v>
                </c:pt>
                <c:pt idx="149">
                  <c:v>9215.64</c:v>
                </c:pt>
                <c:pt idx="150">
                  <c:v>9216.27</c:v>
                </c:pt>
                <c:pt idx="151">
                  <c:v>9216.91</c:v>
                </c:pt>
                <c:pt idx="152">
                  <c:v>9217.5400000000009</c:v>
                </c:pt>
                <c:pt idx="153">
                  <c:v>9218.18</c:v>
                </c:pt>
                <c:pt idx="154">
                  <c:v>9218.82</c:v>
                </c:pt>
                <c:pt idx="155">
                  <c:v>9219.4599999999991</c:v>
                </c:pt>
                <c:pt idx="156">
                  <c:v>9220.1</c:v>
                </c:pt>
                <c:pt idx="157">
                  <c:v>9220.74</c:v>
                </c:pt>
                <c:pt idx="158">
                  <c:v>9221.39</c:v>
                </c:pt>
                <c:pt idx="159">
                  <c:v>9222.0400000000009</c:v>
                </c:pt>
                <c:pt idx="160">
                  <c:v>9222.68</c:v>
                </c:pt>
                <c:pt idx="161">
                  <c:v>9223.33</c:v>
                </c:pt>
                <c:pt idx="162">
                  <c:v>9223.99</c:v>
                </c:pt>
                <c:pt idx="163">
                  <c:v>9224.64</c:v>
                </c:pt>
                <c:pt idx="164">
                  <c:v>9225.2999999999993</c:v>
                </c:pt>
                <c:pt idx="165">
                  <c:v>9225.9500000000007</c:v>
                </c:pt>
                <c:pt idx="166">
                  <c:v>9226.61</c:v>
                </c:pt>
                <c:pt idx="167">
                  <c:v>9227.2800000000007</c:v>
                </c:pt>
                <c:pt idx="168">
                  <c:v>9227.94</c:v>
                </c:pt>
                <c:pt idx="169">
                  <c:v>9228.61</c:v>
                </c:pt>
                <c:pt idx="170">
                  <c:v>9229.2800000000007</c:v>
                </c:pt>
                <c:pt idx="171">
                  <c:v>9229.9500000000007</c:v>
                </c:pt>
                <c:pt idx="172">
                  <c:v>9230.6200000000008</c:v>
                </c:pt>
                <c:pt idx="173">
                  <c:v>9231.2999999999993</c:v>
                </c:pt>
                <c:pt idx="174">
                  <c:v>9231.98</c:v>
                </c:pt>
                <c:pt idx="175">
                  <c:v>9232.66</c:v>
                </c:pt>
                <c:pt idx="176">
                  <c:v>9233.35</c:v>
                </c:pt>
                <c:pt idx="177">
                  <c:v>9234.0400000000009</c:v>
                </c:pt>
                <c:pt idx="178">
                  <c:v>9234.73</c:v>
                </c:pt>
                <c:pt idx="179">
                  <c:v>9235.43</c:v>
                </c:pt>
                <c:pt idx="180">
                  <c:v>9236.1299999999992</c:v>
                </c:pt>
                <c:pt idx="181">
                  <c:v>9236.83</c:v>
                </c:pt>
                <c:pt idx="182">
                  <c:v>9237.5300000000007</c:v>
                </c:pt>
                <c:pt idx="183">
                  <c:v>9238.25</c:v>
                </c:pt>
                <c:pt idx="184">
                  <c:v>9238.9599999999991</c:v>
                </c:pt>
                <c:pt idx="185">
                  <c:v>9239.68</c:v>
                </c:pt>
                <c:pt idx="186">
                  <c:v>9240.4</c:v>
                </c:pt>
                <c:pt idx="187">
                  <c:v>9241.1299999999992</c:v>
                </c:pt>
                <c:pt idx="188">
                  <c:v>9241.8700000000008</c:v>
                </c:pt>
                <c:pt idx="189">
                  <c:v>9242.61</c:v>
                </c:pt>
                <c:pt idx="190">
                  <c:v>9243.35</c:v>
                </c:pt>
                <c:pt idx="191">
                  <c:v>9244.1</c:v>
                </c:pt>
                <c:pt idx="192">
                  <c:v>9244.86</c:v>
                </c:pt>
                <c:pt idx="193">
                  <c:v>9245.6200000000008</c:v>
                </c:pt>
                <c:pt idx="194">
                  <c:v>9246.4</c:v>
                </c:pt>
                <c:pt idx="195">
                  <c:v>9247.18</c:v>
                </c:pt>
                <c:pt idx="196">
                  <c:v>9247.9699999999993</c:v>
                </c:pt>
                <c:pt idx="197">
                  <c:v>9248.76</c:v>
                </c:pt>
                <c:pt idx="198">
                  <c:v>9249.57</c:v>
                </c:pt>
                <c:pt idx="199">
                  <c:v>9250.39</c:v>
                </c:pt>
                <c:pt idx="200">
                  <c:v>9251.2199999999993</c:v>
                </c:pt>
                <c:pt idx="201">
                  <c:v>9252.07</c:v>
                </c:pt>
                <c:pt idx="202">
                  <c:v>9252.93</c:v>
                </c:pt>
                <c:pt idx="203">
                  <c:v>9253.7999999999993</c:v>
                </c:pt>
                <c:pt idx="204">
                  <c:v>9254.7000000000007</c:v>
                </c:pt>
                <c:pt idx="205">
                  <c:v>9255.61</c:v>
                </c:pt>
                <c:pt idx="206">
                  <c:v>9256.5400000000009</c:v>
                </c:pt>
                <c:pt idx="207">
                  <c:v>9257.5</c:v>
                </c:pt>
                <c:pt idx="208">
                  <c:v>9258.48</c:v>
                </c:pt>
                <c:pt idx="209">
                  <c:v>9259.5</c:v>
                </c:pt>
                <c:pt idx="210">
                  <c:v>9260.5400000000009</c:v>
                </c:pt>
                <c:pt idx="211">
                  <c:v>9261.6200000000008</c:v>
                </c:pt>
                <c:pt idx="212">
                  <c:v>9262.75</c:v>
                </c:pt>
                <c:pt idx="213">
                  <c:v>9263.91</c:v>
                </c:pt>
                <c:pt idx="214">
                  <c:v>9265.1299999999992</c:v>
                </c:pt>
                <c:pt idx="215">
                  <c:v>9266.39</c:v>
                </c:pt>
                <c:pt idx="216">
                  <c:v>9267.7199999999993</c:v>
                </c:pt>
                <c:pt idx="217">
                  <c:v>9269.1200000000008</c:v>
                </c:pt>
                <c:pt idx="218">
                  <c:v>9270.58</c:v>
                </c:pt>
                <c:pt idx="219">
                  <c:v>9272.1299999999992</c:v>
                </c:pt>
                <c:pt idx="220">
                  <c:v>9273.77</c:v>
                </c:pt>
                <c:pt idx="221">
                  <c:v>9275.5</c:v>
                </c:pt>
                <c:pt idx="222">
                  <c:v>9277.35</c:v>
                </c:pt>
                <c:pt idx="223">
                  <c:v>9279.2999999999993</c:v>
                </c:pt>
                <c:pt idx="224">
                  <c:v>9281.39</c:v>
                </c:pt>
                <c:pt idx="225">
                  <c:v>9283.61</c:v>
                </c:pt>
                <c:pt idx="226">
                  <c:v>9285.98</c:v>
                </c:pt>
                <c:pt idx="227">
                  <c:v>9288.51</c:v>
                </c:pt>
                <c:pt idx="228">
                  <c:v>9291.2199999999993</c:v>
                </c:pt>
                <c:pt idx="229">
                  <c:v>9294.1200000000008</c:v>
                </c:pt>
                <c:pt idx="230">
                  <c:v>9297.2199999999993</c:v>
                </c:pt>
                <c:pt idx="231">
                  <c:v>9300.5300000000007</c:v>
                </c:pt>
                <c:pt idx="232">
                  <c:v>9304.08</c:v>
                </c:pt>
                <c:pt idx="233">
                  <c:v>9307.8700000000008</c:v>
                </c:pt>
                <c:pt idx="234">
                  <c:v>9311.92</c:v>
                </c:pt>
                <c:pt idx="235">
                  <c:v>9316.24</c:v>
                </c:pt>
                <c:pt idx="236">
                  <c:v>9320.85</c:v>
                </c:pt>
                <c:pt idx="237">
                  <c:v>9325.76</c:v>
                </c:pt>
                <c:pt idx="238">
                  <c:v>9330.98</c:v>
                </c:pt>
                <c:pt idx="239">
                  <c:v>9336.5300000000007</c:v>
                </c:pt>
                <c:pt idx="240">
                  <c:v>9342.42</c:v>
                </c:pt>
                <c:pt idx="241">
                  <c:v>9348.66</c:v>
                </c:pt>
                <c:pt idx="242">
                  <c:v>9355.25</c:v>
                </c:pt>
                <c:pt idx="243">
                  <c:v>9362.2000000000007</c:v>
                </c:pt>
                <c:pt idx="244">
                  <c:v>9369.5300000000007</c:v>
                </c:pt>
                <c:pt idx="245">
                  <c:v>9377.2199999999993</c:v>
                </c:pt>
                <c:pt idx="246">
                  <c:v>9385.2900000000009</c:v>
                </c:pt>
                <c:pt idx="247">
                  <c:v>9393.73</c:v>
                </c:pt>
                <c:pt idx="248">
                  <c:v>9402.5400000000009</c:v>
                </c:pt>
                <c:pt idx="249">
                  <c:v>9411.7000000000007</c:v>
                </c:pt>
                <c:pt idx="250">
                  <c:v>9421.2199999999993</c:v>
                </c:pt>
                <c:pt idx="251">
                  <c:v>9431.08</c:v>
                </c:pt>
                <c:pt idx="252">
                  <c:v>9441.27</c:v>
                </c:pt>
                <c:pt idx="253">
                  <c:v>9451.75</c:v>
                </c:pt>
                <c:pt idx="254">
                  <c:v>9462.51</c:v>
                </c:pt>
                <c:pt idx="255">
                  <c:v>9473.5300000000007</c:v>
                </c:pt>
                <c:pt idx="256">
                  <c:v>9484.77</c:v>
                </c:pt>
                <c:pt idx="257">
                  <c:v>9496.2000000000007</c:v>
                </c:pt>
                <c:pt idx="258">
                  <c:v>9507.7800000000007</c:v>
                </c:pt>
                <c:pt idx="259">
                  <c:v>9519.4599999999991</c:v>
                </c:pt>
                <c:pt idx="260">
                  <c:v>9531.2099999999991</c:v>
                </c:pt>
                <c:pt idx="261">
                  <c:v>9542.9699999999993</c:v>
                </c:pt>
                <c:pt idx="262">
                  <c:v>9554.68</c:v>
                </c:pt>
                <c:pt idx="263">
                  <c:v>9566.2900000000009</c:v>
                </c:pt>
                <c:pt idx="264">
                  <c:v>9577.74</c:v>
                </c:pt>
                <c:pt idx="265">
                  <c:v>9588.9599999999991</c:v>
                </c:pt>
                <c:pt idx="266">
                  <c:v>9599.8700000000008</c:v>
                </c:pt>
                <c:pt idx="267">
                  <c:v>9610.42</c:v>
                </c:pt>
                <c:pt idx="268">
                  <c:v>9620.52</c:v>
                </c:pt>
                <c:pt idx="269">
                  <c:v>9630.1</c:v>
                </c:pt>
                <c:pt idx="270">
                  <c:v>9639.08</c:v>
                </c:pt>
                <c:pt idx="271">
                  <c:v>9647.3799999999992</c:v>
                </c:pt>
                <c:pt idx="272">
                  <c:v>9654.93</c:v>
                </c:pt>
                <c:pt idx="273">
                  <c:v>9661.66</c:v>
                </c:pt>
                <c:pt idx="274">
                  <c:v>9667.5</c:v>
                </c:pt>
                <c:pt idx="275">
                  <c:v>9672.39</c:v>
                </c:pt>
                <c:pt idx="276">
                  <c:v>9676.2900000000009</c:v>
                </c:pt>
                <c:pt idx="277">
                  <c:v>9679.15</c:v>
                </c:pt>
                <c:pt idx="278">
                  <c:v>9680.9500000000007</c:v>
                </c:pt>
                <c:pt idx="279">
                  <c:v>9681.67</c:v>
                </c:pt>
                <c:pt idx="280">
                  <c:v>9681.31</c:v>
                </c:pt>
                <c:pt idx="281">
                  <c:v>9679.8799999999992</c:v>
                </c:pt>
                <c:pt idx="282">
                  <c:v>9677.4</c:v>
                </c:pt>
                <c:pt idx="283">
                  <c:v>9673.92</c:v>
                </c:pt>
                <c:pt idx="284">
                  <c:v>9669.4699999999993</c:v>
                </c:pt>
                <c:pt idx="285">
                  <c:v>9664.1200000000008</c:v>
                </c:pt>
                <c:pt idx="286">
                  <c:v>9657.93</c:v>
                </c:pt>
                <c:pt idx="287">
                  <c:v>9650.9699999999993</c:v>
                </c:pt>
                <c:pt idx="288">
                  <c:v>9643.31</c:v>
                </c:pt>
                <c:pt idx="289">
                  <c:v>9635.0400000000009</c:v>
                </c:pt>
                <c:pt idx="290">
                  <c:v>9626.2199999999993</c:v>
                </c:pt>
                <c:pt idx="291">
                  <c:v>9616.93</c:v>
                </c:pt>
                <c:pt idx="292">
                  <c:v>9607.25</c:v>
                </c:pt>
                <c:pt idx="293">
                  <c:v>9597.26</c:v>
                </c:pt>
                <c:pt idx="294">
                  <c:v>9587.01</c:v>
                </c:pt>
                <c:pt idx="295">
                  <c:v>9576.59</c:v>
                </c:pt>
                <c:pt idx="296">
                  <c:v>9566.0400000000009</c:v>
                </c:pt>
                <c:pt idx="297">
                  <c:v>9555.44</c:v>
                </c:pt>
                <c:pt idx="298">
                  <c:v>9544.83</c:v>
                </c:pt>
                <c:pt idx="299">
                  <c:v>9534.2800000000007</c:v>
                </c:pt>
                <c:pt idx="300">
                  <c:v>9523.81</c:v>
                </c:pt>
                <c:pt idx="301">
                  <c:v>9513.49</c:v>
                </c:pt>
                <c:pt idx="302">
                  <c:v>9503.34</c:v>
                </c:pt>
                <c:pt idx="303">
                  <c:v>9493.41</c:v>
                </c:pt>
                <c:pt idx="304">
                  <c:v>9483.7199999999993</c:v>
                </c:pt>
                <c:pt idx="305">
                  <c:v>9474.31</c:v>
                </c:pt>
                <c:pt idx="306">
                  <c:v>9465.19</c:v>
                </c:pt>
                <c:pt idx="307">
                  <c:v>9456.4</c:v>
                </c:pt>
                <c:pt idx="308">
                  <c:v>9447.93</c:v>
                </c:pt>
                <c:pt idx="309">
                  <c:v>9439.82</c:v>
                </c:pt>
                <c:pt idx="310">
                  <c:v>9432.06</c:v>
                </c:pt>
                <c:pt idx="311">
                  <c:v>9424.67</c:v>
                </c:pt>
                <c:pt idx="312">
                  <c:v>9417.65</c:v>
                </c:pt>
                <c:pt idx="313">
                  <c:v>9411</c:v>
                </c:pt>
                <c:pt idx="314">
                  <c:v>9404.73</c:v>
                </c:pt>
                <c:pt idx="315">
                  <c:v>9398.82</c:v>
                </c:pt>
                <c:pt idx="316">
                  <c:v>9393.2800000000007</c:v>
                </c:pt>
                <c:pt idx="317">
                  <c:v>9388.1</c:v>
                </c:pt>
                <c:pt idx="318">
                  <c:v>9383.27</c:v>
                </c:pt>
                <c:pt idx="319">
                  <c:v>9378.7800000000007</c:v>
                </c:pt>
                <c:pt idx="320">
                  <c:v>9374.6200000000008</c:v>
                </c:pt>
                <c:pt idx="321">
                  <c:v>9370.77</c:v>
                </c:pt>
                <c:pt idx="322">
                  <c:v>9367.23</c:v>
                </c:pt>
                <c:pt idx="323">
                  <c:v>9363.98</c:v>
                </c:pt>
                <c:pt idx="324">
                  <c:v>9361.01</c:v>
                </c:pt>
                <c:pt idx="325">
                  <c:v>9358.2999999999993</c:v>
                </c:pt>
                <c:pt idx="326">
                  <c:v>9355.84</c:v>
                </c:pt>
                <c:pt idx="327">
                  <c:v>9353.61</c:v>
                </c:pt>
                <c:pt idx="328">
                  <c:v>9351.6</c:v>
                </c:pt>
                <c:pt idx="329">
                  <c:v>9349.7999999999993</c:v>
                </c:pt>
                <c:pt idx="330">
                  <c:v>9348.19</c:v>
                </c:pt>
                <c:pt idx="331">
                  <c:v>9346.76</c:v>
                </c:pt>
                <c:pt idx="332">
                  <c:v>9345.49</c:v>
                </c:pt>
                <c:pt idx="333">
                  <c:v>9344.3799999999992</c:v>
                </c:pt>
                <c:pt idx="334">
                  <c:v>9343.41</c:v>
                </c:pt>
                <c:pt idx="335">
                  <c:v>9342.57</c:v>
                </c:pt>
                <c:pt idx="336">
                  <c:v>9341.84</c:v>
                </c:pt>
                <c:pt idx="337">
                  <c:v>9341.23</c:v>
                </c:pt>
                <c:pt idx="338">
                  <c:v>9340.7199999999993</c:v>
                </c:pt>
                <c:pt idx="339">
                  <c:v>9340.2900000000009</c:v>
                </c:pt>
                <c:pt idx="340">
                  <c:v>9339.9500000000007</c:v>
                </c:pt>
                <c:pt idx="341">
                  <c:v>9339.69</c:v>
                </c:pt>
                <c:pt idx="342">
                  <c:v>9339.49</c:v>
                </c:pt>
                <c:pt idx="343">
                  <c:v>9339.35</c:v>
                </c:pt>
                <c:pt idx="344">
                  <c:v>9339.27</c:v>
                </c:pt>
                <c:pt idx="345">
                  <c:v>9339.24</c:v>
                </c:pt>
                <c:pt idx="346">
                  <c:v>9339.26</c:v>
                </c:pt>
                <c:pt idx="347">
                  <c:v>9339.31</c:v>
                </c:pt>
                <c:pt idx="348">
                  <c:v>9339.41</c:v>
                </c:pt>
                <c:pt idx="349">
                  <c:v>9339.5300000000007</c:v>
                </c:pt>
                <c:pt idx="350">
                  <c:v>9339.69</c:v>
                </c:pt>
                <c:pt idx="351">
                  <c:v>9339.8700000000008</c:v>
                </c:pt>
                <c:pt idx="352">
                  <c:v>9340.08</c:v>
                </c:pt>
                <c:pt idx="353">
                  <c:v>9340.31</c:v>
                </c:pt>
                <c:pt idx="354">
                  <c:v>9340.56</c:v>
                </c:pt>
                <c:pt idx="355">
                  <c:v>9340.83</c:v>
                </c:pt>
                <c:pt idx="356">
                  <c:v>9341.1200000000008</c:v>
                </c:pt>
                <c:pt idx="357">
                  <c:v>9341.41</c:v>
                </c:pt>
                <c:pt idx="358">
                  <c:v>9341.73</c:v>
                </c:pt>
                <c:pt idx="359">
                  <c:v>9342.0499999999993</c:v>
                </c:pt>
                <c:pt idx="360">
                  <c:v>9342.39</c:v>
                </c:pt>
                <c:pt idx="361">
                  <c:v>9342.74</c:v>
                </c:pt>
                <c:pt idx="362">
                  <c:v>9343.09</c:v>
                </c:pt>
                <c:pt idx="363">
                  <c:v>9343.4599999999991</c:v>
                </c:pt>
                <c:pt idx="364">
                  <c:v>9343.83</c:v>
                </c:pt>
                <c:pt idx="365">
                  <c:v>9344.2099999999991</c:v>
                </c:pt>
                <c:pt idx="366">
                  <c:v>9344.6</c:v>
                </c:pt>
                <c:pt idx="367">
                  <c:v>9345</c:v>
                </c:pt>
                <c:pt idx="368">
                  <c:v>9345.4</c:v>
                </c:pt>
                <c:pt idx="369">
                  <c:v>9345.81</c:v>
                </c:pt>
                <c:pt idx="370">
                  <c:v>9346.2199999999993</c:v>
                </c:pt>
                <c:pt idx="371">
                  <c:v>9346.64</c:v>
                </c:pt>
                <c:pt idx="372">
                  <c:v>9347.06</c:v>
                </c:pt>
                <c:pt idx="373">
                  <c:v>9347.49</c:v>
                </c:pt>
                <c:pt idx="374">
                  <c:v>9347.92</c:v>
                </c:pt>
                <c:pt idx="375">
                  <c:v>9348.36</c:v>
                </c:pt>
                <c:pt idx="376">
                  <c:v>9348.7999999999993</c:v>
                </c:pt>
                <c:pt idx="377">
                  <c:v>9349.24</c:v>
                </c:pt>
                <c:pt idx="378">
                  <c:v>9349.69</c:v>
                </c:pt>
                <c:pt idx="379">
                  <c:v>9352.3700000000008</c:v>
                </c:pt>
                <c:pt idx="380">
                  <c:v>9355.0499999999993</c:v>
                </c:pt>
                <c:pt idx="381">
                  <c:v>9357.73</c:v>
                </c:pt>
                <c:pt idx="382">
                  <c:v>9360.42</c:v>
                </c:pt>
                <c:pt idx="383">
                  <c:v>9363.11</c:v>
                </c:pt>
                <c:pt idx="384">
                  <c:v>9365.81</c:v>
                </c:pt>
                <c:pt idx="385">
                  <c:v>9368.51</c:v>
                </c:pt>
                <c:pt idx="386">
                  <c:v>9371.2099999999991</c:v>
                </c:pt>
                <c:pt idx="387">
                  <c:v>9373.91</c:v>
                </c:pt>
                <c:pt idx="388">
                  <c:v>9376.61</c:v>
                </c:pt>
                <c:pt idx="389">
                  <c:v>9379.32</c:v>
                </c:pt>
                <c:pt idx="390">
                  <c:v>9382.0300000000007</c:v>
                </c:pt>
                <c:pt idx="391">
                  <c:v>9384.75</c:v>
                </c:pt>
                <c:pt idx="392">
                  <c:v>9387.4599999999991</c:v>
                </c:pt>
                <c:pt idx="393">
                  <c:v>9390.18</c:v>
                </c:pt>
                <c:pt idx="394">
                  <c:v>9392.9</c:v>
                </c:pt>
                <c:pt idx="395">
                  <c:v>9395.6200000000008</c:v>
                </c:pt>
                <c:pt idx="396">
                  <c:v>9398.34</c:v>
                </c:pt>
                <c:pt idx="397">
                  <c:v>9401.06</c:v>
                </c:pt>
                <c:pt idx="398">
                  <c:v>9403.7900000000009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A-4B4A-A817-2660469BA9B1}"/>
            </c:ext>
          </c:extLst>
        </c:ser>
        <c:ser>
          <c:idx val="1"/>
          <c:order val="1"/>
          <c:tx>
            <c:strRef>
              <c:f>'Fig 9e'!$F$2</c:f>
              <c:strCache>
                <c:ptCount val="1"/>
                <c:pt idx="0">
                  <c:v>Fe2p1/2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  <a:alpha val="0"/>
                  </a:schemeClr>
                </a:gs>
                <a:gs pos="100000">
                  <a:srgbClr val="145F81"/>
                </a:gs>
              </a:gsLst>
              <a:lin ang="16200000" scaled="1"/>
            </a:gradFill>
            <a:ln w="25400">
              <a:noFill/>
            </a:ln>
            <a:effectLst/>
          </c:spPr>
          <c:cat>
            <c:numRef>
              <c:f>'Fig 9e'!$A$4:$A$402</c:f>
              <c:numCache>
                <c:formatCode>General</c:formatCode>
                <c:ptCount val="399"/>
                <c:pt idx="0">
                  <c:v>740</c:v>
                </c:pt>
                <c:pt idx="1">
                  <c:v>739.9</c:v>
                </c:pt>
                <c:pt idx="2">
                  <c:v>739.8</c:v>
                </c:pt>
                <c:pt idx="3">
                  <c:v>739.7</c:v>
                </c:pt>
                <c:pt idx="4">
                  <c:v>739.6</c:v>
                </c:pt>
                <c:pt idx="5">
                  <c:v>739.5</c:v>
                </c:pt>
                <c:pt idx="6">
                  <c:v>739.4</c:v>
                </c:pt>
                <c:pt idx="7">
                  <c:v>739.3</c:v>
                </c:pt>
                <c:pt idx="8">
                  <c:v>739.2</c:v>
                </c:pt>
                <c:pt idx="9">
                  <c:v>739.1</c:v>
                </c:pt>
                <c:pt idx="10">
                  <c:v>739</c:v>
                </c:pt>
                <c:pt idx="11">
                  <c:v>738.9</c:v>
                </c:pt>
                <c:pt idx="12">
                  <c:v>738.8</c:v>
                </c:pt>
                <c:pt idx="13">
                  <c:v>738.7</c:v>
                </c:pt>
                <c:pt idx="14">
                  <c:v>738.6</c:v>
                </c:pt>
                <c:pt idx="15">
                  <c:v>738.5</c:v>
                </c:pt>
                <c:pt idx="16">
                  <c:v>738.4</c:v>
                </c:pt>
                <c:pt idx="17">
                  <c:v>738.3</c:v>
                </c:pt>
                <c:pt idx="18">
                  <c:v>738.2</c:v>
                </c:pt>
                <c:pt idx="19">
                  <c:v>738.1</c:v>
                </c:pt>
                <c:pt idx="20">
                  <c:v>738</c:v>
                </c:pt>
                <c:pt idx="21">
                  <c:v>737.9</c:v>
                </c:pt>
                <c:pt idx="22">
                  <c:v>737.8</c:v>
                </c:pt>
                <c:pt idx="23">
                  <c:v>737.7</c:v>
                </c:pt>
                <c:pt idx="24">
                  <c:v>737.6</c:v>
                </c:pt>
                <c:pt idx="25">
                  <c:v>737.5</c:v>
                </c:pt>
                <c:pt idx="26">
                  <c:v>737.4</c:v>
                </c:pt>
                <c:pt idx="27">
                  <c:v>737.3</c:v>
                </c:pt>
                <c:pt idx="28">
                  <c:v>737.2</c:v>
                </c:pt>
                <c:pt idx="29">
                  <c:v>737.1</c:v>
                </c:pt>
                <c:pt idx="30">
                  <c:v>737</c:v>
                </c:pt>
                <c:pt idx="31">
                  <c:v>736.9</c:v>
                </c:pt>
                <c:pt idx="32">
                  <c:v>736.8</c:v>
                </c:pt>
                <c:pt idx="33">
                  <c:v>736.7</c:v>
                </c:pt>
                <c:pt idx="34">
                  <c:v>736.6</c:v>
                </c:pt>
                <c:pt idx="35">
                  <c:v>736.5</c:v>
                </c:pt>
                <c:pt idx="36">
                  <c:v>736.4</c:v>
                </c:pt>
                <c:pt idx="37">
                  <c:v>736.3</c:v>
                </c:pt>
                <c:pt idx="38">
                  <c:v>736.2</c:v>
                </c:pt>
                <c:pt idx="39">
                  <c:v>736.1</c:v>
                </c:pt>
                <c:pt idx="40">
                  <c:v>736</c:v>
                </c:pt>
                <c:pt idx="41">
                  <c:v>735.9</c:v>
                </c:pt>
                <c:pt idx="42">
                  <c:v>735.8</c:v>
                </c:pt>
                <c:pt idx="43">
                  <c:v>735.7</c:v>
                </c:pt>
                <c:pt idx="44">
                  <c:v>735.6</c:v>
                </c:pt>
                <c:pt idx="45">
                  <c:v>735.5</c:v>
                </c:pt>
                <c:pt idx="46">
                  <c:v>735.4</c:v>
                </c:pt>
                <c:pt idx="47">
                  <c:v>735.3</c:v>
                </c:pt>
                <c:pt idx="48">
                  <c:v>735.2</c:v>
                </c:pt>
                <c:pt idx="49">
                  <c:v>735.1</c:v>
                </c:pt>
                <c:pt idx="50">
                  <c:v>735</c:v>
                </c:pt>
                <c:pt idx="51">
                  <c:v>734.9</c:v>
                </c:pt>
                <c:pt idx="52">
                  <c:v>734.8</c:v>
                </c:pt>
                <c:pt idx="53">
                  <c:v>734.7</c:v>
                </c:pt>
                <c:pt idx="54">
                  <c:v>734.6</c:v>
                </c:pt>
                <c:pt idx="55">
                  <c:v>734.5</c:v>
                </c:pt>
                <c:pt idx="56">
                  <c:v>734.4</c:v>
                </c:pt>
                <c:pt idx="57">
                  <c:v>734.3</c:v>
                </c:pt>
                <c:pt idx="58">
                  <c:v>734.2</c:v>
                </c:pt>
                <c:pt idx="59">
                  <c:v>734.1</c:v>
                </c:pt>
                <c:pt idx="60">
                  <c:v>734</c:v>
                </c:pt>
                <c:pt idx="61">
                  <c:v>733.9</c:v>
                </c:pt>
                <c:pt idx="62">
                  <c:v>733.8</c:v>
                </c:pt>
                <c:pt idx="63">
                  <c:v>733.7</c:v>
                </c:pt>
                <c:pt idx="64">
                  <c:v>733.6</c:v>
                </c:pt>
                <c:pt idx="65">
                  <c:v>733.5</c:v>
                </c:pt>
                <c:pt idx="66">
                  <c:v>733.4</c:v>
                </c:pt>
                <c:pt idx="67">
                  <c:v>733.3</c:v>
                </c:pt>
                <c:pt idx="68">
                  <c:v>733.2</c:v>
                </c:pt>
                <c:pt idx="69">
                  <c:v>733.1</c:v>
                </c:pt>
                <c:pt idx="70">
                  <c:v>733</c:v>
                </c:pt>
                <c:pt idx="71">
                  <c:v>732.9</c:v>
                </c:pt>
                <c:pt idx="72">
                  <c:v>732.8</c:v>
                </c:pt>
                <c:pt idx="73">
                  <c:v>732.7</c:v>
                </c:pt>
                <c:pt idx="74">
                  <c:v>732.6</c:v>
                </c:pt>
                <c:pt idx="75">
                  <c:v>732.5</c:v>
                </c:pt>
                <c:pt idx="76">
                  <c:v>732.4</c:v>
                </c:pt>
                <c:pt idx="77">
                  <c:v>732.3</c:v>
                </c:pt>
                <c:pt idx="78">
                  <c:v>732.2</c:v>
                </c:pt>
                <c:pt idx="79">
                  <c:v>732.1</c:v>
                </c:pt>
                <c:pt idx="80">
                  <c:v>732</c:v>
                </c:pt>
                <c:pt idx="81">
                  <c:v>731.9</c:v>
                </c:pt>
                <c:pt idx="82">
                  <c:v>731.8</c:v>
                </c:pt>
                <c:pt idx="83">
                  <c:v>731.7</c:v>
                </c:pt>
                <c:pt idx="84">
                  <c:v>731.6</c:v>
                </c:pt>
                <c:pt idx="85">
                  <c:v>731.5</c:v>
                </c:pt>
                <c:pt idx="86">
                  <c:v>731.4</c:v>
                </c:pt>
                <c:pt idx="87">
                  <c:v>731.3</c:v>
                </c:pt>
                <c:pt idx="88">
                  <c:v>731.2</c:v>
                </c:pt>
                <c:pt idx="89">
                  <c:v>731.1</c:v>
                </c:pt>
                <c:pt idx="90">
                  <c:v>731</c:v>
                </c:pt>
                <c:pt idx="91">
                  <c:v>730.9</c:v>
                </c:pt>
                <c:pt idx="92">
                  <c:v>730.8</c:v>
                </c:pt>
                <c:pt idx="93">
                  <c:v>730.7</c:v>
                </c:pt>
                <c:pt idx="94">
                  <c:v>730.6</c:v>
                </c:pt>
                <c:pt idx="95">
                  <c:v>730.5</c:v>
                </c:pt>
                <c:pt idx="96">
                  <c:v>730.4</c:v>
                </c:pt>
                <c:pt idx="97">
                  <c:v>730.3</c:v>
                </c:pt>
                <c:pt idx="98">
                  <c:v>730.2</c:v>
                </c:pt>
                <c:pt idx="99">
                  <c:v>730.1</c:v>
                </c:pt>
                <c:pt idx="100">
                  <c:v>730</c:v>
                </c:pt>
                <c:pt idx="101">
                  <c:v>729.9</c:v>
                </c:pt>
                <c:pt idx="102">
                  <c:v>729.8</c:v>
                </c:pt>
                <c:pt idx="103">
                  <c:v>729.7</c:v>
                </c:pt>
                <c:pt idx="104">
                  <c:v>729.6</c:v>
                </c:pt>
                <c:pt idx="105">
                  <c:v>729.5</c:v>
                </c:pt>
                <c:pt idx="106">
                  <c:v>729.4</c:v>
                </c:pt>
                <c:pt idx="107">
                  <c:v>729.3</c:v>
                </c:pt>
                <c:pt idx="108">
                  <c:v>729.2</c:v>
                </c:pt>
                <c:pt idx="109">
                  <c:v>729.1</c:v>
                </c:pt>
                <c:pt idx="110">
                  <c:v>729</c:v>
                </c:pt>
                <c:pt idx="111">
                  <c:v>728.9</c:v>
                </c:pt>
                <c:pt idx="112">
                  <c:v>728.8</c:v>
                </c:pt>
                <c:pt idx="113">
                  <c:v>728.7</c:v>
                </c:pt>
                <c:pt idx="114">
                  <c:v>728.6</c:v>
                </c:pt>
                <c:pt idx="115">
                  <c:v>728.5</c:v>
                </c:pt>
                <c:pt idx="116">
                  <c:v>728.4</c:v>
                </c:pt>
                <c:pt idx="117">
                  <c:v>728.3</c:v>
                </c:pt>
                <c:pt idx="118">
                  <c:v>728.2</c:v>
                </c:pt>
                <c:pt idx="119">
                  <c:v>728.1</c:v>
                </c:pt>
                <c:pt idx="120">
                  <c:v>728</c:v>
                </c:pt>
                <c:pt idx="121">
                  <c:v>727.9</c:v>
                </c:pt>
                <c:pt idx="122">
                  <c:v>727.8</c:v>
                </c:pt>
                <c:pt idx="123">
                  <c:v>727.7</c:v>
                </c:pt>
                <c:pt idx="124">
                  <c:v>727.6</c:v>
                </c:pt>
                <c:pt idx="125">
                  <c:v>727.5</c:v>
                </c:pt>
                <c:pt idx="126">
                  <c:v>727.4</c:v>
                </c:pt>
                <c:pt idx="127">
                  <c:v>727.3</c:v>
                </c:pt>
                <c:pt idx="128">
                  <c:v>727.2</c:v>
                </c:pt>
                <c:pt idx="129">
                  <c:v>727.1</c:v>
                </c:pt>
                <c:pt idx="130">
                  <c:v>727</c:v>
                </c:pt>
                <c:pt idx="131">
                  <c:v>726.9</c:v>
                </c:pt>
                <c:pt idx="132">
                  <c:v>726.8</c:v>
                </c:pt>
                <c:pt idx="133">
                  <c:v>726.7</c:v>
                </c:pt>
                <c:pt idx="134">
                  <c:v>726.6</c:v>
                </c:pt>
                <c:pt idx="135">
                  <c:v>726.5</c:v>
                </c:pt>
                <c:pt idx="136">
                  <c:v>726.4</c:v>
                </c:pt>
                <c:pt idx="137">
                  <c:v>726.3</c:v>
                </c:pt>
                <c:pt idx="138">
                  <c:v>726.2</c:v>
                </c:pt>
                <c:pt idx="139">
                  <c:v>726.1</c:v>
                </c:pt>
                <c:pt idx="140">
                  <c:v>726</c:v>
                </c:pt>
                <c:pt idx="141">
                  <c:v>725.9</c:v>
                </c:pt>
                <c:pt idx="142">
                  <c:v>725.8</c:v>
                </c:pt>
                <c:pt idx="143">
                  <c:v>725.7</c:v>
                </c:pt>
                <c:pt idx="144">
                  <c:v>725.6</c:v>
                </c:pt>
                <c:pt idx="145">
                  <c:v>725.5</c:v>
                </c:pt>
                <c:pt idx="146">
                  <c:v>725.4</c:v>
                </c:pt>
                <c:pt idx="147">
                  <c:v>725.3</c:v>
                </c:pt>
                <c:pt idx="148">
                  <c:v>725.2</c:v>
                </c:pt>
                <c:pt idx="149">
                  <c:v>725.1</c:v>
                </c:pt>
                <c:pt idx="150">
                  <c:v>725</c:v>
                </c:pt>
                <c:pt idx="151">
                  <c:v>724.9</c:v>
                </c:pt>
                <c:pt idx="152">
                  <c:v>724.8</c:v>
                </c:pt>
                <c:pt idx="153">
                  <c:v>724.7</c:v>
                </c:pt>
                <c:pt idx="154">
                  <c:v>724.6</c:v>
                </c:pt>
                <c:pt idx="155">
                  <c:v>724.5</c:v>
                </c:pt>
                <c:pt idx="156">
                  <c:v>724.4</c:v>
                </c:pt>
                <c:pt idx="157">
                  <c:v>724.3</c:v>
                </c:pt>
                <c:pt idx="158">
                  <c:v>724.2</c:v>
                </c:pt>
                <c:pt idx="159">
                  <c:v>724.1</c:v>
                </c:pt>
                <c:pt idx="160">
                  <c:v>724</c:v>
                </c:pt>
                <c:pt idx="161">
                  <c:v>723.9</c:v>
                </c:pt>
                <c:pt idx="162">
                  <c:v>723.8</c:v>
                </c:pt>
                <c:pt idx="163">
                  <c:v>723.7</c:v>
                </c:pt>
                <c:pt idx="164">
                  <c:v>723.6</c:v>
                </c:pt>
                <c:pt idx="165">
                  <c:v>723.5</c:v>
                </c:pt>
                <c:pt idx="166">
                  <c:v>723.4</c:v>
                </c:pt>
                <c:pt idx="167">
                  <c:v>723.3</c:v>
                </c:pt>
                <c:pt idx="168">
                  <c:v>723.2</c:v>
                </c:pt>
                <c:pt idx="169">
                  <c:v>723.1</c:v>
                </c:pt>
                <c:pt idx="170">
                  <c:v>723</c:v>
                </c:pt>
                <c:pt idx="171">
                  <c:v>722.9</c:v>
                </c:pt>
                <c:pt idx="172">
                  <c:v>722.8</c:v>
                </c:pt>
                <c:pt idx="173">
                  <c:v>722.7</c:v>
                </c:pt>
                <c:pt idx="174">
                  <c:v>722.6</c:v>
                </c:pt>
                <c:pt idx="175">
                  <c:v>722.5</c:v>
                </c:pt>
                <c:pt idx="176">
                  <c:v>722.4</c:v>
                </c:pt>
                <c:pt idx="177">
                  <c:v>722.3</c:v>
                </c:pt>
                <c:pt idx="178">
                  <c:v>722.2</c:v>
                </c:pt>
                <c:pt idx="179">
                  <c:v>722.1</c:v>
                </c:pt>
                <c:pt idx="180">
                  <c:v>722</c:v>
                </c:pt>
                <c:pt idx="181">
                  <c:v>721.9</c:v>
                </c:pt>
                <c:pt idx="182">
                  <c:v>721.8</c:v>
                </c:pt>
                <c:pt idx="183">
                  <c:v>721.7</c:v>
                </c:pt>
                <c:pt idx="184">
                  <c:v>721.6</c:v>
                </c:pt>
                <c:pt idx="185">
                  <c:v>721.5</c:v>
                </c:pt>
                <c:pt idx="186">
                  <c:v>721.4</c:v>
                </c:pt>
                <c:pt idx="187">
                  <c:v>721.3</c:v>
                </c:pt>
                <c:pt idx="188">
                  <c:v>721.2</c:v>
                </c:pt>
                <c:pt idx="189">
                  <c:v>721.1</c:v>
                </c:pt>
                <c:pt idx="190">
                  <c:v>721</c:v>
                </c:pt>
                <c:pt idx="191">
                  <c:v>720.9</c:v>
                </c:pt>
                <c:pt idx="192">
                  <c:v>720.8</c:v>
                </c:pt>
                <c:pt idx="193">
                  <c:v>720.7</c:v>
                </c:pt>
                <c:pt idx="194">
                  <c:v>720.6</c:v>
                </c:pt>
                <c:pt idx="195">
                  <c:v>720.5</c:v>
                </c:pt>
                <c:pt idx="196">
                  <c:v>720.4</c:v>
                </c:pt>
                <c:pt idx="197">
                  <c:v>720.3</c:v>
                </c:pt>
                <c:pt idx="198">
                  <c:v>720.2</c:v>
                </c:pt>
                <c:pt idx="199">
                  <c:v>720.1</c:v>
                </c:pt>
                <c:pt idx="200">
                  <c:v>720</c:v>
                </c:pt>
                <c:pt idx="201">
                  <c:v>719.9</c:v>
                </c:pt>
                <c:pt idx="202">
                  <c:v>719.8</c:v>
                </c:pt>
                <c:pt idx="203">
                  <c:v>719.7</c:v>
                </c:pt>
                <c:pt idx="204">
                  <c:v>719.6</c:v>
                </c:pt>
                <c:pt idx="205">
                  <c:v>719.5</c:v>
                </c:pt>
                <c:pt idx="206">
                  <c:v>719.4</c:v>
                </c:pt>
                <c:pt idx="207">
                  <c:v>719.3</c:v>
                </c:pt>
                <c:pt idx="208">
                  <c:v>719.2</c:v>
                </c:pt>
                <c:pt idx="209">
                  <c:v>719.1</c:v>
                </c:pt>
                <c:pt idx="210">
                  <c:v>719</c:v>
                </c:pt>
                <c:pt idx="211">
                  <c:v>718.9</c:v>
                </c:pt>
                <c:pt idx="212">
                  <c:v>718.8</c:v>
                </c:pt>
                <c:pt idx="213">
                  <c:v>718.7</c:v>
                </c:pt>
                <c:pt idx="214">
                  <c:v>718.6</c:v>
                </c:pt>
                <c:pt idx="215">
                  <c:v>718.5</c:v>
                </c:pt>
                <c:pt idx="216">
                  <c:v>718.4</c:v>
                </c:pt>
                <c:pt idx="217">
                  <c:v>718.3</c:v>
                </c:pt>
                <c:pt idx="218">
                  <c:v>718.2</c:v>
                </c:pt>
                <c:pt idx="219">
                  <c:v>718.1</c:v>
                </c:pt>
                <c:pt idx="220">
                  <c:v>718</c:v>
                </c:pt>
                <c:pt idx="221">
                  <c:v>717.9</c:v>
                </c:pt>
                <c:pt idx="222">
                  <c:v>717.8</c:v>
                </c:pt>
                <c:pt idx="223">
                  <c:v>717.7</c:v>
                </c:pt>
                <c:pt idx="224">
                  <c:v>717.6</c:v>
                </c:pt>
                <c:pt idx="225">
                  <c:v>717.5</c:v>
                </c:pt>
                <c:pt idx="226">
                  <c:v>717.4</c:v>
                </c:pt>
                <c:pt idx="227">
                  <c:v>717.3</c:v>
                </c:pt>
                <c:pt idx="228">
                  <c:v>717.2</c:v>
                </c:pt>
                <c:pt idx="229">
                  <c:v>717.1</c:v>
                </c:pt>
                <c:pt idx="230">
                  <c:v>717</c:v>
                </c:pt>
                <c:pt idx="231">
                  <c:v>716.9</c:v>
                </c:pt>
                <c:pt idx="232">
                  <c:v>716.8</c:v>
                </c:pt>
                <c:pt idx="233">
                  <c:v>716.7</c:v>
                </c:pt>
                <c:pt idx="234">
                  <c:v>716.6</c:v>
                </c:pt>
                <c:pt idx="235">
                  <c:v>716.5</c:v>
                </c:pt>
                <c:pt idx="236">
                  <c:v>716.4</c:v>
                </c:pt>
                <c:pt idx="237">
                  <c:v>716.3</c:v>
                </c:pt>
                <c:pt idx="238">
                  <c:v>716.2</c:v>
                </c:pt>
                <c:pt idx="239">
                  <c:v>716.1</c:v>
                </c:pt>
                <c:pt idx="240">
                  <c:v>716</c:v>
                </c:pt>
                <c:pt idx="241">
                  <c:v>715.9</c:v>
                </c:pt>
                <c:pt idx="242">
                  <c:v>715.8</c:v>
                </c:pt>
                <c:pt idx="243">
                  <c:v>715.7</c:v>
                </c:pt>
                <c:pt idx="244">
                  <c:v>715.6</c:v>
                </c:pt>
                <c:pt idx="245">
                  <c:v>715.5</c:v>
                </c:pt>
                <c:pt idx="246">
                  <c:v>715.4</c:v>
                </c:pt>
                <c:pt idx="247">
                  <c:v>715.3</c:v>
                </c:pt>
                <c:pt idx="248">
                  <c:v>715.2</c:v>
                </c:pt>
                <c:pt idx="249">
                  <c:v>715.1</c:v>
                </c:pt>
                <c:pt idx="250">
                  <c:v>715</c:v>
                </c:pt>
                <c:pt idx="251">
                  <c:v>714.9</c:v>
                </c:pt>
                <c:pt idx="252">
                  <c:v>714.8</c:v>
                </c:pt>
                <c:pt idx="253">
                  <c:v>714.7</c:v>
                </c:pt>
                <c:pt idx="254">
                  <c:v>714.6</c:v>
                </c:pt>
                <c:pt idx="255">
                  <c:v>714.5</c:v>
                </c:pt>
                <c:pt idx="256">
                  <c:v>714.4</c:v>
                </c:pt>
                <c:pt idx="257">
                  <c:v>714.3</c:v>
                </c:pt>
                <c:pt idx="258">
                  <c:v>714.2</c:v>
                </c:pt>
                <c:pt idx="259">
                  <c:v>714.1</c:v>
                </c:pt>
                <c:pt idx="260">
                  <c:v>714</c:v>
                </c:pt>
                <c:pt idx="261">
                  <c:v>713.9</c:v>
                </c:pt>
                <c:pt idx="262">
                  <c:v>713.8</c:v>
                </c:pt>
                <c:pt idx="263">
                  <c:v>713.7</c:v>
                </c:pt>
                <c:pt idx="264">
                  <c:v>713.6</c:v>
                </c:pt>
                <c:pt idx="265">
                  <c:v>713.5</c:v>
                </c:pt>
                <c:pt idx="266">
                  <c:v>713.4</c:v>
                </c:pt>
                <c:pt idx="267">
                  <c:v>713.3</c:v>
                </c:pt>
                <c:pt idx="268">
                  <c:v>713.2</c:v>
                </c:pt>
                <c:pt idx="269">
                  <c:v>713.1</c:v>
                </c:pt>
                <c:pt idx="270">
                  <c:v>713</c:v>
                </c:pt>
                <c:pt idx="271">
                  <c:v>712.9</c:v>
                </c:pt>
                <c:pt idx="272">
                  <c:v>712.8</c:v>
                </c:pt>
                <c:pt idx="273">
                  <c:v>712.7</c:v>
                </c:pt>
                <c:pt idx="274">
                  <c:v>712.6</c:v>
                </c:pt>
                <c:pt idx="275">
                  <c:v>712.5</c:v>
                </c:pt>
                <c:pt idx="276">
                  <c:v>712.4</c:v>
                </c:pt>
                <c:pt idx="277">
                  <c:v>712.3</c:v>
                </c:pt>
                <c:pt idx="278">
                  <c:v>712.2</c:v>
                </c:pt>
                <c:pt idx="279">
                  <c:v>712.1</c:v>
                </c:pt>
                <c:pt idx="280">
                  <c:v>712</c:v>
                </c:pt>
                <c:pt idx="281">
                  <c:v>711.9</c:v>
                </c:pt>
                <c:pt idx="282">
                  <c:v>711.8</c:v>
                </c:pt>
                <c:pt idx="283">
                  <c:v>711.7</c:v>
                </c:pt>
                <c:pt idx="284">
                  <c:v>711.6</c:v>
                </c:pt>
                <c:pt idx="285">
                  <c:v>711.5</c:v>
                </c:pt>
                <c:pt idx="286">
                  <c:v>711.4</c:v>
                </c:pt>
                <c:pt idx="287">
                  <c:v>711.3</c:v>
                </c:pt>
                <c:pt idx="288">
                  <c:v>711.2</c:v>
                </c:pt>
                <c:pt idx="289">
                  <c:v>711.1</c:v>
                </c:pt>
                <c:pt idx="290">
                  <c:v>711</c:v>
                </c:pt>
                <c:pt idx="291">
                  <c:v>710.9</c:v>
                </c:pt>
                <c:pt idx="292">
                  <c:v>710.8</c:v>
                </c:pt>
                <c:pt idx="293">
                  <c:v>710.7</c:v>
                </c:pt>
                <c:pt idx="294">
                  <c:v>710.6</c:v>
                </c:pt>
                <c:pt idx="295">
                  <c:v>710.5</c:v>
                </c:pt>
                <c:pt idx="296">
                  <c:v>710.4</c:v>
                </c:pt>
                <c:pt idx="297">
                  <c:v>710.3</c:v>
                </c:pt>
                <c:pt idx="298">
                  <c:v>710.2</c:v>
                </c:pt>
                <c:pt idx="299">
                  <c:v>710.1</c:v>
                </c:pt>
                <c:pt idx="300">
                  <c:v>710</c:v>
                </c:pt>
                <c:pt idx="301">
                  <c:v>709.9</c:v>
                </c:pt>
                <c:pt idx="302">
                  <c:v>709.8</c:v>
                </c:pt>
                <c:pt idx="303">
                  <c:v>709.7</c:v>
                </c:pt>
                <c:pt idx="304">
                  <c:v>709.6</c:v>
                </c:pt>
                <c:pt idx="305">
                  <c:v>709.5</c:v>
                </c:pt>
                <c:pt idx="306">
                  <c:v>709.4</c:v>
                </c:pt>
                <c:pt idx="307">
                  <c:v>709.3</c:v>
                </c:pt>
                <c:pt idx="308">
                  <c:v>709.2</c:v>
                </c:pt>
                <c:pt idx="309">
                  <c:v>709.1</c:v>
                </c:pt>
                <c:pt idx="310">
                  <c:v>709</c:v>
                </c:pt>
                <c:pt idx="311">
                  <c:v>708.9</c:v>
                </c:pt>
                <c:pt idx="312">
                  <c:v>708.8</c:v>
                </c:pt>
                <c:pt idx="313">
                  <c:v>708.7</c:v>
                </c:pt>
                <c:pt idx="314">
                  <c:v>708.6</c:v>
                </c:pt>
                <c:pt idx="315">
                  <c:v>708.5</c:v>
                </c:pt>
                <c:pt idx="316">
                  <c:v>708.4</c:v>
                </c:pt>
                <c:pt idx="317">
                  <c:v>708.3</c:v>
                </c:pt>
                <c:pt idx="318">
                  <c:v>708.2</c:v>
                </c:pt>
                <c:pt idx="319">
                  <c:v>708.1</c:v>
                </c:pt>
                <c:pt idx="320">
                  <c:v>708</c:v>
                </c:pt>
                <c:pt idx="321">
                  <c:v>707.9</c:v>
                </c:pt>
                <c:pt idx="322">
                  <c:v>707.8</c:v>
                </c:pt>
                <c:pt idx="323">
                  <c:v>707.7</c:v>
                </c:pt>
                <c:pt idx="324">
                  <c:v>707.6</c:v>
                </c:pt>
                <c:pt idx="325">
                  <c:v>707.5</c:v>
                </c:pt>
                <c:pt idx="326">
                  <c:v>707.4</c:v>
                </c:pt>
                <c:pt idx="327">
                  <c:v>707.3</c:v>
                </c:pt>
                <c:pt idx="328">
                  <c:v>707.2</c:v>
                </c:pt>
                <c:pt idx="329">
                  <c:v>707.1</c:v>
                </c:pt>
                <c:pt idx="330">
                  <c:v>707</c:v>
                </c:pt>
                <c:pt idx="331">
                  <c:v>706.9</c:v>
                </c:pt>
                <c:pt idx="332">
                  <c:v>706.8</c:v>
                </c:pt>
                <c:pt idx="333">
                  <c:v>706.7</c:v>
                </c:pt>
                <c:pt idx="334">
                  <c:v>706.6</c:v>
                </c:pt>
                <c:pt idx="335">
                  <c:v>706.5</c:v>
                </c:pt>
                <c:pt idx="336">
                  <c:v>706.4</c:v>
                </c:pt>
                <c:pt idx="337">
                  <c:v>706.3</c:v>
                </c:pt>
                <c:pt idx="338">
                  <c:v>706.2</c:v>
                </c:pt>
                <c:pt idx="339">
                  <c:v>706.1</c:v>
                </c:pt>
                <c:pt idx="340">
                  <c:v>706</c:v>
                </c:pt>
                <c:pt idx="341">
                  <c:v>705.9</c:v>
                </c:pt>
                <c:pt idx="342">
                  <c:v>705.8</c:v>
                </c:pt>
                <c:pt idx="343">
                  <c:v>705.7</c:v>
                </c:pt>
                <c:pt idx="344">
                  <c:v>705.6</c:v>
                </c:pt>
                <c:pt idx="345">
                  <c:v>705.5</c:v>
                </c:pt>
                <c:pt idx="346">
                  <c:v>705.4</c:v>
                </c:pt>
                <c:pt idx="347">
                  <c:v>705.3</c:v>
                </c:pt>
                <c:pt idx="348">
                  <c:v>705.2</c:v>
                </c:pt>
                <c:pt idx="349">
                  <c:v>705.1</c:v>
                </c:pt>
                <c:pt idx="350">
                  <c:v>705</c:v>
                </c:pt>
                <c:pt idx="351">
                  <c:v>704.9</c:v>
                </c:pt>
                <c:pt idx="352">
                  <c:v>704.8</c:v>
                </c:pt>
                <c:pt idx="353">
                  <c:v>704.7</c:v>
                </c:pt>
                <c:pt idx="354">
                  <c:v>704.6</c:v>
                </c:pt>
                <c:pt idx="355">
                  <c:v>704.5</c:v>
                </c:pt>
                <c:pt idx="356">
                  <c:v>704.4</c:v>
                </c:pt>
                <c:pt idx="357">
                  <c:v>704.3</c:v>
                </c:pt>
                <c:pt idx="358">
                  <c:v>704.2</c:v>
                </c:pt>
                <c:pt idx="359">
                  <c:v>704.1</c:v>
                </c:pt>
                <c:pt idx="360">
                  <c:v>704</c:v>
                </c:pt>
                <c:pt idx="361">
                  <c:v>703.9</c:v>
                </c:pt>
                <c:pt idx="362">
                  <c:v>703.8</c:v>
                </c:pt>
                <c:pt idx="363">
                  <c:v>703.7</c:v>
                </c:pt>
                <c:pt idx="364">
                  <c:v>703.6</c:v>
                </c:pt>
                <c:pt idx="365">
                  <c:v>703.5</c:v>
                </c:pt>
                <c:pt idx="366">
                  <c:v>703.4</c:v>
                </c:pt>
                <c:pt idx="367">
                  <c:v>703.3</c:v>
                </c:pt>
                <c:pt idx="368">
                  <c:v>703.2</c:v>
                </c:pt>
                <c:pt idx="369">
                  <c:v>703.1</c:v>
                </c:pt>
                <c:pt idx="370">
                  <c:v>703</c:v>
                </c:pt>
                <c:pt idx="371">
                  <c:v>702.9</c:v>
                </c:pt>
                <c:pt idx="372">
                  <c:v>702.8</c:v>
                </c:pt>
                <c:pt idx="373">
                  <c:v>702.7</c:v>
                </c:pt>
                <c:pt idx="374">
                  <c:v>702.6</c:v>
                </c:pt>
                <c:pt idx="375">
                  <c:v>702.5</c:v>
                </c:pt>
                <c:pt idx="376">
                  <c:v>702.4</c:v>
                </c:pt>
                <c:pt idx="377">
                  <c:v>702.3</c:v>
                </c:pt>
                <c:pt idx="378">
                  <c:v>702.2</c:v>
                </c:pt>
                <c:pt idx="379">
                  <c:v>702.1</c:v>
                </c:pt>
                <c:pt idx="380">
                  <c:v>702</c:v>
                </c:pt>
                <c:pt idx="381">
                  <c:v>701.9</c:v>
                </c:pt>
                <c:pt idx="382">
                  <c:v>701.8</c:v>
                </c:pt>
                <c:pt idx="383">
                  <c:v>701.7</c:v>
                </c:pt>
                <c:pt idx="384">
                  <c:v>701.6</c:v>
                </c:pt>
                <c:pt idx="385">
                  <c:v>701.5</c:v>
                </c:pt>
                <c:pt idx="386">
                  <c:v>701.4</c:v>
                </c:pt>
                <c:pt idx="387">
                  <c:v>701.3</c:v>
                </c:pt>
                <c:pt idx="388">
                  <c:v>701.2</c:v>
                </c:pt>
                <c:pt idx="389">
                  <c:v>701.1</c:v>
                </c:pt>
                <c:pt idx="390">
                  <c:v>701</c:v>
                </c:pt>
                <c:pt idx="391">
                  <c:v>700.9</c:v>
                </c:pt>
                <c:pt idx="392">
                  <c:v>700.8</c:v>
                </c:pt>
                <c:pt idx="393">
                  <c:v>700.7</c:v>
                </c:pt>
                <c:pt idx="394">
                  <c:v>700.6</c:v>
                </c:pt>
                <c:pt idx="395">
                  <c:v>700.5</c:v>
                </c:pt>
                <c:pt idx="396">
                  <c:v>700.4</c:v>
                </c:pt>
                <c:pt idx="397">
                  <c:v>700.3</c:v>
                </c:pt>
                <c:pt idx="398">
                  <c:v>700.2</c:v>
                </c:pt>
              </c:numCache>
            </c:numRef>
          </c:cat>
          <c:val>
            <c:numRef>
              <c:f>'Fig 9e'!$F$4:$F$402</c:f>
              <c:numCache>
                <c:formatCode>General</c:formatCode>
                <c:ptCount val="399"/>
                <c:pt idx="0">
                  <c:v>9206.3799999999992</c:v>
                </c:pt>
                <c:pt idx="1">
                  <c:v>9205.6299999999992</c:v>
                </c:pt>
                <c:pt idx="2">
                  <c:v>9189.73</c:v>
                </c:pt>
                <c:pt idx="3">
                  <c:v>9178.85</c:v>
                </c:pt>
                <c:pt idx="4">
                  <c:v>9175.42</c:v>
                </c:pt>
                <c:pt idx="5">
                  <c:v>9171.7000000000007</c:v>
                </c:pt>
                <c:pt idx="6">
                  <c:v>9156.93</c:v>
                </c:pt>
                <c:pt idx="7">
                  <c:v>9156.98</c:v>
                </c:pt>
                <c:pt idx="8">
                  <c:v>9156.9</c:v>
                </c:pt>
                <c:pt idx="9">
                  <c:v>9156.75</c:v>
                </c:pt>
                <c:pt idx="10">
                  <c:v>9156.56</c:v>
                </c:pt>
                <c:pt idx="11">
                  <c:v>9156.23</c:v>
                </c:pt>
                <c:pt idx="12">
                  <c:v>9155.7800000000007</c:v>
                </c:pt>
                <c:pt idx="13">
                  <c:v>9155.36</c:v>
                </c:pt>
                <c:pt idx="14">
                  <c:v>9154.83</c:v>
                </c:pt>
                <c:pt idx="15">
                  <c:v>9154.3700000000008</c:v>
                </c:pt>
                <c:pt idx="16">
                  <c:v>9153.99</c:v>
                </c:pt>
                <c:pt idx="17">
                  <c:v>9153.76</c:v>
                </c:pt>
                <c:pt idx="18">
                  <c:v>9153.6299999999992</c:v>
                </c:pt>
                <c:pt idx="19">
                  <c:v>9153.59</c:v>
                </c:pt>
                <c:pt idx="20">
                  <c:v>9153.61</c:v>
                </c:pt>
                <c:pt idx="21">
                  <c:v>9153.67</c:v>
                </c:pt>
                <c:pt idx="22">
                  <c:v>9153.57</c:v>
                </c:pt>
                <c:pt idx="23">
                  <c:v>9153.32</c:v>
                </c:pt>
                <c:pt idx="24">
                  <c:v>9152.9699999999993</c:v>
                </c:pt>
                <c:pt idx="25">
                  <c:v>9152.5400000000009</c:v>
                </c:pt>
                <c:pt idx="26">
                  <c:v>9152.07</c:v>
                </c:pt>
                <c:pt idx="27">
                  <c:v>9151.73</c:v>
                </c:pt>
                <c:pt idx="28">
                  <c:v>9151.41</c:v>
                </c:pt>
                <c:pt idx="29">
                  <c:v>9151.1299999999992</c:v>
                </c:pt>
                <c:pt idx="30">
                  <c:v>9150.81</c:v>
                </c:pt>
                <c:pt idx="31">
                  <c:v>9150.58</c:v>
                </c:pt>
                <c:pt idx="32">
                  <c:v>9150.49</c:v>
                </c:pt>
                <c:pt idx="33">
                  <c:v>9150.5</c:v>
                </c:pt>
                <c:pt idx="34">
                  <c:v>9150.58</c:v>
                </c:pt>
                <c:pt idx="35">
                  <c:v>9151.24</c:v>
                </c:pt>
                <c:pt idx="36">
                  <c:v>9151.91</c:v>
                </c:pt>
                <c:pt idx="37">
                  <c:v>9152.58</c:v>
                </c:pt>
                <c:pt idx="38">
                  <c:v>9153.25</c:v>
                </c:pt>
                <c:pt idx="39">
                  <c:v>9153.93</c:v>
                </c:pt>
                <c:pt idx="40">
                  <c:v>9154.61</c:v>
                </c:pt>
                <c:pt idx="41">
                  <c:v>9155.2900000000009</c:v>
                </c:pt>
                <c:pt idx="42">
                  <c:v>9155.98</c:v>
                </c:pt>
                <c:pt idx="43">
                  <c:v>9156.67</c:v>
                </c:pt>
                <c:pt idx="44">
                  <c:v>9157.3700000000008</c:v>
                </c:pt>
                <c:pt idx="45">
                  <c:v>9158.07</c:v>
                </c:pt>
                <c:pt idx="46">
                  <c:v>9158.77</c:v>
                </c:pt>
                <c:pt idx="47">
                  <c:v>9159.48</c:v>
                </c:pt>
                <c:pt idx="48">
                  <c:v>9160.2000000000007</c:v>
                </c:pt>
                <c:pt idx="49">
                  <c:v>9160.92</c:v>
                </c:pt>
                <c:pt idx="50">
                  <c:v>9161.65</c:v>
                </c:pt>
                <c:pt idx="51">
                  <c:v>9162.39</c:v>
                </c:pt>
                <c:pt idx="52">
                  <c:v>9163.14</c:v>
                </c:pt>
                <c:pt idx="53">
                  <c:v>9163.89</c:v>
                </c:pt>
                <c:pt idx="54">
                  <c:v>9164.66</c:v>
                </c:pt>
                <c:pt idx="55">
                  <c:v>9165.43</c:v>
                </c:pt>
                <c:pt idx="56">
                  <c:v>9166.2199999999993</c:v>
                </c:pt>
                <c:pt idx="57">
                  <c:v>9167.02</c:v>
                </c:pt>
                <c:pt idx="58">
                  <c:v>9167.83</c:v>
                </c:pt>
                <c:pt idx="59">
                  <c:v>9168.66</c:v>
                </c:pt>
                <c:pt idx="60">
                  <c:v>9169.51</c:v>
                </c:pt>
                <c:pt idx="61">
                  <c:v>9170.3700000000008</c:v>
                </c:pt>
                <c:pt idx="62">
                  <c:v>9171.26</c:v>
                </c:pt>
                <c:pt idx="63">
                  <c:v>9172.17</c:v>
                </c:pt>
                <c:pt idx="64">
                  <c:v>9173.1</c:v>
                </c:pt>
                <c:pt idx="65">
                  <c:v>9174.0499999999993</c:v>
                </c:pt>
                <c:pt idx="66">
                  <c:v>9175.0400000000009</c:v>
                </c:pt>
                <c:pt idx="67">
                  <c:v>9176.06</c:v>
                </c:pt>
                <c:pt idx="68">
                  <c:v>9177.11</c:v>
                </c:pt>
                <c:pt idx="69">
                  <c:v>9178.2000000000007</c:v>
                </c:pt>
                <c:pt idx="70">
                  <c:v>9179.33</c:v>
                </c:pt>
                <c:pt idx="71">
                  <c:v>9180.51</c:v>
                </c:pt>
                <c:pt idx="72">
                  <c:v>9181.73</c:v>
                </c:pt>
                <c:pt idx="73">
                  <c:v>9183</c:v>
                </c:pt>
                <c:pt idx="74">
                  <c:v>9184.34</c:v>
                </c:pt>
                <c:pt idx="75">
                  <c:v>9185.73</c:v>
                </c:pt>
                <c:pt idx="76">
                  <c:v>9187.19</c:v>
                </c:pt>
                <c:pt idx="77">
                  <c:v>9188.7199999999993</c:v>
                </c:pt>
                <c:pt idx="78">
                  <c:v>9190.32</c:v>
                </c:pt>
                <c:pt idx="79">
                  <c:v>9192.01</c:v>
                </c:pt>
                <c:pt idx="80">
                  <c:v>9193.7800000000007</c:v>
                </c:pt>
                <c:pt idx="81">
                  <c:v>9195.65</c:v>
                </c:pt>
                <c:pt idx="82">
                  <c:v>9197.6200000000008</c:v>
                </c:pt>
                <c:pt idx="83">
                  <c:v>9199.69</c:v>
                </c:pt>
                <c:pt idx="84">
                  <c:v>9201.8700000000008</c:v>
                </c:pt>
                <c:pt idx="85">
                  <c:v>9204.17</c:v>
                </c:pt>
                <c:pt idx="86">
                  <c:v>9206.59</c:v>
                </c:pt>
                <c:pt idx="87">
                  <c:v>9209.14</c:v>
                </c:pt>
                <c:pt idx="88">
                  <c:v>9211.83</c:v>
                </c:pt>
                <c:pt idx="89">
                  <c:v>9214.65</c:v>
                </c:pt>
                <c:pt idx="90">
                  <c:v>9217.6299999999992</c:v>
                </c:pt>
                <c:pt idx="91">
                  <c:v>9220.76</c:v>
                </c:pt>
                <c:pt idx="92">
                  <c:v>9224.0499999999993</c:v>
                </c:pt>
                <c:pt idx="93">
                  <c:v>9227.5</c:v>
                </c:pt>
                <c:pt idx="94">
                  <c:v>9231.1299999999992</c:v>
                </c:pt>
                <c:pt idx="95">
                  <c:v>9234.92</c:v>
                </c:pt>
                <c:pt idx="96">
                  <c:v>9238.89</c:v>
                </c:pt>
                <c:pt idx="97">
                  <c:v>9243.0400000000009</c:v>
                </c:pt>
                <c:pt idx="98">
                  <c:v>9247.3700000000008</c:v>
                </c:pt>
                <c:pt idx="99">
                  <c:v>9251.89</c:v>
                </c:pt>
                <c:pt idx="100">
                  <c:v>9256.58</c:v>
                </c:pt>
                <c:pt idx="101">
                  <c:v>9261.4699999999993</c:v>
                </c:pt>
                <c:pt idx="102">
                  <c:v>9266.5300000000007</c:v>
                </c:pt>
                <c:pt idx="103">
                  <c:v>9271.77</c:v>
                </c:pt>
                <c:pt idx="104">
                  <c:v>9277.2000000000007</c:v>
                </c:pt>
                <c:pt idx="105">
                  <c:v>9282.7900000000009</c:v>
                </c:pt>
                <c:pt idx="106">
                  <c:v>9288.5499999999993</c:v>
                </c:pt>
                <c:pt idx="107">
                  <c:v>9294.4699999999993</c:v>
                </c:pt>
                <c:pt idx="108">
                  <c:v>9300.5400000000009</c:v>
                </c:pt>
                <c:pt idx="109">
                  <c:v>9306.75</c:v>
                </c:pt>
                <c:pt idx="110">
                  <c:v>9313.09</c:v>
                </c:pt>
                <c:pt idx="111">
                  <c:v>9319.5499999999993</c:v>
                </c:pt>
                <c:pt idx="112">
                  <c:v>9326.11</c:v>
                </c:pt>
                <c:pt idx="113">
                  <c:v>9332.77</c:v>
                </c:pt>
                <c:pt idx="114">
                  <c:v>9339.49</c:v>
                </c:pt>
                <c:pt idx="115">
                  <c:v>9346.27</c:v>
                </c:pt>
                <c:pt idx="116">
                  <c:v>9353.08</c:v>
                </c:pt>
                <c:pt idx="117">
                  <c:v>9359.91</c:v>
                </c:pt>
                <c:pt idx="118">
                  <c:v>9366.7199999999993</c:v>
                </c:pt>
                <c:pt idx="119">
                  <c:v>9373.5</c:v>
                </c:pt>
                <c:pt idx="120">
                  <c:v>9380.2099999999991</c:v>
                </c:pt>
                <c:pt idx="121">
                  <c:v>9386.84</c:v>
                </c:pt>
                <c:pt idx="122">
                  <c:v>9393.35</c:v>
                </c:pt>
                <c:pt idx="123">
                  <c:v>9399.7099999999991</c:v>
                </c:pt>
                <c:pt idx="124">
                  <c:v>9405.89</c:v>
                </c:pt>
                <c:pt idx="125">
                  <c:v>9411.86</c:v>
                </c:pt>
                <c:pt idx="126">
                  <c:v>9417.58</c:v>
                </c:pt>
                <c:pt idx="127">
                  <c:v>9423.02</c:v>
                </c:pt>
                <c:pt idx="128">
                  <c:v>9428.16</c:v>
                </c:pt>
                <c:pt idx="129">
                  <c:v>9432.9500000000007</c:v>
                </c:pt>
                <c:pt idx="130">
                  <c:v>9437.36</c:v>
                </c:pt>
                <c:pt idx="131">
                  <c:v>9441.36</c:v>
                </c:pt>
                <c:pt idx="132">
                  <c:v>9444.93</c:v>
                </c:pt>
                <c:pt idx="133">
                  <c:v>9448.0300000000007</c:v>
                </c:pt>
                <c:pt idx="134">
                  <c:v>9450.66</c:v>
                </c:pt>
                <c:pt idx="135">
                  <c:v>9452.77</c:v>
                </c:pt>
                <c:pt idx="136">
                  <c:v>9454.3700000000008</c:v>
                </c:pt>
                <c:pt idx="137">
                  <c:v>9455.4500000000007</c:v>
                </c:pt>
                <c:pt idx="138">
                  <c:v>9455.99</c:v>
                </c:pt>
                <c:pt idx="139">
                  <c:v>9456</c:v>
                </c:pt>
                <c:pt idx="140">
                  <c:v>9455.48</c:v>
                </c:pt>
                <c:pt idx="141">
                  <c:v>9454.44</c:v>
                </c:pt>
                <c:pt idx="142">
                  <c:v>9452.91</c:v>
                </c:pt>
                <c:pt idx="143">
                  <c:v>9450.89</c:v>
                </c:pt>
                <c:pt idx="144">
                  <c:v>9448.41</c:v>
                </c:pt>
                <c:pt idx="145">
                  <c:v>9445.5</c:v>
                </c:pt>
                <c:pt idx="146">
                  <c:v>9442.19</c:v>
                </c:pt>
                <c:pt idx="147">
                  <c:v>9438.5</c:v>
                </c:pt>
                <c:pt idx="148">
                  <c:v>9434.48</c:v>
                </c:pt>
                <c:pt idx="149">
                  <c:v>9430.14</c:v>
                </c:pt>
                <c:pt idx="150">
                  <c:v>9425.5400000000009</c:v>
                </c:pt>
                <c:pt idx="151">
                  <c:v>9420.69</c:v>
                </c:pt>
                <c:pt idx="152">
                  <c:v>9415.6299999999992</c:v>
                </c:pt>
                <c:pt idx="153">
                  <c:v>9410.4</c:v>
                </c:pt>
                <c:pt idx="154">
                  <c:v>9405.02</c:v>
                </c:pt>
                <c:pt idx="155">
                  <c:v>9399.5300000000007</c:v>
                </c:pt>
                <c:pt idx="156">
                  <c:v>9393.9500000000007</c:v>
                </c:pt>
                <c:pt idx="157">
                  <c:v>9388.32</c:v>
                </c:pt>
                <c:pt idx="158">
                  <c:v>9382.65</c:v>
                </c:pt>
                <c:pt idx="159">
                  <c:v>9376.9699999999993</c:v>
                </c:pt>
                <c:pt idx="160">
                  <c:v>9371.31</c:v>
                </c:pt>
                <c:pt idx="161">
                  <c:v>9365.69</c:v>
                </c:pt>
                <c:pt idx="162">
                  <c:v>9360.1200000000008</c:v>
                </c:pt>
                <c:pt idx="163">
                  <c:v>9354.6200000000008</c:v>
                </c:pt>
                <c:pt idx="164">
                  <c:v>9349.2199999999993</c:v>
                </c:pt>
                <c:pt idx="165">
                  <c:v>9343.92</c:v>
                </c:pt>
                <c:pt idx="166">
                  <c:v>9338.74</c:v>
                </c:pt>
                <c:pt idx="167">
                  <c:v>9333.7000000000007</c:v>
                </c:pt>
                <c:pt idx="168">
                  <c:v>9328.7900000000009</c:v>
                </c:pt>
                <c:pt idx="169">
                  <c:v>9324.0400000000009</c:v>
                </c:pt>
                <c:pt idx="170">
                  <c:v>9319.4500000000007</c:v>
                </c:pt>
                <c:pt idx="171">
                  <c:v>9315.0300000000007</c:v>
                </c:pt>
                <c:pt idx="172">
                  <c:v>9310.7800000000007</c:v>
                </c:pt>
                <c:pt idx="173">
                  <c:v>9306.7099999999991</c:v>
                </c:pt>
                <c:pt idx="174">
                  <c:v>9302.81</c:v>
                </c:pt>
                <c:pt idx="175">
                  <c:v>9299.1</c:v>
                </c:pt>
                <c:pt idx="176">
                  <c:v>9295.58</c:v>
                </c:pt>
                <c:pt idx="177">
                  <c:v>9292.23</c:v>
                </c:pt>
                <c:pt idx="178">
                  <c:v>9289.07</c:v>
                </c:pt>
                <c:pt idx="179">
                  <c:v>9286.09</c:v>
                </c:pt>
                <c:pt idx="180">
                  <c:v>9283.2900000000009</c:v>
                </c:pt>
                <c:pt idx="181">
                  <c:v>9280.67</c:v>
                </c:pt>
                <c:pt idx="182">
                  <c:v>9278.2199999999993</c:v>
                </c:pt>
                <c:pt idx="183">
                  <c:v>9275.93</c:v>
                </c:pt>
                <c:pt idx="184">
                  <c:v>9273.81</c:v>
                </c:pt>
                <c:pt idx="185">
                  <c:v>9271.85</c:v>
                </c:pt>
                <c:pt idx="186">
                  <c:v>9270.0400000000009</c:v>
                </c:pt>
                <c:pt idx="187">
                  <c:v>9268.3799999999992</c:v>
                </c:pt>
                <c:pt idx="188">
                  <c:v>9266.86</c:v>
                </c:pt>
                <c:pt idx="189">
                  <c:v>9265.4699999999993</c:v>
                </c:pt>
                <c:pt idx="190">
                  <c:v>9264.2099999999991</c:v>
                </c:pt>
                <c:pt idx="191">
                  <c:v>9263.08</c:v>
                </c:pt>
                <c:pt idx="192">
                  <c:v>9262.06</c:v>
                </c:pt>
                <c:pt idx="193">
                  <c:v>9261.15</c:v>
                </c:pt>
                <c:pt idx="194">
                  <c:v>9260.35</c:v>
                </c:pt>
                <c:pt idx="195">
                  <c:v>9259.64</c:v>
                </c:pt>
                <c:pt idx="196">
                  <c:v>9259.02</c:v>
                </c:pt>
                <c:pt idx="197">
                  <c:v>9258.5</c:v>
                </c:pt>
                <c:pt idx="198">
                  <c:v>9258.0499999999993</c:v>
                </c:pt>
                <c:pt idx="199">
                  <c:v>9257.68</c:v>
                </c:pt>
                <c:pt idx="200">
                  <c:v>9257.3700000000008</c:v>
                </c:pt>
                <c:pt idx="201">
                  <c:v>9257.14</c:v>
                </c:pt>
                <c:pt idx="202">
                  <c:v>9256.9599999999991</c:v>
                </c:pt>
                <c:pt idx="203">
                  <c:v>9256.84</c:v>
                </c:pt>
                <c:pt idx="204">
                  <c:v>9256.77</c:v>
                </c:pt>
                <c:pt idx="205">
                  <c:v>9256.75</c:v>
                </c:pt>
                <c:pt idx="206">
                  <c:v>9256.77</c:v>
                </c:pt>
                <c:pt idx="207">
                  <c:v>9256.83</c:v>
                </c:pt>
                <c:pt idx="208">
                  <c:v>9256.94</c:v>
                </c:pt>
                <c:pt idx="209">
                  <c:v>9257.07</c:v>
                </c:pt>
                <c:pt idx="210">
                  <c:v>9257.24</c:v>
                </c:pt>
                <c:pt idx="211">
                  <c:v>9257.43</c:v>
                </c:pt>
                <c:pt idx="212">
                  <c:v>9257.65</c:v>
                </c:pt>
                <c:pt idx="213">
                  <c:v>9257.89</c:v>
                </c:pt>
                <c:pt idx="214">
                  <c:v>9258.16</c:v>
                </c:pt>
                <c:pt idx="215">
                  <c:v>9258.4500000000007</c:v>
                </c:pt>
                <c:pt idx="216">
                  <c:v>9258.75</c:v>
                </c:pt>
                <c:pt idx="217">
                  <c:v>9259.07</c:v>
                </c:pt>
                <c:pt idx="218">
                  <c:v>9259.41</c:v>
                </c:pt>
                <c:pt idx="219">
                  <c:v>9259.76</c:v>
                </c:pt>
                <c:pt idx="220">
                  <c:v>9260.1200000000008</c:v>
                </c:pt>
                <c:pt idx="221">
                  <c:v>9260.49</c:v>
                </c:pt>
                <c:pt idx="222">
                  <c:v>9260.8799999999992</c:v>
                </c:pt>
                <c:pt idx="223">
                  <c:v>9261.27</c:v>
                </c:pt>
                <c:pt idx="224">
                  <c:v>9261.67</c:v>
                </c:pt>
                <c:pt idx="225">
                  <c:v>9262.09</c:v>
                </c:pt>
                <c:pt idx="226">
                  <c:v>9262.5</c:v>
                </c:pt>
                <c:pt idx="227">
                  <c:v>9262.93</c:v>
                </c:pt>
                <c:pt idx="228">
                  <c:v>9263.36</c:v>
                </c:pt>
                <c:pt idx="229">
                  <c:v>9263.7999999999993</c:v>
                </c:pt>
                <c:pt idx="230">
                  <c:v>9264.24</c:v>
                </c:pt>
                <c:pt idx="231">
                  <c:v>9264.69</c:v>
                </c:pt>
                <c:pt idx="232">
                  <c:v>9265.14</c:v>
                </c:pt>
                <c:pt idx="233">
                  <c:v>9265.6</c:v>
                </c:pt>
                <c:pt idx="234">
                  <c:v>9266.06</c:v>
                </c:pt>
                <c:pt idx="235">
                  <c:v>9266.5300000000007</c:v>
                </c:pt>
                <c:pt idx="236">
                  <c:v>9267</c:v>
                </c:pt>
                <c:pt idx="237">
                  <c:v>9267.4699999999993</c:v>
                </c:pt>
                <c:pt idx="238">
                  <c:v>9267.94</c:v>
                </c:pt>
                <c:pt idx="239">
                  <c:v>9268.42</c:v>
                </c:pt>
                <c:pt idx="240">
                  <c:v>9268.9</c:v>
                </c:pt>
                <c:pt idx="241">
                  <c:v>9269.39</c:v>
                </c:pt>
                <c:pt idx="242">
                  <c:v>9269.8700000000008</c:v>
                </c:pt>
                <c:pt idx="243">
                  <c:v>9270.36</c:v>
                </c:pt>
                <c:pt idx="244">
                  <c:v>9270.85</c:v>
                </c:pt>
                <c:pt idx="245">
                  <c:v>9271.35</c:v>
                </c:pt>
                <c:pt idx="246">
                  <c:v>9271.84</c:v>
                </c:pt>
                <c:pt idx="247">
                  <c:v>9272.34</c:v>
                </c:pt>
                <c:pt idx="248">
                  <c:v>9272.84</c:v>
                </c:pt>
                <c:pt idx="249">
                  <c:v>9273.34</c:v>
                </c:pt>
                <c:pt idx="250">
                  <c:v>9273.84</c:v>
                </c:pt>
                <c:pt idx="251">
                  <c:v>9274.35</c:v>
                </c:pt>
                <c:pt idx="252">
                  <c:v>9274.85</c:v>
                </c:pt>
                <c:pt idx="253">
                  <c:v>9275.36</c:v>
                </c:pt>
                <c:pt idx="254">
                  <c:v>9275.8700000000008</c:v>
                </c:pt>
                <c:pt idx="255">
                  <c:v>9276.39</c:v>
                </c:pt>
                <c:pt idx="256">
                  <c:v>9276.9</c:v>
                </c:pt>
                <c:pt idx="257">
                  <c:v>9277.41</c:v>
                </c:pt>
                <c:pt idx="258">
                  <c:v>9277.93</c:v>
                </c:pt>
                <c:pt idx="259">
                  <c:v>9278.4500000000007</c:v>
                </c:pt>
                <c:pt idx="260">
                  <c:v>9278.9599999999991</c:v>
                </c:pt>
                <c:pt idx="261">
                  <c:v>9279.48</c:v>
                </c:pt>
                <c:pt idx="262">
                  <c:v>9280.01</c:v>
                </c:pt>
                <c:pt idx="263">
                  <c:v>9280.5300000000007</c:v>
                </c:pt>
                <c:pt idx="264">
                  <c:v>9281.0499999999993</c:v>
                </c:pt>
                <c:pt idx="265">
                  <c:v>9281.58</c:v>
                </c:pt>
                <c:pt idx="266">
                  <c:v>9282.1</c:v>
                </c:pt>
                <c:pt idx="267">
                  <c:v>9282.6299999999992</c:v>
                </c:pt>
                <c:pt idx="268">
                  <c:v>9283.16</c:v>
                </c:pt>
                <c:pt idx="269">
                  <c:v>9283.68</c:v>
                </c:pt>
                <c:pt idx="270">
                  <c:v>9284.2099999999991</c:v>
                </c:pt>
                <c:pt idx="271">
                  <c:v>9284.74</c:v>
                </c:pt>
                <c:pt idx="272">
                  <c:v>9285.2800000000007</c:v>
                </c:pt>
                <c:pt idx="273">
                  <c:v>9285.81</c:v>
                </c:pt>
                <c:pt idx="274">
                  <c:v>9286.34</c:v>
                </c:pt>
                <c:pt idx="275">
                  <c:v>9286.8799999999992</c:v>
                </c:pt>
                <c:pt idx="276">
                  <c:v>9287.41</c:v>
                </c:pt>
                <c:pt idx="277">
                  <c:v>9287.9500000000007</c:v>
                </c:pt>
                <c:pt idx="278">
                  <c:v>9288.48</c:v>
                </c:pt>
                <c:pt idx="279">
                  <c:v>9289.02</c:v>
                </c:pt>
                <c:pt idx="280">
                  <c:v>9289.56</c:v>
                </c:pt>
                <c:pt idx="281">
                  <c:v>9290.1</c:v>
                </c:pt>
                <c:pt idx="282">
                  <c:v>9290.64</c:v>
                </c:pt>
                <c:pt idx="283">
                  <c:v>9291.18</c:v>
                </c:pt>
                <c:pt idx="284">
                  <c:v>9291.7199999999993</c:v>
                </c:pt>
                <c:pt idx="285">
                  <c:v>9292.26</c:v>
                </c:pt>
                <c:pt idx="286">
                  <c:v>9292.7999999999993</c:v>
                </c:pt>
                <c:pt idx="287">
                  <c:v>9293.34</c:v>
                </c:pt>
                <c:pt idx="288">
                  <c:v>9293.89</c:v>
                </c:pt>
                <c:pt idx="289">
                  <c:v>9294.43</c:v>
                </c:pt>
                <c:pt idx="290">
                  <c:v>9294.9699999999993</c:v>
                </c:pt>
                <c:pt idx="291">
                  <c:v>9295.52</c:v>
                </c:pt>
                <c:pt idx="292">
                  <c:v>9296.06</c:v>
                </c:pt>
                <c:pt idx="293">
                  <c:v>9296.61</c:v>
                </c:pt>
                <c:pt idx="294">
                  <c:v>9297.16</c:v>
                </c:pt>
                <c:pt idx="295">
                  <c:v>9297.7000000000007</c:v>
                </c:pt>
                <c:pt idx="296">
                  <c:v>9298.25</c:v>
                </c:pt>
                <c:pt idx="297">
                  <c:v>9298.7999999999993</c:v>
                </c:pt>
                <c:pt idx="298">
                  <c:v>9299.35</c:v>
                </c:pt>
                <c:pt idx="299">
                  <c:v>9299.9</c:v>
                </c:pt>
                <c:pt idx="300">
                  <c:v>9300.4500000000007</c:v>
                </c:pt>
                <c:pt idx="301">
                  <c:v>9301</c:v>
                </c:pt>
                <c:pt idx="302">
                  <c:v>9301.5499999999993</c:v>
                </c:pt>
                <c:pt idx="303">
                  <c:v>9302.1</c:v>
                </c:pt>
                <c:pt idx="304">
                  <c:v>9302.65</c:v>
                </c:pt>
                <c:pt idx="305">
                  <c:v>9303.2000000000007</c:v>
                </c:pt>
                <c:pt idx="306">
                  <c:v>9303.75</c:v>
                </c:pt>
                <c:pt idx="307">
                  <c:v>9304.2999999999993</c:v>
                </c:pt>
                <c:pt idx="308">
                  <c:v>9304.86</c:v>
                </c:pt>
                <c:pt idx="309">
                  <c:v>9305.41</c:v>
                </c:pt>
                <c:pt idx="310">
                  <c:v>9305.9599999999991</c:v>
                </c:pt>
                <c:pt idx="311">
                  <c:v>9306.52</c:v>
                </c:pt>
                <c:pt idx="312">
                  <c:v>9307.07</c:v>
                </c:pt>
                <c:pt idx="313">
                  <c:v>9307.6200000000008</c:v>
                </c:pt>
                <c:pt idx="314">
                  <c:v>9308.18</c:v>
                </c:pt>
                <c:pt idx="315">
                  <c:v>9308.73</c:v>
                </c:pt>
                <c:pt idx="316">
                  <c:v>9309.2900000000009</c:v>
                </c:pt>
                <c:pt idx="317">
                  <c:v>9309.84</c:v>
                </c:pt>
                <c:pt idx="318">
                  <c:v>9310.4</c:v>
                </c:pt>
                <c:pt idx="319">
                  <c:v>9310.9599999999991</c:v>
                </c:pt>
                <c:pt idx="320">
                  <c:v>9311.51</c:v>
                </c:pt>
                <c:pt idx="321">
                  <c:v>9312.07</c:v>
                </c:pt>
                <c:pt idx="322">
                  <c:v>9312.6299999999992</c:v>
                </c:pt>
                <c:pt idx="323">
                  <c:v>9313.18</c:v>
                </c:pt>
                <c:pt idx="324">
                  <c:v>9313.74</c:v>
                </c:pt>
                <c:pt idx="325">
                  <c:v>9314.2999999999993</c:v>
                </c:pt>
                <c:pt idx="326">
                  <c:v>9314.86</c:v>
                </c:pt>
                <c:pt idx="327">
                  <c:v>9315.42</c:v>
                </c:pt>
                <c:pt idx="328">
                  <c:v>9315.9699999999993</c:v>
                </c:pt>
                <c:pt idx="329">
                  <c:v>9316.5300000000007</c:v>
                </c:pt>
                <c:pt idx="330">
                  <c:v>9317.09</c:v>
                </c:pt>
                <c:pt idx="331">
                  <c:v>9317.65</c:v>
                </c:pt>
                <c:pt idx="332">
                  <c:v>9318.2099999999991</c:v>
                </c:pt>
                <c:pt idx="333">
                  <c:v>9318.77</c:v>
                </c:pt>
                <c:pt idx="334">
                  <c:v>9319.33</c:v>
                </c:pt>
                <c:pt idx="335">
                  <c:v>9319.89</c:v>
                </c:pt>
                <c:pt idx="336">
                  <c:v>9320.4500000000007</c:v>
                </c:pt>
                <c:pt idx="337">
                  <c:v>9321.01</c:v>
                </c:pt>
                <c:pt idx="338">
                  <c:v>9321.57</c:v>
                </c:pt>
                <c:pt idx="339">
                  <c:v>9322.1299999999992</c:v>
                </c:pt>
                <c:pt idx="340">
                  <c:v>9322.69</c:v>
                </c:pt>
                <c:pt idx="341">
                  <c:v>9323.25</c:v>
                </c:pt>
                <c:pt idx="342">
                  <c:v>9323.82</c:v>
                </c:pt>
                <c:pt idx="343">
                  <c:v>9324.3799999999992</c:v>
                </c:pt>
                <c:pt idx="344">
                  <c:v>9324.94</c:v>
                </c:pt>
                <c:pt idx="345">
                  <c:v>9325.5</c:v>
                </c:pt>
                <c:pt idx="346">
                  <c:v>9326.06</c:v>
                </c:pt>
                <c:pt idx="347">
                  <c:v>9326.6200000000008</c:v>
                </c:pt>
                <c:pt idx="348">
                  <c:v>9327.19</c:v>
                </c:pt>
                <c:pt idx="349">
                  <c:v>9327.75</c:v>
                </c:pt>
                <c:pt idx="350">
                  <c:v>9328.31</c:v>
                </c:pt>
                <c:pt idx="351">
                  <c:v>9328.8799999999992</c:v>
                </c:pt>
                <c:pt idx="352">
                  <c:v>9329.44</c:v>
                </c:pt>
                <c:pt idx="353">
                  <c:v>9330</c:v>
                </c:pt>
                <c:pt idx="354">
                  <c:v>9330.56</c:v>
                </c:pt>
                <c:pt idx="355">
                  <c:v>9331.1299999999992</c:v>
                </c:pt>
                <c:pt idx="356">
                  <c:v>9331.69</c:v>
                </c:pt>
                <c:pt idx="357">
                  <c:v>9332.26</c:v>
                </c:pt>
                <c:pt idx="358">
                  <c:v>9332.82</c:v>
                </c:pt>
                <c:pt idx="359">
                  <c:v>9333.3799999999992</c:v>
                </c:pt>
                <c:pt idx="360">
                  <c:v>9333.9500000000007</c:v>
                </c:pt>
                <c:pt idx="361">
                  <c:v>9334.51</c:v>
                </c:pt>
                <c:pt idx="362">
                  <c:v>9335.08</c:v>
                </c:pt>
                <c:pt idx="363">
                  <c:v>9335.64</c:v>
                </c:pt>
                <c:pt idx="364">
                  <c:v>9336.2099999999991</c:v>
                </c:pt>
                <c:pt idx="365">
                  <c:v>9336.77</c:v>
                </c:pt>
                <c:pt idx="366">
                  <c:v>9337.34</c:v>
                </c:pt>
                <c:pt idx="367">
                  <c:v>9337.9</c:v>
                </c:pt>
                <c:pt idx="368">
                  <c:v>9338.4699999999993</c:v>
                </c:pt>
                <c:pt idx="369">
                  <c:v>9339.0300000000007</c:v>
                </c:pt>
                <c:pt idx="370">
                  <c:v>9339.6</c:v>
                </c:pt>
                <c:pt idx="371">
                  <c:v>9340.16</c:v>
                </c:pt>
                <c:pt idx="372">
                  <c:v>9340.73</c:v>
                </c:pt>
                <c:pt idx="373">
                  <c:v>9341.2900000000009</c:v>
                </c:pt>
                <c:pt idx="374">
                  <c:v>9341.86</c:v>
                </c:pt>
                <c:pt idx="375">
                  <c:v>9342.42</c:v>
                </c:pt>
                <c:pt idx="376">
                  <c:v>9342.99</c:v>
                </c:pt>
                <c:pt idx="377">
                  <c:v>9343.56</c:v>
                </c:pt>
                <c:pt idx="378">
                  <c:v>9344.1200000000008</c:v>
                </c:pt>
                <c:pt idx="379">
                  <c:v>9346.92</c:v>
                </c:pt>
                <c:pt idx="380">
                  <c:v>9349.7099999999991</c:v>
                </c:pt>
                <c:pt idx="381">
                  <c:v>9352.5</c:v>
                </c:pt>
                <c:pt idx="382">
                  <c:v>9355.2999999999993</c:v>
                </c:pt>
                <c:pt idx="383">
                  <c:v>9358.09</c:v>
                </c:pt>
                <c:pt idx="384">
                  <c:v>9360.89</c:v>
                </c:pt>
                <c:pt idx="385">
                  <c:v>9363.68</c:v>
                </c:pt>
                <c:pt idx="386">
                  <c:v>9366.4699999999993</c:v>
                </c:pt>
                <c:pt idx="387">
                  <c:v>9369.27</c:v>
                </c:pt>
                <c:pt idx="388">
                  <c:v>9372.06</c:v>
                </c:pt>
                <c:pt idx="389">
                  <c:v>9374.86</c:v>
                </c:pt>
                <c:pt idx="390">
                  <c:v>9377.65</c:v>
                </c:pt>
                <c:pt idx="391">
                  <c:v>9380.4500000000007</c:v>
                </c:pt>
                <c:pt idx="392">
                  <c:v>9383.24</c:v>
                </c:pt>
                <c:pt idx="393">
                  <c:v>9386.0400000000009</c:v>
                </c:pt>
                <c:pt idx="394">
                  <c:v>9388.83</c:v>
                </c:pt>
                <c:pt idx="395">
                  <c:v>9391.6299999999992</c:v>
                </c:pt>
                <c:pt idx="396">
                  <c:v>9394.42</c:v>
                </c:pt>
                <c:pt idx="397">
                  <c:v>9397.2199999999993</c:v>
                </c:pt>
                <c:pt idx="398">
                  <c:v>9400.01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A-4B4A-A817-2660469BA9B1}"/>
            </c:ext>
          </c:extLst>
        </c:ser>
        <c:ser>
          <c:idx val="2"/>
          <c:order val="2"/>
          <c:tx>
            <c:strRef>
              <c:f>'Fig 9e'!$G$2</c:f>
              <c:strCache>
                <c:ptCount val="1"/>
                <c:pt idx="0">
                  <c:v>Fe2p satellite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100000">
                  <a:srgbClr val="A12A93"/>
                </a:gs>
              </a:gsLst>
              <a:lin ang="16200000" scaled="1"/>
            </a:gradFill>
            <a:ln w="25400">
              <a:noFill/>
            </a:ln>
            <a:effectLst/>
          </c:spPr>
          <c:cat>
            <c:numRef>
              <c:f>'Fig 9e'!$A$4:$A$402</c:f>
              <c:numCache>
                <c:formatCode>General</c:formatCode>
                <c:ptCount val="399"/>
                <c:pt idx="0">
                  <c:v>740</c:v>
                </c:pt>
                <c:pt idx="1">
                  <c:v>739.9</c:v>
                </c:pt>
                <c:pt idx="2">
                  <c:v>739.8</c:v>
                </c:pt>
                <c:pt idx="3">
                  <c:v>739.7</c:v>
                </c:pt>
                <c:pt idx="4">
                  <c:v>739.6</c:v>
                </c:pt>
                <c:pt idx="5">
                  <c:v>739.5</c:v>
                </c:pt>
                <c:pt idx="6">
                  <c:v>739.4</c:v>
                </c:pt>
                <c:pt idx="7">
                  <c:v>739.3</c:v>
                </c:pt>
                <c:pt idx="8">
                  <c:v>739.2</c:v>
                </c:pt>
                <c:pt idx="9">
                  <c:v>739.1</c:v>
                </c:pt>
                <c:pt idx="10">
                  <c:v>739</c:v>
                </c:pt>
                <c:pt idx="11">
                  <c:v>738.9</c:v>
                </c:pt>
                <c:pt idx="12">
                  <c:v>738.8</c:v>
                </c:pt>
                <c:pt idx="13">
                  <c:v>738.7</c:v>
                </c:pt>
                <c:pt idx="14">
                  <c:v>738.6</c:v>
                </c:pt>
                <c:pt idx="15">
                  <c:v>738.5</c:v>
                </c:pt>
                <c:pt idx="16">
                  <c:v>738.4</c:v>
                </c:pt>
                <c:pt idx="17">
                  <c:v>738.3</c:v>
                </c:pt>
                <c:pt idx="18">
                  <c:v>738.2</c:v>
                </c:pt>
                <c:pt idx="19">
                  <c:v>738.1</c:v>
                </c:pt>
                <c:pt idx="20">
                  <c:v>738</c:v>
                </c:pt>
                <c:pt idx="21">
                  <c:v>737.9</c:v>
                </c:pt>
                <c:pt idx="22">
                  <c:v>737.8</c:v>
                </c:pt>
                <c:pt idx="23">
                  <c:v>737.7</c:v>
                </c:pt>
                <c:pt idx="24">
                  <c:v>737.6</c:v>
                </c:pt>
                <c:pt idx="25">
                  <c:v>737.5</c:v>
                </c:pt>
                <c:pt idx="26">
                  <c:v>737.4</c:v>
                </c:pt>
                <c:pt idx="27">
                  <c:v>737.3</c:v>
                </c:pt>
                <c:pt idx="28">
                  <c:v>737.2</c:v>
                </c:pt>
                <c:pt idx="29">
                  <c:v>737.1</c:v>
                </c:pt>
                <c:pt idx="30">
                  <c:v>737</c:v>
                </c:pt>
                <c:pt idx="31">
                  <c:v>736.9</c:v>
                </c:pt>
                <c:pt idx="32">
                  <c:v>736.8</c:v>
                </c:pt>
                <c:pt idx="33">
                  <c:v>736.7</c:v>
                </c:pt>
                <c:pt idx="34">
                  <c:v>736.6</c:v>
                </c:pt>
                <c:pt idx="35">
                  <c:v>736.5</c:v>
                </c:pt>
                <c:pt idx="36">
                  <c:v>736.4</c:v>
                </c:pt>
                <c:pt idx="37">
                  <c:v>736.3</c:v>
                </c:pt>
                <c:pt idx="38">
                  <c:v>736.2</c:v>
                </c:pt>
                <c:pt idx="39">
                  <c:v>736.1</c:v>
                </c:pt>
                <c:pt idx="40">
                  <c:v>736</c:v>
                </c:pt>
                <c:pt idx="41">
                  <c:v>735.9</c:v>
                </c:pt>
                <c:pt idx="42">
                  <c:v>735.8</c:v>
                </c:pt>
                <c:pt idx="43">
                  <c:v>735.7</c:v>
                </c:pt>
                <c:pt idx="44">
                  <c:v>735.6</c:v>
                </c:pt>
                <c:pt idx="45">
                  <c:v>735.5</c:v>
                </c:pt>
                <c:pt idx="46">
                  <c:v>735.4</c:v>
                </c:pt>
                <c:pt idx="47">
                  <c:v>735.3</c:v>
                </c:pt>
                <c:pt idx="48">
                  <c:v>735.2</c:v>
                </c:pt>
                <c:pt idx="49">
                  <c:v>735.1</c:v>
                </c:pt>
                <c:pt idx="50">
                  <c:v>735</c:v>
                </c:pt>
                <c:pt idx="51">
                  <c:v>734.9</c:v>
                </c:pt>
                <c:pt idx="52">
                  <c:v>734.8</c:v>
                </c:pt>
                <c:pt idx="53">
                  <c:v>734.7</c:v>
                </c:pt>
                <c:pt idx="54">
                  <c:v>734.6</c:v>
                </c:pt>
                <c:pt idx="55">
                  <c:v>734.5</c:v>
                </c:pt>
                <c:pt idx="56">
                  <c:v>734.4</c:v>
                </c:pt>
                <c:pt idx="57">
                  <c:v>734.3</c:v>
                </c:pt>
                <c:pt idx="58">
                  <c:v>734.2</c:v>
                </c:pt>
                <c:pt idx="59">
                  <c:v>734.1</c:v>
                </c:pt>
                <c:pt idx="60">
                  <c:v>734</c:v>
                </c:pt>
                <c:pt idx="61">
                  <c:v>733.9</c:v>
                </c:pt>
                <c:pt idx="62">
                  <c:v>733.8</c:v>
                </c:pt>
                <c:pt idx="63">
                  <c:v>733.7</c:v>
                </c:pt>
                <c:pt idx="64">
                  <c:v>733.6</c:v>
                </c:pt>
                <c:pt idx="65">
                  <c:v>733.5</c:v>
                </c:pt>
                <c:pt idx="66">
                  <c:v>733.4</c:v>
                </c:pt>
                <c:pt idx="67">
                  <c:v>733.3</c:v>
                </c:pt>
                <c:pt idx="68">
                  <c:v>733.2</c:v>
                </c:pt>
                <c:pt idx="69">
                  <c:v>733.1</c:v>
                </c:pt>
                <c:pt idx="70">
                  <c:v>733</c:v>
                </c:pt>
                <c:pt idx="71">
                  <c:v>732.9</c:v>
                </c:pt>
                <c:pt idx="72">
                  <c:v>732.8</c:v>
                </c:pt>
                <c:pt idx="73">
                  <c:v>732.7</c:v>
                </c:pt>
                <c:pt idx="74">
                  <c:v>732.6</c:v>
                </c:pt>
                <c:pt idx="75">
                  <c:v>732.5</c:v>
                </c:pt>
                <c:pt idx="76">
                  <c:v>732.4</c:v>
                </c:pt>
                <c:pt idx="77">
                  <c:v>732.3</c:v>
                </c:pt>
                <c:pt idx="78">
                  <c:v>732.2</c:v>
                </c:pt>
                <c:pt idx="79">
                  <c:v>732.1</c:v>
                </c:pt>
                <c:pt idx="80">
                  <c:v>732</c:v>
                </c:pt>
                <c:pt idx="81">
                  <c:v>731.9</c:v>
                </c:pt>
                <c:pt idx="82">
                  <c:v>731.8</c:v>
                </c:pt>
                <c:pt idx="83">
                  <c:v>731.7</c:v>
                </c:pt>
                <c:pt idx="84">
                  <c:v>731.6</c:v>
                </c:pt>
                <c:pt idx="85">
                  <c:v>731.5</c:v>
                </c:pt>
                <c:pt idx="86">
                  <c:v>731.4</c:v>
                </c:pt>
                <c:pt idx="87">
                  <c:v>731.3</c:v>
                </c:pt>
                <c:pt idx="88">
                  <c:v>731.2</c:v>
                </c:pt>
                <c:pt idx="89">
                  <c:v>731.1</c:v>
                </c:pt>
                <c:pt idx="90">
                  <c:v>731</c:v>
                </c:pt>
                <c:pt idx="91">
                  <c:v>730.9</c:v>
                </c:pt>
                <c:pt idx="92">
                  <c:v>730.8</c:v>
                </c:pt>
                <c:pt idx="93">
                  <c:v>730.7</c:v>
                </c:pt>
                <c:pt idx="94">
                  <c:v>730.6</c:v>
                </c:pt>
                <c:pt idx="95">
                  <c:v>730.5</c:v>
                </c:pt>
                <c:pt idx="96">
                  <c:v>730.4</c:v>
                </c:pt>
                <c:pt idx="97">
                  <c:v>730.3</c:v>
                </c:pt>
                <c:pt idx="98">
                  <c:v>730.2</c:v>
                </c:pt>
                <c:pt idx="99">
                  <c:v>730.1</c:v>
                </c:pt>
                <c:pt idx="100">
                  <c:v>730</c:v>
                </c:pt>
                <c:pt idx="101">
                  <c:v>729.9</c:v>
                </c:pt>
                <c:pt idx="102">
                  <c:v>729.8</c:v>
                </c:pt>
                <c:pt idx="103">
                  <c:v>729.7</c:v>
                </c:pt>
                <c:pt idx="104">
                  <c:v>729.6</c:v>
                </c:pt>
                <c:pt idx="105">
                  <c:v>729.5</c:v>
                </c:pt>
                <c:pt idx="106">
                  <c:v>729.4</c:v>
                </c:pt>
                <c:pt idx="107">
                  <c:v>729.3</c:v>
                </c:pt>
                <c:pt idx="108">
                  <c:v>729.2</c:v>
                </c:pt>
                <c:pt idx="109">
                  <c:v>729.1</c:v>
                </c:pt>
                <c:pt idx="110">
                  <c:v>729</c:v>
                </c:pt>
                <c:pt idx="111">
                  <c:v>728.9</c:v>
                </c:pt>
                <c:pt idx="112">
                  <c:v>728.8</c:v>
                </c:pt>
                <c:pt idx="113">
                  <c:v>728.7</c:v>
                </c:pt>
                <c:pt idx="114">
                  <c:v>728.6</c:v>
                </c:pt>
                <c:pt idx="115">
                  <c:v>728.5</c:v>
                </c:pt>
                <c:pt idx="116">
                  <c:v>728.4</c:v>
                </c:pt>
                <c:pt idx="117">
                  <c:v>728.3</c:v>
                </c:pt>
                <c:pt idx="118">
                  <c:v>728.2</c:v>
                </c:pt>
                <c:pt idx="119">
                  <c:v>728.1</c:v>
                </c:pt>
                <c:pt idx="120">
                  <c:v>728</c:v>
                </c:pt>
                <c:pt idx="121">
                  <c:v>727.9</c:v>
                </c:pt>
                <c:pt idx="122">
                  <c:v>727.8</c:v>
                </c:pt>
                <c:pt idx="123">
                  <c:v>727.7</c:v>
                </c:pt>
                <c:pt idx="124">
                  <c:v>727.6</c:v>
                </c:pt>
                <c:pt idx="125">
                  <c:v>727.5</c:v>
                </c:pt>
                <c:pt idx="126">
                  <c:v>727.4</c:v>
                </c:pt>
                <c:pt idx="127">
                  <c:v>727.3</c:v>
                </c:pt>
                <c:pt idx="128">
                  <c:v>727.2</c:v>
                </c:pt>
                <c:pt idx="129">
                  <c:v>727.1</c:v>
                </c:pt>
                <c:pt idx="130">
                  <c:v>727</c:v>
                </c:pt>
                <c:pt idx="131">
                  <c:v>726.9</c:v>
                </c:pt>
                <c:pt idx="132">
                  <c:v>726.8</c:v>
                </c:pt>
                <c:pt idx="133">
                  <c:v>726.7</c:v>
                </c:pt>
                <c:pt idx="134">
                  <c:v>726.6</c:v>
                </c:pt>
                <c:pt idx="135">
                  <c:v>726.5</c:v>
                </c:pt>
                <c:pt idx="136">
                  <c:v>726.4</c:v>
                </c:pt>
                <c:pt idx="137">
                  <c:v>726.3</c:v>
                </c:pt>
                <c:pt idx="138">
                  <c:v>726.2</c:v>
                </c:pt>
                <c:pt idx="139">
                  <c:v>726.1</c:v>
                </c:pt>
                <c:pt idx="140">
                  <c:v>726</c:v>
                </c:pt>
                <c:pt idx="141">
                  <c:v>725.9</c:v>
                </c:pt>
                <c:pt idx="142">
                  <c:v>725.8</c:v>
                </c:pt>
                <c:pt idx="143">
                  <c:v>725.7</c:v>
                </c:pt>
                <c:pt idx="144">
                  <c:v>725.6</c:v>
                </c:pt>
                <c:pt idx="145">
                  <c:v>725.5</c:v>
                </c:pt>
                <c:pt idx="146">
                  <c:v>725.4</c:v>
                </c:pt>
                <c:pt idx="147">
                  <c:v>725.3</c:v>
                </c:pt>
                <c:pt idx="148">
                  <c:v>725.2</c:v>
                </c:pt>
                <c:pt idx="149">
                  <c:v>725.1</c:v>
                </c:pt>
                <c:pt idx="150">
                  <c:v>725</c:v>
                </c:pt>
                <c:pt idx="151">
                  <c:v>724.9</c:v>
                </c:pt>
                <c:pt idx="152">
                  <c:v>724.8</c:v>
                </c:pt>
                <c:pt idx="153">
                  <c:v>724.7</c:v>
                </c:pt>
                <c:pt idx="154">
                  <c:v>724.6</c:v>
                </c:pt>
                <c:pt idx="155">
                  <c:v>724.5</c:v>
                </c:pt>
                <c:pt idx="156">
                  <c:v>724.4</c:v>
                </c:pt>
                <c:pt idx="157">
                  <c:v>724.3</c:v>
                </c:pt>
                <c:pt idx="158">
                  <c:v>724.2</c:v>
                </c:pt>
                <c:pt idx="159">
                  <c:v>724.1</c:v>
                </c:pt>
                <c:pt idx="160">
                  <c:v>724</c:v>
                </c:pt>
                <c:pt idx="161">
                  <c:v>723.9</c:v>
                </c:pt>
                <c:pt idx="162">
                  <c:v>723.8</c:v>
                </c:pt>
                <c:pt idx="163">
                  <c:v>723.7</c:v>
                </c:pt>
                <c:pt idx="164">
                  <c:v>723.6</c:v>
                </c:pt>
                <c:pt idx="165">
                  <c:v>723.5</c:v>
                </c:pt>
                <c:pt idx="166">
                  <c:v>723.4</c:v>
                </c:pt>
                <c:pt idx="167">
                  <c:v>723.3</c:v>
                </c:pt>
                <c:pt idx="168">
                  <c:v>723.2</c:v>
                </c:pt>
                <c:pt idx="169">
                  <c:v>723.1</c:v>
                </c:pt>
                <c:pt idx="170">
                  <c:v>723</c:v>
                </c:pt>
                <c:pt idx="171">
                  <c:v>722.9</c:v>
                </c:pt>
                <c:pt idx="172">
                  <c:v>722.8</c:v>
                </c:pt>
                <c:pt idx="173">
                  <c:v>722.7</c:v>
                </c:pt>
                <c:pt idx="174">
                  <c:v>722.6</c:v>
                </c:pt>
                <c:pt idx="175">
                  <c:v>722.5</c:v>
                </c:pt>
                <c:pt idx="176">
                  <c:v>722.4</c:v>
                </c:pt>
                <c:pt idx="177">
                  <c:v>722.3</c:v>
                </c:pt>
                <c:pt idx="178">
                  <c:v>722.2</c:v>
                </c:pt>
                <c:pt idx="179">
                  <c:v>722.1</c:v>
                </c:pt>
                <c:pt idx="180">
                  <c:v>722</c:v>
                </c:pt>
                <c:pt idx="181">
                  <c:v>721.9</c:v>
                </c:pt>
                <c:pt idx="182">
                  <c:v>721.8</c:v>
                </c:pt>
                <c:pt idx="183">
                  <c:v>721.7</c:v>
                </c:pt>
                <c:pt idx="184">
                  <c:v>721.6</c:v>
                </c:pt>
                <c:pt idx="185">
                  <c:v>721.5</c:v>
                </c:pt>
                <c:pt idx="186">
                  <c:v>721.4</c:v>
                </c:pt>
                <c:pt idx="187">
                  <c:v>721.3</c:v>
                </c:pt>
                <c:pt idx="188">
                  <c:v>721.2</c:v>
                </c:pt>
                <c:pt idx="189">
                  <c:v>721.1</c:v>
                </c:pt>
                <c:pt idx="190">
                  <c:v>721</c:v>
                </c:pt>
                <c:pt idx="191">
                  <c:v>720.9</c:v>
                </c:pt>
                <c:pt idx="192">
                  <c:v>720.8</c:v>
                </c:pt>
                <c:pt idx="193">
                  <c:v>720.7</c:v>
                </c:pt>
                <c:pt idx="194">
                  <c:v>720.6</c:v>
                </c:pt>
                <c:pt idx="195">
                  <c:v>720.5</c:v>
                </c:pt>
                <c:pt idx="196">
                  <c:v>720.4</c:v>
                </c:pt>
                <c:pt idx="197">
                  <c:v>720.3</c:v>
                </c:pt>
                <c:pt idx="198">
                  <c:v>720.2</c:v>
                </c:pt>
                <c:pt idx="199">
                  <c:v>720.1</c:v>
                </c:pt>
                <c:pt idx="200">
                  <c:v>720</c:v>
                </c:pt>
                <c:pt idx="201">
                  <c:v>719.9</c:v>
                </c:pt>
                <c:pt idx="202">
                  <c:v>719.8</c:v>
                </c:pt>
                <c:pt idx="203">
                  <c:v>719.7</c:v>
                </c:pt>
                <c:pt idx="204">
                  <c:v>719.6</c:v>
                </c:pt>
                <c:pt idx="205">
                  <c:v>719.5</c:v>
                </c:pt>
                <c:pt idx="206">
                  <c:v>719.4</c:v>
                </c:pt>
                <c:pt idx="207">
                  <c:v>719.3</c:v>
                </c:pt>
                <c:pt idx="208">
                  <c:v>719.2</c:v>
                </c:pt>
                <c:pt idx="209">
                  <c:v>719.1</c:v>
                </c:pt>
                <c:pt idx="210">
                  <c:v>719</c:v>
                </c:pt>
                <c:pt idx="211">
                  <c:v>718.9</c:v>
                </c:pt>
                <c:pt idx="212">
                  <c:v>718.8</c:v>
                </c:pt>
                <c:pt idx="213">
                  <c:v>718.7</c:v>
                </c:pt>
                <c:pt idx="214">
                  <c:v>718.6</c:v>
                </c:pt>
                <c:pt idx="215">
                  <c:v>718.5</c:v>
                </c:pt>
                <c:pt idx="216">
                  <c:v>718.4</c:v>
                </c:pt>
                <c:pt idx="217">
                  <c:v>718.3</c:v>
                </c:pt>
                <c:pt idx="218">
                  <c:v>718.2</c:v>
                </c:pt>
                <c:pt idx="219">
                  <c:v>718.1</c:v>
                </c:pt>
                <c:pt idx="220">
                  <c:v>718</c:v>
                </c:pt>
                <c:pt idx="221">
                  <c:v>717.9</c:v>
                </c:pt>
                <c:pt idx="222">
                  <c:v>717.8</c:v>
                </c:pt>
                <c:pt idx="223">
                  <c:v>717.7</c:v>
                </c:pt>
                <c:pt idx="224">
                  <c:v>717.6</c:v>
                </c:pt>
                <c:pt idx="225">
                  <c:v>717.5</c:v>
                </c:pt>
                <c:pt idx="226">
                  <c:v>717.4</c:v>
                </c:pt>
                <c:pt idx="227">
                  <c:v>717.3</c:v>
                </c:pt>
                <c:pt idx="228">
                  <c:v>717.2</c:v>
                </c:pt>
                <c:pt idx="229">
                  <c:v>717.1</c:v>
                </c:pt>
                <c:pt idx="230">
                  <c:v>717</c:v>
                </c:pt>
                <c:pt idx="231">
                  <c:v>716.9</c:v>
                </c:pt>
                <c:pt idx="232">
                  <c:v>716.8</c:v>
                </c:pt>
                <c:pt idx="233">
                  <c:v>716.7</c:v>
                </c:pt>
                <c:pt idx="234">
                  <c:v>716.6</c:v>
                </c:pt>
                <c:pt idx="235">
                  <c:v>716.5</c:v>
                </c:pt>
                <c:pt idx="236">
                  <c:v>716.4</c:v>
                </c:pt>
                <c:pt idx="237">
                  <c:v>716.3</c:v>
                </c:pt>
                <c:pt idx="238">
                  <c:v>716.2</c:v>
                </c:pt>
                <c:pt idx="239">
                  <c:v>716.1</c:v>
                </c:pt>
                <c:pt idx="240">
                  <c:v>716</c:v>
                </c:pt>
                <c:pt idx="241">
                  <c:v>715.9</c:v>
                </c:pt>
                <c:pt idx="242">
                  <c:v>715.8</c:v>
                </c:pt>
                <c:pt idx="243">
                  <c:v>715.7</c:v>
                </c:pt>
                <c:pt idx="244">
                  <c:v>715.6</c:v>
                </c:pt>
                <c:pt idx="245">
                  <c:v>715.5</c:v>
                </c:pt>
                <c:pt idx="246">
                  <c:v>715.4</c:v>
                </c:pt>
                <c:pt idx="247">
                  <c:v>715.3</c:v>
                </c:pt>
                <c:pt idx="248">
                  <c:v>715.2</c:v>
                </c:pt>
                <c:pt idx="249">
                  <c:v>715.1</c:v>
                </c:pt>
                <c:pt idx="250">
                  <c:v>715</c:v>
                </c:pt>
                <c:pt idx="251">
                  <c:v>714.9</c:v>
                </c:pt>
                <c:pt idx="252">
                  <c:v>714.8</c:v>
                </c:pt>
                <c:pt idx="253">
                  <c:v>714.7</c:v>
                </c:pt>
                <c:pt idx="254">
                  <c:v>714.6</c:v>
                </c:pt>
                <c:pt idx="255">
                  <c:v>714.5</c:v>
                </c:pt>
                <c:pt idx="256">
                  <c:v>714.4</c:v>
                </c:pt>
                <c:pt idx="257">
                  <c:v>714.3</c:v>
                </c:pt>
                <c:pt idx="258">
                  <c:v>714.2</c:v>
                </c:pt>
                <c:pt idx="259">
                  <c:v>714.1</c:v>
                </c:pt>
                <c:pt idx="260">
                  <c:v>714</c:v>
                </c:pt>
                <c:pt idx="261">
                  <c:v>713.9</c:v>
                </c:pt>
                <c:pt idx="262">
                  <c:v>713.8</c:v>
                </c:pt>
                <c:pt idx="263">
                  <c:v>713.7</c:v>
                </c:pt>
                <c:pt idx="264">
                  <c:v>713.6</c:v>
                </c:pt>
                <c:pt idx="265">
                  <c:v>713.5</c:v>
                </c:pt>
                <c:pt idx="266">
                  <c:v>713.4</c:v>
                </c:pt>
                <c:pt idx="267">
                  <c:v>713.3</c:v>
                </c:pt>
                <c:pt idx="268">
                  <c:v>713.2</c:v>
                </c:pt>
                <c:pt idx="269">
                  <c:v>713.1</c:v>
                </c:pt>
                <c:pt idx="270">
                  <c:v>713</c:v>
                </c:pt>
                <c:pt idx="271">
                  <c:v>712.9</c:v>
                </c:pt>
                <c:pt idx="272">
                  <c:v>712.8</c:v>
                </c:pt>
                <c:pt idx="273">
                  <c:v>712.7</c:v>
                </c:pt>
                <c:pt idx="274">
                  <c:v>712.6</c:v>
                </c:pt>
                <c:pt idx="275">
                  <c:v>712.5</c:v>
                </c:pt>
                <c:pt idx="276">
                  <c:v>712.4</c:v>
                </c:pt>
                <c:pt idx="277">
                  <c:v>712.3</c:v>
                </c:pt>
                <c:pt idx="278">
                  <c:v>712.2</c:v>
                </c:pt>
                <c:pt idx="279">
                  <c:v>712.1</c:v>
                </c:pt>
                <c:pt idx="280">
                  <c:v>712</c:v>
                </c:pt>
                <c:pt idx="281">
                  <c:v>711.9</c:v>
                </c:pt>
                <c:pt idx="282">
                  <c:v>711.8</c:v>
                </c:pt>
                <c:pt idx="283">
                  <c:v>711.7</c:v>
                </c:pt>
                <c:pt idx="284">
                  <c:v>711.6</c:v>
                </c:pt>
                <c:pt idx="285">
                  <c:v>711.5</c:v>
                </c:pt>
                <c:pt idx="286">
                  <c:v>711.4</c:v>
                </c:pt>
                <c:pt idx="287">
                  <c:v>711.3</c:v>
                </c:pt>
                <c:pt idx="288">
                  <c:v>711.2</c:v>
                </c:pt>
                <c:pt idx="289">
                  <c:v>711.1</c:v>
                </c:pt>
                <c:pt idx="290">
                  <c:v>711</c:v>
                </c:pt>
                <c:pt idx="291">
                  <c:v>710.9</c:v>
                </c:pt>
                <c:pt idx="292">
                  <c:v>710.8</c:v>
                </c:pt>
                <c:pt idx="293">
                  <c:v>710.7</c:v>
                </c:pt>
                <c:pt idx="294">
                  <c:v>710.6</c:v>
                </c:pt>
                <c:pt idx="295">
                  <c:v>710.5</c:v>
                </c:pt>
                <c:pt idx="296">
                  <c:v>710.4</c:v>
                </c:pt>
                <c:pt idx="297">
                  <c:v>710.3</c:v>
                </c:pt>
                <c:pt idx="298">
                  <c:v>710.2</c:v>
                </c:pt>
                <c:pt idx="299">
                  <c:v>710.1</c:v>
                </c:pt>
                <c:pt idx="300">
                  <c:v>710</c:v>
                </c:pt>
                <c:pt idx="301">
                  <c:v>709.9</c:v>
                </c:pt>
                <c:pt idx="302">
                  <c:v>709.8</c:v>
                </c:pt>
                <c:pt idx="303">
                  <c:v>709.7</c:v>
                </c:pt>
                <c:pt idx="304">
                  <c:v>709.6</c:v>
                </c:pt>
                <c:pt idx="305">
                  <c:v>709.5</c:v>
                </c:pt>
                <c:pt idx="306">
                  <c:v>709.4</c:v>
                </c:pt>
                <c:pt idx="307">
                  <c:v>709.3</c:v>
                </c:pt>
                <c:pt idx="308">
                  <c:v>709.2</c:v>
                </c:pt>
                <c:pt idx="309">
                  <c:v>709.1</c:v>
                </c:pt>
                <c:pt idx="310">
                  <c:v>709</c:v>
                </c:pt>
                <c:pt idx="311">
                  <c:v>708.9</c:v>
                </c:pt>
                <c:pt idx="312">
                  <c:v>708.8</c:v>
                </c:pt>
                <c:pt idx="313">
                  <c:v>708.7</c:v>
                </c:pt>
                <c:pt idx="314">
                  <c:v>708.6</c:v>
                </c:pt>
                <c:pt idx="315">
                  <c:v>708.5</c:v>
                </c:pt>
                <c:pt idx="316">
                  <c:v>708.4</c:v>
                </c:pt>
                <c:pt idx="317">
                  <c:v>708.3</c:v>
                </c:pt>
                <c:pt idx="318">
                  <c:v>708.2</c:v>
                </c:pt>
                <c:pt idx="319">
                  <c:v>708.1</c:v>
                </c:pt>
                <c:pt idx="320">
                  <c:v>708</c:v>
                </c:pt>
                <c:pt idx="321">
                  <c:v>707.9</c:v>
                </c:pt>
                <c:pt idx="322">
                  <c:v>707.8</c:v>
                </c:pt>
                <c:pt idx="323">
                  <c:v>707.7</c:v>
                </c:pt>
                <c:pt idx="324">
                  <c:v>707.6</c:v>
                </c:pt>
                <c:pt idx="325">
                  <c:v>707.5</c:v>
                </c:pt>
                <c:pt idx="326">
                  <c:v>707.4</c:v>
                </c:pt>
                <c:pt idx="327">
                  <c:v>707.3</c:v>
                </c:pt>
                <c:pt idx="328">
                  <c:v>707.2</c:v>
                </c:pt>
                <c:pt idx="329">
                  <c:v>707.1</c:v>
                </c:pt>
                <c:pt idx="330">
                  <c:v>707</c:v>
                </c:pt>
                <c:pt idx="331">
                  <c:v>706.9</c:v>
                </c:pt>
                <c:pt idx="332">
                  <c:v>706.8</c:v>
                </c:pt>
                <c:pt idx="333">
                  <c:v>706.7</c:v>
                </c:pt>
                <c:pt idx="334">
                  <c:v>706.6</c:v>
                </c:pt>
                <c:pt idx="335">
                  <c:v>706.5</c:v>
                </c:pt>
                <c:pt idx="336">
                  <c:v>706.4</c:v>
                </c:pt>
                <c:pt idx="337">
                  <c:v>706.3</c:v>
                </c:pt>
                <c:pt idx="338">
                  <c:v>706.2</c:v>
                </c:pt>
                <c:pt idx="339">
                  <c:v>706.1</c:v>
                </c:pt>
                <c:pt idx="340">
                  <c:v>706</c:v>
                </c:pt>
                <c:pt idx="341">
                  <c:v>705.9</c:v>
                </c:pt>
                <c:pt idx="342">
                  <c:v>705.8</c:v>
                </c:pt>
                <c:pt idx="343">
                  <c:v>705.7</c:v>
                </c:pt>
                <c:pt idx="344">
                  <c:v>705.6</c:v>
                </c:pt>
                <c:pt idx="345">
                  <c:v>705.5</c:v>
                </c:pt>
                <c:pt idx="346">
                  <c:v>705.4</c:v>
                </c:pt>
                <c:pt idx="347">
                  <c:v>705.3</c:v>
                </c:pt>
                <c:pt idx="348">
                  <c:v>705.2</c:v>
                </c:pt>
                <c:pt idx="349">
                  <c:v>705.1</c:v>
                </c:pt>
                <c:pt idx="350">
                  <c:v>705</c:v>
                </c:pt>
                <c:pt idx="351">
                  <c:v>704.9</c:v>
                </c:pt>
                <c:pt idx="352">
                  <c:v>704.8</c:v>
                </c:pt>
                <c:pt idx="353">
                  <c:v>704.7</c:v>
                </c:pt>
                <c:pt idx="354">
                  <c:v>704.6</c:v>
                </c:pt>
                <c:pt idx="355">
                  <c:v>704.5</c:v>
                </c:pt>
                <c:pt idx="356">
                  <c:v>704.4</c:v>
                </c:pt>
                <c:pt idx="357">
                  <c:v>704.3</c:v>
                </c:pt>
                <c:pt idx="358">
                  <c:v>704.2</c:v>
                </c:pt>
                <c:pt idx="359">
                  <c:v>704.1</c:v>
                </c:pt>
                <c:pt idx="360">
                  <c:v>704</c:v>
                </c:pt>
                <c:pt idx="361">
                  <c:v>703.9</c:v>
                </c:pt>
                <c:pt idx="362">
                  <c:v>703.8</c:v>
                </c:pt>
                <c:pt idx="363">
                  <c:v>703.7</c:v>
                </c:pt>
                <c:pt idx="364">
                  <c:v>703.6</c:v>
                </c:pt>
                <c:pt idx="365">
                  <c:v>703.5</c:v>
                </c:pt>
                <c:pt idx="366">
                  <c:v>703.4</c:v>
                </c:pt>
                <c:pt idx="367">
                  <c:v>703.3</c:v>
                </c:pt>
                <c:pt idx="368">
                  <c:v>703.2</c:v>
                </c:pt>
                <c:pt idx="369">
                  <c:v>703.1</c:v>
                </c:pt>
                <c:pt idx="370">
                  <c:v>703</c:v>
                </c:pt>
                <c:pt idx="371">
                  <c:v>702.9</c:v>
                </c:pt>
                <c:pt idx="372">
                  <c:v>702.8</c:v>
                </c:pt>
                <c:pt idx="373">
                  <c:v>702.7</c:v>
                </c:pt>
                <c:pt idx="374">
                  <c:v>702.6</c:v>
                </c:pt>
                <c:pt idx="375">
                  <c:v>702.5</c:v>
                </c:pt>
                <c:pt idx="376">
                  <c:v>702.4</c:v>
                </c:pt>
                <c:pt idx="377">
                  <c:v>702.3</c:v>
                </c:pt>
                <c:pt idx="378">
                  <c:v>702.2</c:v>
                </c:pt>
                <c:pt idx="379">
                  <c:v>702.1</c:v>
                </c:pt>
                <c:pt idx="380">
                  <c:v>702</c:v>
                </c:pt>
                <c:pt idx="381">
                  <c:v>701.9</c:v>
                </c:pt>
                <c:pt idx="382">
                  <c:v>701.8</c:v>
                </c:pt>
                <c:pt idx="383">
                  <c:v>701.7</c:v>
                </c:pt>
                <c:pt idx="384">
                  <c:v>701.6</c:v>
                </c:pt>
                <c:pt idx="385">
                  <c:v>701.5</c:v>
                </c:pt>
                <c:pt idx="386">
                  <c:v>701.4</c:v>
                </c:pt>
                <c:pt idx="387">
                  <c:v>701.3</c:v>
                </c:pt>
                <c:pt idx="388">
                  <c:v>701.2</c:v>
                </c:pt>
                <c:pt idx="389">
                  <c:v>701.1</c:v>
                </c:pt>
                <c:pt idx="390">
                  <c:v>701</c:v>
                </c:pt>
                <c:pt idx="391">
                  <c:v>700.9</c:v>
                </c:pt>
                <c:pt idx="392">
                  <c:v>700.8</c:v>
                </c:pt>
                <c:pt idx="393">
                  <c:v>700.7</c:v>
                </c:pt>
                <c:pt idx="394">
                  <c:v>700.6</c:v>
                </c:pt>
                <c:pt idx="395">
                  <c:v>700.5</c:v>
                </c:pt>
                <c:pt idx="396">
                  <c:v>700.4</c:v>
                </c:pt>
                <c:pt idx="397">
                  <c:v>700.3</c:v>
                </c:pt>
                <c:pt idx="398">
                  <c:v>700.2</c:v>
                </c:pt>
              </c:numCache>
            </c:numRef>
          </c:cat>
          <c:val>
            <c:numRef>
              <c:f>'Fig 9e'!$G$4:$G$402</c:f>
              <c:numCache>
                <c:formatCode>General</c:formatCode>
                <c:ptCount val="399"/>
                <c:pt idx="0">
                  <c:v>9203.8799999999992</c:v>
                </c:pt>
                <c:pt idx="1">
                  <c:v>9203.1</c:v>
                </c:pt>
                <c:pt idx="2">
                  <c:v>9187.16</c:v>
                </c:pt>
                <c:pt idx="3">
                  <c:v>9176.24</c:v>
                </c:pt>
                <c:pt idx="4">
                  <c:v>9172.77</c:v>
                </c:pt>
                <c:pt idx="5">
                  <c:v>9169.01</c:v>
                </c:pt>
                <c:pt idx="6">
                  <c:v>9154.2000000000007</c:v>
                </c:pt>
                <c:pt idx="7">
                  <c:v>9154.2000000000007</c:v>
                </c:pt>
                <c:pt idx="8">
                  <c:v>9154.08</c:v>
                </c:pt>
                <c:pt idx="9">
                  <c:v>9153.89</c:v>
                </c:pt>
                <c:pt idx="10">
                  <c:v>9153.65</c:v>
                </c:pt>
                <c:pt idx="11">
                  <c:v>9153.2800000000007</c:v>
                </c:pt>
                <c:pt idx="12">
                  <c:v>9152.7800000000007</c:v>
                </c:pt>
                <c:pt idx="13">
                  <c:v>9152.31</c:v>
                </c:pt>
                <c:pt idx="14">
                  <c:v>9151.74</c:v>
                </c:pt>
                <c:pt idx="15">
                  <c:v>9151.2199999999993</c:v>
                </c:pt>
                <c:pt idx="16">
                  <c:v>9150.7900000000009</c:v>
                </c:pt>
                <c:pt idx="17">
                  <c:v>9150.5</c:v>
                </c:pt>
                <c:pt idx="18">
                  <c:v>9150.32</c:v>
                </c:pt>
                <c:pt idx="19">
                  <c:v>9150.23</c:v>
                </c:pt>
                <c:pt idx="20">
                  <c:v>9150.19</c:v>
                </c:pt>
                <c:pt idx="21">
                  <c:v>9150.19</c:v>
                </c:pt>
                <c:pt idx="22">
                  <c:v>9150.0300000000007</c:v>
                </c:pt>
                <c:pt idx="23">
                  <c:v>9149.7099999999991</c:v>
                </c:pt>
                <c:pt idx="24">
                  <c:v>9149.2999999999993</c:v>
                </c:pt>
                <c:pt idx="25">
                  <c:v>9148.81</c:v>
                </c:pt>
                <c:pt idx="26">
                  <c:v>9148.27</c:v>
                </c:pt>
                <c:pt idx="27">
                  <c:v>9147.86</c:v>
                </c:pt>
                <c:pt idx="28">
                  <c:v>9147.4699999999993</c:v>
                </c:pt>
                <c:pt idx="29">
                  <c:v>9147.1200000000008</c:v>
                </c:pt>
                <c:pt idx="30">
                  <c:v>9146.73</c:v>
                </c:pt>
                <c:pt idx="31">
                  <c:v>9146.41</c:v>
                </c:pt>
                <c:pt idx="32">
                  <c:v>9146.24</c:v>
                </c:pt>
                <c:pt idx="33">
                  <c:v>9146.17</c:v>
                </c:pt>
                <c:pt idx="34">
                  <c:v>9146.17</c:v>
                </c:pt>
                <c:pt idx="35">
                  <c:v>9146.75</c:v>
                </c:pt>
                <c:pt idx="36">
                  <c:v>9147.33</c:v>
                </c:pt>
                <c:pt idx="37">
                  <c:v>9147.9</c:v>
                </c:pt>
                <c:pt idx="38">
                  <c:v>9148.48</c:v>
                </c:pt>
                <c:pt idx="39">
                  <c:v>9149.06</c:v>
                </c:pt>
                <c:pt idx="40">
                  <c:v>9149.64</c:v>
                </c:pt>
                <c:pt idx="41">
                  <c:v>9150.2199999999993</c:v>
                </c:pt>
                <c:pt idx="42">
                  <c:v>9150.7999999999993</c:v>
                </c:pt>
                <c:pt idx="43">
                  <c:v>9151.3799999999992</c:v>
                </c:pt>
                <c:pt idx="44">
                  <c:v>9151.9599999999991</c:v>
                </c:pt>
                <c:pt idx="45">
                  <c:v>9152.5400000000009</c:v>
                </c:pt>
                <c:pt idx="46">
                  <c:v>9153.1200000000008</c:v>
                </c:pt>
                <c:pt idx="47">
                  <c:v>9153.7000000000007</c:v>
                </c:pt>
                <c:pt idx="48">
                  <c:v>9154.27</c:v>
                </c:pt>
                <c:pt idx="49">
                  <c:v>9154.85</c:v>
                </c:pt>
                <c:pt idx="50">
                  <c:v>9155.43</c:v>
                </c:pt>
                <c:pt idx="51">
                  <c:v>9156.01</c:v>
                </c:pt>
                <c:pt idx="52">
                  <c:v>9156.59</c:v>
                </c:pt>
                <c:pt idx="53">
                  <c:v>9157.17</c:v>
                </c:pt>
                <c:pt idx="54">
                  <c:v>9157.75</c:v>
                </c:pt>
                <c:pt idx="55">
                  <c:v>9158.33</c:v>
                </c:pt>
                <c:pt idx="56">
                  <c:v>9158.91</c:v>
                </c:pt>
                <c:pt idx="57">
                  <c:v>9159.49</c:v>
                </c:pt>
                <c:pt idx="58">
                  <c:v>9160.07</c:v>
                </c:pt>
                <c:pt idx="59">
                  <c:v>9160.66</c:v>
                </c:pt>
                <c:pt idx="60">
                  <c:v>9161.24</c:v>
                </c:pt>
                <c:pt idx="61">
                  <c:v>9161.82</c:v>
                </c:pt>
                <c:pt idx="62">
                  <c:v>9162.4</c:v>
                </c:pt>
                <c:pt idx="63">
                  <c:v>9162.98</c:v>
                </c:pt>
                <c:pt idx="64">
                  <c:v>9163.56</c:v>
                </c:pt>
                <c:pt idx="65">
                  <c:v>9164.14</c:v>
                </c:pt>
                <c:pt idx="66">
                  <c:v>9164.7199999999993</c:v>
                </c:pt>
                <c:pt idx="67">
                  <c:v>9165.2999999999993</c:v>
                </c:pt>
                <c:pt idx="68">
                  <c:v>9165.89</c:v>
                </c:pt>
                <c:pt idx="69">
                  <c:v>9166.4699999999993</c:v>
                </c:pt>
                <c:pt idx="70">
                  <c:v>9167.0499999999993</c:v>
                </c:pt>
                <c:pt idx="71">
                  <c:v>9167.6299999999992</c:v>
                </c:pt>
                <c:pt idx="72">
                  <c:v>9168.2099999999991</c:v>
                </c:pt>
                <c:pt idx="73">
                  <c:v>9168.7999999999993</c:v>
                </c:pt>
                <c:pt idx="74">
                  <c:v>9169.3799999999992</c:v>
                </c:pt>
                <c:pt idx="75">
                  <c:v>9169.9599999999991</c:v>
                </c:pt>
                <c:pt idx="76">
                  <c:v>9170.5400000000009</c:v>
                </c:pt>
                <c:pt idx="77">
                  <c:v>9171.1299999999992</c:v>
                </c:pt>
                <c:pt idx="78">
                  <c:v>9171.7099999999991</c:v>
                </c:pt>
                <c:pt idx="79">
                  <c:v>9172.2900000000009</c:v>
                </c:pt>
                <c:pt idx="80">
                  <c:v>9172.8799999999992</c:v>
                </c:pt>
                <c:pt idx="81">
                  <c:v>9173.4599999999991</c:v>
                </c:pt>
                <c:pt idx="82">
                  <c:v>9174.0400000000009</c:v>
                </c:pt>
                <c:pt idx="83">
                  <c:v>9174.6299999999992</c:v>
                </c:pt>
                <c:pt idx="84">
                  <c:v>9175.2099999999991</c:v>
                </c:pt>
                <c:pt idx="85">
                  <c:v>9175.7999999999993</c:v>
                </c:pt>
                <c:pt idx="86">
                  <c:v>9176.3799999999992</c:v>
                </c:pt>
                <c:pt idx="87">
                  <c:v>9176.9699999999993</c:v>
                </c:pt>
                <c:pt idx="88">
                  <c:v>9177.5499999999993</c:v>
                </c:pt>
                <c:pt idx="89">
                  <c:v>9178.14</c:v>
                </c:pt>
                <c:pt idx="90">
                  <c:v>9178.7199999999993</c:v>
                </c:pt>
                <c:pt idx="91">
                  <c:v>9179.31</c:v>
                </c:pt>
                <c:pt idx="92">
                  <c:v>9179.9</c:v>
                </c:pt>
                <c:pt idx="93">
                  <c:v>9180.48</c:v>
                </c:pt>
                <c:pt idx="94">
                  <c:v>9181.07</c:v>
                </c:pt>
                <c:pt idx="95">
                  <c:v>9181.65</c:v>
                </c:pt>
                <c:pt idx="96">
                  <c:v>9182.24</c:v>
                </c:pt>
                <c:pt idx="97">
                  <c:v>9182.83</c:v>
                </c:pt>
                <c:pt idx="98">
                  <c:v>9183.42</c:v>
                </c:pt>
                <c:pt idx="99">
                  <c:v>9184</c:v>
                </c:pt>
                <c:pt idx="100">
                  <c:v>9184.59</c:v>
                </c:pt>
                <c:pt idx="101">
                  <c:v>9185.18</c:v>
                </c:pt>
                <c:pt idx="102">
                  <c:v>9185.77</c:v>
                </c:pt>
                <c:pt idx="103">
                  <c:v>9186.36</c:v>
                </c:pt>
                <c:pt idx="104">
                  <c:v>9186.9500000000007</c:v>
                </c:pt>
                <c:pt idx="105">
                  <c:v>9187.5400000000009</c:v>
                </c:pt>
                <c:pt idx="106">
                  <c:v>9188.1299999999992</c:v>
                </c:pt>
                <c:pt idx="107">
                  <c:v>9188.7199999999993</c:v>
                </c:pt>
                <c:pt idx="108">
                  <c:v>9189.31</c:v>
                </c:pt>
                <c:pt idx="109">
                  <c:v>9189.9</c:v>
                </c:pt>
                <c:pt idx="110">
                  <c:v>9190.49</c:v>
                </c:pt>
                <c:pt idx="111">
                  <c:v>9191.09</c:v>
                </c:pt>
                <c:pt idx="112">
                  <c:v>9191.68</c:v>
                </c:pt>
                <c:pt idx="113">
                  <c:v>9192.27</c:v>
                </c:pt>
                <c:pt idx="114">
                  <c:v>9192.8700000000008</c:v>
                </c:pt>
                <c:pt idx="115">
                  <c:v>9193.4599999999991</c:v>
                </c:pt>
                <c:pt idx="116">
                  <c:v>9194.06</c:v>
                </c:pt>
                <c:pt idx="117">
                  <c:v>9194.65</c:v>
                </c:pt>
                <c:pt idx="118">
                  <c:v>9195.25</c:v>
                </c:pt>
                <c:pt idx="119">
                  <c:v>9195.84</c:v>
                </c:pt>
                <c:pt idx="120">
                  <c:v>9196.44</c:v>
                </c:pt>
                <c:pt idx="121">
                  <c:v>9197.0400000000009</c:v>
                </c:pt>
                <c:pt idx="122">
                  <c:v>9197.6299999999992</c:v>
                </c:pt>
                <c:pt idx="123">
                  <c:v>9198.23</c:v>
                </c:pt>
                <c:pt idx="124">
                  <c:v>9198.83</c:v>
                </c:pt>
                <c:pt idx="125">
                  <c:v>9199.43</c:v>
                </c:pt>
                <c:pt idx="126">
                  <c:v>9200.0300000000007</c:v>
                </c:pt>
                <c:pt idx="127">
                  <c:v>9200.6299999999992</c:v>
                </c:pt>
                <c:pt idx="128">
                  <c:v>9201.24</c:v>
                </c:pt>
                <c:pt idx="129">
                  <c:v>9201.84</c:v>
                </c:pt>
                <c:pt idx="130">
                  <c:v>9202.44</c:v>
                </c:pt>
                <c:pt idx="131">
                  <c:v>9203.0499999999993</c:v>
                </c:pt>
                <c:pt idx="132">
                  <c:v>9203.65</c:v>
                </c:pt>
                <c:pt idx="133">
                  <c:v>9204.26</c:v>
                </c:pt>
                <c:pt idx="134">
                  <c:v>9204.86</c:v>
                </c:pt>
                <c:pt idx="135">
                  <c:v>9205.4699999999993</c:v>
                </c:pt>
                <c:pt idx="136">
                  <c:v>9206.08</c:v>
                </c:pt>
                <c:pt idx="137">
                  <c:v>9206.69</c:v>
                </c:pt>
                <c:pt idx="138">
                  <c:v>9207.2999999999993</c:v>
                </c:pt>
                <c:pt idx="139">
                  <c:v>9207.91</c:v>
                </c:pt>
                <c:pt idx="140">
                  <c:v>9208.5300000000007</c:v>
                </c:pt>
                <c:pt idx="141">
                  <c:v>9209.14</c:v>
                </c:pt>
                <c:pt idx="142">
                  <c:v>9209.76</c:v>
                </c:pt>
                <c:pt idx="143">
                  <c:v>9210.3700000000008</c:v>
                </c:pt>
                <c:pt idx="144">
                  <c:v>9210.99</c:v>
                </c:pt>
                <c:pt idx="145">
                  <c:v>9211.61</c:v>
                </c:pt>
                <c:pt idx="146">
                  <c:v>9212.23</c:v>
                </c:pt>
                <c:pt idx="147">
                  <c:v>9212.86</c:v>
                </c:pt>
                <c:pt idx="148">
                  <c:v>9213.48</c:v>
                </c:pt>
                <c:pt idx="149">
                  <c:v>9214.11</c:v>
                </c:pt>
                <c:pt idx="150">
                  <c:v>9214.74</c:v>
                </c:pt>
                <c:pt idx="151">
                  <c:v>9215.3700000000008</c:v>
                </c:pt>
                <c:pt idx="152">
                  <c:v>9216</c:v>
                </c:pt>
                <c:pt idx="153">
                  <c:v>9216.6299999999992</c:v>
                </c:pt>
                <c:pt idx="154">
                  <c:v>9217.27</c:v>
                </c:pt>
                <c:pt idx="155">
                  <c:v>9217.9</c:v>
                </c:pt>
                <c:pt idx="156">
                  <c:v>9218.5400000000009</c:v>
                </c:pt>
                <c:pt idx="157">
                  <c:v>9219.19</c:v>
                </c:pt>
                <c:pt idx="158">
                  <c:v>9219.83</c:v>
                </c:pt>
                <c:pt idx="159">
                  <c:v>9220.48</c:v>
                </c:pt>
                <c:pt idx="160">
                  <c:v>9221.1299999999992</c:v>
                </c:pt>
                <c:pt idx="161">
                  <c:v>9221.7800000000007</c:v>
                </c:pt>
                <c:pt idx="162">
                  <c:v>9222.44</c:v>
                </c:pt>
                <c:pt idx="163">
                  <c:v>9223.1</c:v>
                </c:pt>
                <c:pt idx="164">
                  <c:v>9223.76</c:v>
                </c:pt>
                <c:pt idx="165">
                  <c:v>9224.43</c:v>
                </c:pt>
                <c:pt idx="166">
                  <c:v>9225.1</c:v>
                </c:pt>
                <c:pt idx="167">
                  <c:v>9225.77</c:v>
                </c:pt>
                <c:pt idx="168">
                  <c:v>9226.4500000000007</c:v>
                </c:pt>
                <c:pt idx="169">
                  <c:v>9227.14</c:v>
                </c:pt>
                <c:pt idx="170">
                  <c:v>9227.83</c:v>
                </c:pt>
                <c:pt idx="171">
                  <c:v>9228.52</c:v>
                </c:pt>
                <c:pt idx="172">
                  <c:v>9229.2199999999993</c:v>
                </c:pt>
                <c:pt idx="173">
                  <c:v>9229.93</c:v>
                </c:pt>
                <c:pt idx="174">
                  <c:v>9230.65</c:v>
                </c:pt>
                <c:pt idx="175">
                  <c:v>9231.3700000000008</c:v>
                </c:pt>
                <c:pt idx="176">
                  <c:v>9232.1</c:v>
                </c:pt>
                <c:pt idx="177">
                  <c:v>9232.85</c:v>
                </c:pt>
                <c:pt idx="178">
                  <c:v>9233.6</c:v>
                </c:pt>
                <c:pt idx="179">
                  <c:v>9234.3700000000008</c:v>
                </c:pt>
                <c:pt idx="180">
                  <c:v>9235.15</c:v>
                </c:pt>
                <c:pt idx="181">
                  <c:v>9235.9500000000007</c:v>
                </c:pt>
                <c:pt idx="182">
                  <c:v>9236.77</c:v>
                </c:pt>
                <c:pt idx="183">
                  <c:v>9237.61</c:v>
                </c:pt>
                <c:pt idx="184">
                  <c:v>9238.48</c:v>
                </c:pt>
                <c:pt idx="185">
                  <c:v>9239.3700000000008</c:v>
                </c:pt>
                <c:pt idx="186">
                  <c:v>9240.2999999999993</c:v>
                </c:pt>
                <c:pt idx="187">
                  <c:v>9241.27</c:v>
                </c:pt>
                <c:pt idx="188">
                  <c:v>9242.2900000000009</c:v>
                </c:pt>
                <c:pt idx="189">
                  <c:v>9243.36</c:v>
                </c:pt>
                <c:pt idx="190">
                  <c:v>9244.48</c:v>
                </c:pt>
                <c:pt idx="191">
                  <c:v>9245.68</c:v>
                </c:pt>
                <c:pt idx="192">
                  <c:v>9246.9500000000007</c:v>
                </c:pt>
                <c:pt idx="193">
                  <c:v>9248.31</c:v>
                </c:pt>
                <c:pt idx="194">
                  <c:v>9249.77</c:v>
                </c:pt>
                <c:pt idx="195">
                  <c:v>9251.34</c:v>
                </c:pt>
                <c:pt idx="196">
                  <c:v>9253.0400000000009</c:v>
                </c:pt>
                <c:pt idx="197">
                  <c:v>9254.8700000000008</c:v>
                </c:pt>
                <c:pt idx="198">
                  <c:v>9256.8700000000008</c:v>
                </c:pt>
                <c:pt idx="199">
                  <c:v>9259.0400000000009</c:v>
                </c:pt>
                <c:pt idx="200">
                  <c:v>9261.4</c:v>
                </c:pt>
                <c:pt idx="201">
                  <c:v>9263.9699999999993</c:v>
                </c:pt>
                <c:pt idx="202">
                  <c:v>9266.76</c:v>
                </c:pt>
                <c:pt idx="203">
                  <c:v>9269.7999999999993</c:v>
                </c:pt>
                <c:pt idx="204">
                  <c:v>9273.1</c:v>
                </c:pt>
                <c:pt idx="205">
                  <c:v>9276.68</c:v>
                </c:pt>
                <c:pt idx="206">
                  <c:v>9280.56</c:v>
                </c:pt>
                <c:pt idx="207">
                  <c:v>9284.75</c:v>
                </c:pt>
                <c:pt idx="208">
                  <c:v>9289.27</c:v>
                </c:pt>
                <c:pt idx="209">
                  <c:v>9294.11</c:v>
                </c:pt>
                <c:pt idx="210">
                  <c:v>9299.2999999999993</c:v>
                </c:pt>
                <c:pt idx="211">
                  <c:v>9304.84</c:v>
                </c:pt>
                <c:pt idx="212">
                  <c:v>9310.7199999999993</c:v>
                </c:pt>
                <c:pt idx="213">
                  <c:v>9316.94</c:v>
                </c:pt>
                <c:pt idx="214">
                  <c:v>9323.5</c:v>
                </c:pt>
                <c:pt idx="215">
                  <c:v>9330.3700000000008</c:v>
                </c:pt>
                <c:pt idx="216">
                  <c:v>9337.5499999999993</c:v>
                </c:pt>
                <c:pt idx="217">
                  <c:v>9345</c:v>
                </c:pt>
                <c:pt idx="218">
                  <c:v>9352.69</c:v>
                </c:pt>
                <c:pt idx="219">
                  <c:v>9360.58</c:v>
                </c:pt>
                <c:pt idx="220">
                  <c:v>9368.64</c:v>
                </c:pt>
                <c:pt idx="221">
                  <c:v>9376.7999999999993</c:v>
                </c:pt>
                <c:pt idx="222">
                  <c:v>9385.02</c:v>
                </c:pt>
                <c:pt idx="223">
                  <c:v>9393.2099999999991</c:v>
                </c:pt>
                <c:pt idx="224">
                  <c:v>9401.32</c:v>
                </c:pt>
                <c:pt idx="225">
                  <c:v>9409.27</c:v>
                </c:pt>
                <c:pt idx="226">
                  <c:v>9416.9599999999991</c:v>
                </c:pt>
                <c:pt idx="227">
                  <c:v>9424.2999999999993</c:v>
                </c:pt>
                <c:pt idx="228">
                  <c:v>9431.2199999999993</c:v>
                </c:pt>
                <c:pt idx="229">
                  <c:v>9437.59</c:v>
                </c:pt>
                <c:pt idx="230">
                  <c:v>9443.34</c:v>
                </c:pt>
                <c:pt idx="231">
                  <c:v>9448.36</c:v>
                </c:pt>
                <c:pt idx="232">
                  <c:v>9452.58</c:v>
                </c:pt>
                <c:pt idx="233">
                  <c:v>9455.91</c:v>
                </c:pt>
                <c:pt idx="234">
                  <c:v>9458.2900000000009</c:v>
                </c:pt>
                <c:pt idx="235">
                  <c:v>9459.69</c:v>
                </c:pt>
                <c:pt idx="236">
                  <c:v>9460.09</c:v>
                </c:pt>
                <c:pt idx="237">
                  <c:v>9459.49</c:v>
                </c:pt>
                <c:pt idx="238">
                  <c:v>9457.91</c:v>
                </c:pt>
                <c:pt idx="239">
                  <c:v>9455.41</c:v>
                </c:pt>
                <c:pt idx="240">
                  <c:v>9452.0499999999993</c:v>
                </c:pt>
                <c:pt idx="241">
                  <c:v>9447.91</c:v>
                </c:pt>
                <c:pt idx="242">
                  <c:v>9443.08</c:v>
                </c:pt>
                <c:pt idx="243">
                  <c:v>9437.65</c:v>
                </c:pt>
                <c:pt idx="244">
                  <c:v>9431.7199999999993</c:v>
                </c:pt>
                <c:pt idx="245">
                  <c:v>9425.39</c:v>
                </c:pt>
                <c:pt idx="246">
                  <c:v>9418.75</c:v>
                </c:pt>
                <c:pt idx="247">
                  <c:v>9411.89</c:v>
                </c:pt>
                <c:pt idx="248">
                  <c:v>9404.89</c:v>
                </c:pt>
                <c:pt idx="249">
                  <c:v>9397.82</c:v>
                </c:pt>
                <c:pt idx="250">
                  <c:v>9390.77</c:v>
                </c:pt>
                <c:pt idx="251">
                  <c:v>9383.7800000000007</c:v>
                </c:pt>
                <c:pt idx="252">
                  <c:v>9376.93</c:v>
                </c:pt>
                <c:pt idx="253">
                  <c:v>9370.25</c:v>
                </c:pt>
                <c:pt idx="254">
                  <c:v>9363.7800000000007</c:v>
                </c:pt>
                <c:pt idx="255">
                  <c:v>9357.58</c:v>
                </c:pt>
                <c:pt idx="256">
                  <c:v>9351.65</c:v>
                </c:pt>
                <c:pt idx="257">
                  <c:v>9346.0400000000009</c:v>
                </c:pt>
                <c:pt idx="258">
                  <c:v>9340.74</c:v>
                </c:pt>
                <c:pt idx="259">
                  <c:v>9335.7900000000009</c:v>
                </c:pt>
                <c:pt idx="260">
                  <c:v>9331.18</c:v>
                </c:pt>
                <c:pt idx="261">
                  <c:v>9326.91</c:v>
                </c:pt>
                <c:pt idx="262">
                  <c:v>9322.99</c:v>
                </c:pt>
                <c:pt idx="263">
                  <c:v>9319.41</c:v>
                </c:pt>
                <c:pt idx="264">
                  <c:v>9316.16</c:v>
                </c:pt>
                <c:pt idx="265">
                  <c:v>9313.23</c:v>
                </c:pt>
                <c:pt idx="266">
                  <c:v>9310.61</c:v>
                </c:pt>
                <c:pt idx="267">
                  <c:v>9308.27</c:v>
                </c:pt>
                <c:pt idx="268">
                  <c:v>9306.2099999999991</c:v>
                </c:pt>
                <c:pt idx="269">
                  <c:v>9304.41</c:v>
                </c:pt>
                <c:pt idx="270">
                  <c:v>9302.85</c:v>
                </c:pt>
                <c:pt idx="271">
                  <c:v>9301.5</c:v>
                </c:pt>
                <c:pt idx="272">
                  <c:v>9300.36</c:v>
                </c:pt>
                <c:pt idx="273">
                  <c:v>9299.4</c:v>
                </c:pt>
                <c:pt idx="274">
                  <c:v>9298.61</c:v>
                </c:pt>
                <c:pt idx="275">
                  <c:v>9297.9699999999993</c:v>
                </c:pt>
                <c:pt idx="276">
                  <c:v>9297.4699999999993</c:v>
                </c:pt>
                <c:pt idx="277">
                  <c:v>9297.09</c:v>
                </c:pt>
                <c:pt idx="278">
                  <c:v>9296.81</c:v>
                </c:pt>
                <c:pt idx="279">
                  <c:v>9296.6299999999992</c:v>
                </c:pt>
                <c:pt idx="280">
                  <c:v>9296.5400000000009</c:v>
                </c:pt>
                <c:pt idx="281">
                  <c:v>9296.52</c:v>
                </c:pt>
                <c:pt idx="282">
                  <c:v>9296.56</c:v>
                </c:pt>
                <c:pt idx="283">
                  <c:v>9296.66</c:v>
                </c:pt>
                <c:pt idx="284">
                  <c:v>9296.81</c:v>
                </c:pt>
                <c:pt idx="285">
                  <c:v>9297</c:v>
                </c:pt>
                <c:pt idx="286">
                  <c:v>9297.23</c:v>
                </c:pt>
                <c:pt idx="287">
                  <c:v>9297.49</c:v>
                </c:pt>
                <c:pt idx="288">
                  <c:v>9297.7800000000007</c:v>
                </c:pt>
                <c:pt idx="289">
                  <c:v>9298.1</c:v>
                </c:pt>
                <c:pt idx="290">
                  <c:v>9298.44</c:v>
                </c:pt>
                <c:pt idx="291">
                  <c:v>9298.7900000000009</c:v>
                </c:pt>
                <c:pt idx="292">
                  <c:v>9299.16</c:v>
                </c:pt>
                <c:pt idx="293">
                  <c:v>9299.5499999999993</c:v>
                </c:pt>
                <c:pt idx="294">
                  <c:v>9299.94</c:v>
                </c:pt>
                <c:pt idx="295">
                  <c:v>9300.35</c:v>
                </c:pt>
                <c:pt idx="296">
                  <c:v>9300.77</c:v>
                </c:pt>
                <c:pt idx="297">
                  <c:v>9301.2000000000007</c:v>
                </c:pt>
                <c:pt idx="298">
                  <c:v>9301.64</c:v>
                </c:pt>
                <c:pt idx="299">
                  <c:v>9302.08</c:v>
                </c:pt>
                <c:pt idx="300">
                  <c:v>9302.5300000000007</c:v>
                </c:pt>
                <c:pt idx="301">
                  <c:v>9302.98</c:v>
                </c:pt>
                <c:pt idx="302">
                  <c:v>9303.44</c:v>
                </c:pt>
                <c:pt idx="303">
                  <c:v>9303.91</c:v>
                </c:pt>
                <c:pt idx="304">
                  <c:v>9304.3799999999992</c:v>
                </c:pt>
                <c:pt idx="305">
                  <c:v>9304.85</c:v>
                </c:pt>
                <c:pt idx="306">
                  <c:v>9305.33</c:v>
                </c:pt>
                <c:pt idx="307">
                  <c:v>9305.81</c:v>
                </c:pt>
                <c:pt idx="308">
                  <c:v>9306.2999999999993</c:v>
                </c:pt>
                <c:pt idx="309">
                  <c:v>9306.7900000000009</c:v>
                </c:pt>
                <c:pt idx="310">
                  <c:v>9307.2800000000007</c:v>
                </c:pt>
                <c:pt idx="311">
                  <c:v>9307.7800000000007</c:v>
                </c:pt>
                <c:pt idx="312">
                  <c:v>9308.2800000000007</c:v>
                </c:pt>
                <c:pt idx="313">
                  <c:v>9308.7800000000007</c:v>
                </c:pt>
                <c:pt idx="314">
                  <c:v>9309.2800000000007</c:v>
                </c:pt>
                <c:pt idx="315">
                  <c:v>9309.7900000000009</c:v>
                </c:pt>
                <c:pt idx="316">
                  <c:v>9310.2999999999993</c:v>
                </c:pt>
                <c:pt idx="317">
                  <c:v>9310.81</c:v>
                </c:pt>
                <c:pt idx="318">
                  <c:v>9311.32</c:v>
                </c:pt>
                <c:pt idx="319">
                  <c:v>9311.84</c:v>
                </c:pt>
                <c:pt idx="320">
                  <c:v>9312.35</c:v>
                </c:pt>
                <c:pt idx="321">
                  <c:v>9312.8700000000008</c:v>
                </c:pt>
                <c:pt idx="322">
                  <c:v>9313.39</c:v>
                </c:pt>
                <c:pt idx="323">
                  <c:v>9313.92</c:v>
                </c:pt>
                <c:pt idx="324">
                  <c:v>9314.44</c:v>
                </c:pt>
                <c:pt idx="325">
                  <c:v>9314.9699999999993</c:v>
                </c:pt>
                <c:pt idx="326">
                  <c:v>9315.49</c:v>
                </c:pt>
                <c:pt idx="327">
                  <c:v>9316.02</c:v>
                </c:pt>
                <c:pt idx="328">
                  <c:v>9316.5499999999993</c:v>
                </c:pt>
                <c:pt idx="329">
                  <c:v>9317.08</c:v>
                </c:pt>
                <c:pt idx="330">
                  <c:v>9317.6200000000008</c:v>
                </c:pt>
                <c:pt idx="331">
                  <c:v>9318.15</c:v>
                </c:pt>
                <c:pt idx="332">
                  <c:v>9318.68</c:v>
                </c:pt>
                <c:pt idx="333">
                  <c:v>9319.2199999999993</c:v>
                </c:pt>
                <c:pt idx="334">
                  <c:v>9319.76</c:v>
                </c:pt>
                <c:pt idx="335">
                  <c:v>9320.2999999999993</c:v>
                </c:pt>
                <c:pt idx="336">
                  <c:v>9320.84</c:v>
                </c:pt>
                <c:pt idx="337">
                  <c:v>9321.3799999999992</c:v>
                </c:pt>
                <c:pt idx="338">
                  <c:v>9321.92</c:v>
                </c:pt>
                <c:pt idx="339">
                  <c:v>9322.4599999999991</c:v>
                </c:pt>
                <c:pt idx="340">
                  <c:v>9323</c:v>
                </c:pt>
                <c:pt idx="341">
                  <c:v>9323.5499999999993</c:v>
                </c:pt>
                <c:pt idx="342">
                  <c:v>9324.09</c:v>
                </c:pt>
                <c:pt idx="343">
                  <c:v>9324.64</c:v>
                </c:pt>
                <c:pt idx="344">
                  <c:v>9325.18</c:v>
                </c:pt>
                <c:pt idx="345">
                  <c:v>9325.73</c:v>
                </c:pt>
                <c:pt idx="346">
                  <c:v>9326.2800000000007</c:v>
                </c:pt>
                <c:pt idx="347">
                  <c:v>9326.83</c:v>
                </c:pt>
                <c:pt idx="348">
                  <c:v>9327.3799999999992</c:v>
                </c:pt>
                <c:pt idx="349">
                  <c:v>9327.93</c:v>
                </c:pt>
                <c:pt idx="350">
                  <c:v>9328.48</c:v>
                </c:pt>
                <c:pt idx="351">
                  <c:v>9329.0300000000007</c:v>
                </c:pt>
                <c:pt idx="352">
                  <c:v>9329.58</c:v>
                </c:pt>
                <c:pt idx="353">
                  <c:v>9330.1299999999992</c:v>
                </c:pt>
                <c:pt idx="354">
                  <c:v>9330.68</c:v>
                </c:pt>
                <c:pt idx="355">
                  <c:v>9331.24</c:v>
                </c:pt>
                <c:pt idx="356">
                  <c:v>9331.7900000000009</c:v>
                </c:pt>
                <c:pt idx="357">
                  <c:v>9332.34</c:v>
                </c:pt>
                <c:pt idx="358">
                  <c:v>9332.9</c:v>
                </c:pt>
                <c:pt idx="359">
                  <c:v>9333.4500000000007</c:v>
                </c:pt>
                <c:pt idx="360">
                  <c:v>9334.01</c:v>
                </c:pt>
                <c:pt idx="361">
                  <c:v>9334.57</c:v>
                </c:pt>
                <c:pt idx="362">
                  <c:v>9335.1200000000008</c:v>
                </c:pt>
                <c:pt idx="363">
                  <c:v>9335.68</c:v>
                </c:pt>
                <c:pt idx="364">
                  <c:v>9336.24</c:v>
                </c:pt>
                <c:pt idx="365">
                  <c:v>9336.7900000000009</c:v>
                </c:pt>
                <c:pt idx="366">
                  <c:v>9337.35</c:v>
                </c:pt>
                <c:pt idx="367">
                  <c:v>9337.91</c:v>
                </c:pt>
                <c:pt idx="368">
                  <c:v>9338.4699999999993</c:v>
                </c:pt>
                <c:pt idx="369">
                  <c:v>9339.0300000000007</c:v>
                </c:pt>
                <c:pt idx="370">
                  <c:v>9339.59</c:v>
                </c:pt>
                <c:pt idx="371">
                  <c:v>9340.15</c:v>
                </c:pt>
                <c:pt idx="372">
                  <c:v>9340.7000000000007</c:v>
                </c:pt>
                <c:pt idx="373">
                  <c:v>9341.27</c:v>
                </c:pt>
                <c:pt idx="374">
                  <c:v>9341.83</c:v>
                </c:pt>
                <c:pt idx="375">
                  <c:v>9342.39</c:v>
                </c:pt>
                <c:pt idx="376">
                  <c:v>9342.9500000000007</c:v>
                </c:pt>
                <c:pt idx="377">
                  <c:v>9343.51</c:v>
                </c:pt>
                <c:pt idx="378">
                  <c:v>9344.07</c:v>
                </c:pt>
                <c:pt idx="379">
                  <c:v>9346.86</c:v>
                </c:pt>
                <c:pt idx="380">
                  <c:v>9349.65</c:v>
                </c:pt>
                <c:pt idx="381">
                  <c:v>9352.44</c:v>
                </c:pt>
                <c:pt idx="382">
                  <c:v>9355.23</c:v>
                </c:pt>
                <c:pt idx="383">
                  <c:v>9358.02</c:v>
                </c:pt>
                <c:pt idx="384">
                  <c:v>9360.81</c:v>
                </c:pt>
                <c:pt idx="385">
                  <c:v>9363.6</c:v>
                </c:pt>
                <c:pt idx="386">
                  <c:v>9366.39</c:v>
                </c:pt>
                <c:pt idx="387">
                  <c:v>9369.18</c:v>
                </c:pt>
                <c:pt idx="388">
                  <c:v>9371.9699999999993</c:v>
                </c:pt>
                <c:pt idx="389">
                  <c:v>9374.76</c:v>
                </c:pt>
                <c:pt idx="390">
                  <c:v>9377.5499999999993</c:v>
                </c:pt>
                <c:pt idx="391">
                  <c:v>9380.35</c:v>
                </c:pt>
                <c:pt idx="392">
                  <c:v>9383.14</c:v>
                </c:pt>
                <c:pt idx="393">
                  <c:v>9385.93</c:v>
                </c:pt>
                <c:pt idx="394">
                  <c:v>9388.7199999999993</c:v>
                </c:pt>
                <c:pt idx="395">
                  <c:v>9391.51</c:v>
                </c:pt>
                <c:pt idx="396">
                  <c:v>9394.31</c:v>
                </c:pt>
                <c:pt idx="397">
                  <c:v>9397.1</c:v>
                </c:pt>
                <c:pt idx="398">
                  <c:v>9399.89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8A-4B4A-A817-2660469BA9B1}"/>
            </c:ext>
          </c:extLst>
        </c:ser>
        <c:ser>
          <c:idx val="3"/>
          <c:order val="3"/>
          <c:tx>
            <c:strRef>
              <c:f>'Fig 9e'!$H$2</c:f>
              <c:strCache>
                <c:ptCount val="1"/>
                <c:pt idx="0">
                  <c:v>Backgnd.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'Fig 9e'!$A$4:$A$402</c:f>
              <c:numCache>
                <c:formatCode>General</c:formatCode>
                <c:ptCount val="399"/>
                <c:pt idx="0">
                  <c:v>740</c:v>
                </c:pt>
                <c:pt idx="1">
                  <c:v>739.9</c:v>
                </c:pt>
                <c:pt idx="2">
                  <c:v>739.8</c:v>
                </c:pt>
                <c:pt idx="3">
                  <c:v>739.7</c:v>
                </c:pt>
                <c:pt idx="4">
                  <c:v>739.6</c:v>
                </c:pt>
                <c:pt idx="5">
                  <c:v>739.5</c:v>
                </c:pt>
                <c:pt idx="6">
                  <c:v>739.4</c:v>
                </c:pt>
                <c:pt idx="7">
                  <c:v>739.3</c:v>
                </c:pt>
                <c:pt idx="8">
                  <c:v>739.2</c:v>
                </c:pt>
                <c:pt idx="9">
                  <c:v>739.1</c:v>
                </c:pt>
                <c:pt idx="10">
                  <c:v>739</c:v>
                </c:pt>
                <c:pt idx="11">
                  <c:v>738.9</c:v>
                </c:pt>
                <c:pt idx="12">
                  <c:v>738.8</c:v>
                </c:pt>
                <c:pt idx="13">
                  <c:v>738.7</c:v>
                </c:pt>
                <c:pt idx="14">
                  <c:v>738.6</c:v>
                </c:pt>
                <c:pt idx="15">
                  <c:v>738.5</c:v>
                </c:pt>
                <c:pt idx="16">
                  <c:v>738.4</c:v>
                </c:pt>
                <c:pt idx="17">
                  <c:v>738.3</c:v>
                </c:pt>
                <c:pt idx="18">
                  <c:v>738.2</c:v>
                </c:pt>
                <c:pt idx="19">
                  <c:v>738.1</c:v>
                </c:pt>
                <c:pt idx="20">
                  <c:v>738</c:v>
                </c:pt>
                <c:pt idx="21">
                  <c:v>737.9</c:v>
                </c:pt>
                <c:pt idx="22">
                  <c:v>737.8</c:v>
                </c:pt>
                <c:pt idx="23">
                  <c:v>737.7</c:v>
                </c:pt>
                <c:pt idx="24">
                  <c:v>737.6</c:v>
                </c:pt>
                <c:pt idx="25">
                  <c:v>737.5</c:v>
                </c:pt>
                <c:pt idx="26">
                  <c:v>737.4</c:v>
                </c:pt>
                <c:pt idx="27">
                  <c:v>737.3</c:v>
                </c:pt>
                <c:pt idx="28">
                  <c:v>737.2</c:v>
                </c:pt>
                <c:pt idx="29">
                  <c:v>737.1</c:v>
                </c:pt>
                <c:pt idx="30">
                  <c:v>737</c:v>
                </c:pt>
                <c:pt idx="31">
                  <c:v>736.9</c:v>
                </c:pt>
                <c:pt idx="32">
                  <c:v>736.8</c:v>
                </c:pt>
                <c:pt idx="33">
                  <c:v>736.7</c:v>
                </c:pt>
                <c:pt idx="34">
                  <c:v>736.6</c:v>
                </c:pt>
                <c:pt idx="35">
                  <c:v>736.5</c:v>
                </c:pt>
                <c:pt idx="36">
                  <c:v>736.4</c:v>
                </c:pt>
                <c:pt idx="37">
                  <c:v>736.3</c:v>
                </c:pt>
                <c:pt idx="38">
                  <c:v>736.2</c:v>
                </c:pt>
                <c:pt idx="39">
                  <c:v>736.1</c:v>
                </c:pt>
                <c:pt idx="40">
                  <c:v>736</c:v>
                </c:pt>
                <c:pt idx="41">
                  <c:v>735.9</c:v>
                </c:pt>
                <c:pt idx="42">
                  <c:v>735.8</c:v>
                </c:pt>
                <c:pt idx="43">
                  <c:v>735.7</c:v>
                </c:pt>
                <c:pt idx="44">
                  <c:v>735.6</c:v>
                </c:pt>
                <c:pt idx="45">
                  <c:v>735.5</c:v>
                </c:pt>
                <c:pt idx="46">
                  <c:v>735.4</c:v>
                </c:pt>
                <c:pt idx="47">
                  <c:v>735.3</c:v>
                </c:pt>
                <c:pt idx="48">
                  <c:v>735.2</c:v>
                </c:pt>
                <c:pt idx="49">
                  <c:v>735.1</c:v>
                </c:pt>
                <c:pt idx="50">
                  <c:v>735</c:v>
                </c:pt>
                <c:pt idx="51">
                  <c:v>734.9</c:v>
                </c:pt>
                <c:pt idx="52">
                  <c:v>734.8</c:v>
                </c:pt>
                <c:pt idx="53">
                  <c:v>734.7</c:v>
                </c:pt>
                <c:pt idx="54">
                  <c:v>734.6</c:v>
                </c:pt>
                <c:pt idx="55">
                  <c:v>734.5</c:v>
                </c:pt>
                <c:pt idx="56">
                  <c:v>734.4</c:v>
                </c:pt>
                <c:pt idx="57">
                  <c:v>734.3</c:v>
                </c:pt>
                <c:pt idx="58">
                  <c:v>734.2</c:v>
                </c:pt>
                <c:pt idx="59">
                  <c:v>734.1</c:v>
                </c:pt>
                <c:pt idx="60">
                  <c:v>734</c:v>
                </c:pt>
                <c:pt idx="61">
                  <c:v>733.9</c:v>
                </c:pt>
                <c:pt idx="62">
                  <c:v>733.8</c:v>
                </c:pt>
                <c:pt idx="63">
                  <c:v>733.7</c:v>
                </c:pt>
                <c:pt idx="64">
                  <c:v>733.6</c:v>
                </c:pt>
                <c:pt idx="65">
                  <c:v>733.5</c:v>
                </c:pt>
                <c:pt idx="66">
                  <c:v>733.4</c:v>
                </c:pt>
                <c:pt idx="67">
                  <c:v>733.3</c:v>
                </c:pt>
                <c:pt idx="68">
                  <c:v>733.2</c:v>
                </c:pt>
                <c:pt idx="69">
                  <c:v>733.1</c:v>
                </c:pt>
                <c:pt idx="70">
                  <c:v>733</c:v>
                </c:pt>
                <c:pt idx="71">
                  <c:v>732.9</c:v>
                </c:pt>
                <c:pt idx="72">
                  <c:v>732.8</c:v>
                </c:pt>
                <c:pt idx="73">
                  <c:v>732.7</c:v>
                </c:pt>
                <c:pt idx="74">
                  <c:v>732.6</c:v>
                </c:pt>
                <c:pt idx="75">
                  <c:v>732.5</c:v>
                </c:pt>
                <c:pt idx="76">
                  <c:v>732.4</c:v>
                </c:pt>
                <c:pt idx="77">
                  <c:v>732.3</c:v>
                </c:pt>
                <c:pt idx="78">
                  <c:v>732.2</c:v>
                </c:pt>
                <c:pt idx="79">
                  <c:v>732.1</c:v>
                </c:pt>
                <c:pt idx="80">
                  <c:v>732</c:v>
                </c:pt>
                <c:pt idx="81">
                  <c:v>731.9</c:v>
                </c:pt>
                <c:pt idx="82">
                  <c:v>731.8</c:v>
                </c:pt>
                <c:pt idx="83">
                  <c:v>731.7</c:v>
                </c:pt>
                <c:pt idx="84">
                  <c:v>731.6</c:v>
                </c:pt>
                <c:pt idx="85">
                  <c:v>731.5</c:v>
                </c:pt>
                <c:pt idx="86">
                  <c:v>731.4</c:v>
                </c:pt>
                <c:pt idx="87">
                  <c:v>731.3</c:v>
                </c:pt>
                <c:pt idx="88">
                  <c:v>731.2</c:v>
                </c:pt>
                <c:pt idx="89">
                  <c:v>731.1</c:v>
                </c:pt>
                <c:pt idx="90">
                  <c:v>731</c:v>
                </c:pt>
                <c:pt idx="91">
                  <c:v>730.9</c:v>
                </c:pt>
                <c:pt idx="92">
                  <c:v>730.8</c:v>
                </c:pt>
                <c:pt idx="93">
                  <c:v>730.7</c:v>
                </c:pt>
                <c:pt idx="94">
                  <c:v>730.6</c:v>
                </c:pt>
                <c:pt idx="95">
                  <c:v>730.5</c:v>
                </c:pt>
                <c:pt idx="96">
                  <c:v>730.4</c:v>
                </c:pt>
                <c:pt idx="97">
                  <c:v>730.3</c:v>
                </c:pt>
                <c:pt idx="98">
                  <c:v>730.2</c:v>
                </c:pt>
                <c:pt idx="99">
                  <c:v>730.1</c:v>
                </c:pt>
                <c:pt idx="100">
                  <c:v>730</c:v>
                </c:pt>
                <c:pt idx="101">
                  <c:v>729.9</c:v>
                </c:pt>
                <c:pt idx="102">
                  <c:v>729.8</c:v>
                </c:pt>
                <c:pt idx="103">
                  <c:v>729.7</c:v>
                </c:pt>
                <c:pt idx="104">
                  <c:v>729.6</c:v>
                </c:pt>
                <c:pt idx="105">
                  <c:v>729.5</c:v>
                </c:pt>
                <c:pt idx="106">
                  <c:v>729.4</c:v>
                </c:pt>
                <c:pt idx="107">
                  <c:v>729.3</c:v>
                </c:pt>
                <c:pt idx="108">
                  <c:v>729.2</c:v>
                </c:pt>
                <c:pt idx="109">
                  <c:v>729.1</c:v>
                </c:pt>
                <c:pt idx="110">
                  <c:v>729</c:v>
                </c:pt>
                <c:pt idx="111">
                  <c:v>728.9</c:v>
                </c:pt>
                <c:pt idx="112">
                  <c:v>728.8</c:v>
                </c:pt>
                <c:pt idx="113">
                  <c:v>728.7</c:v>
                </c:pt>
                <c:pt idx="114">
                  <c:v>728.6</c:v>
                </c:pt>
                <c:pt idx="115">
                  <c:v>728.5</c:v>
                </c:pt>
                <c:pt idx="116">
                  <c:v>728.4</c:v>
                </c:pt>
                <c:pt idx="117">
                  <c:v>728.3</c:v>
                </c:pt>
                <c:pt idx="118">
                  <c:v>728.2</c:v>
                </c:pt>
                <c:pt idx="119">
                  <c:v>728.1</c:v>
                </c:pt>
                <c:pt idx="120">
                  <c:v>728</c:v>
                </c:pt>
                <c:pt idx="121">
                  <c:v>727.9</c:v>
                </c:pt>
                <c:pt idx="122">
                  <c:v>727.8</c:v>
                </c:pt>
                <c:pt idx="123">
                  <c:v>727.7</c:v>
                </c:pt>
                <c:pt idx="124">
                  <c:v>727.6</c:v>
                </c:pt>
                <c:pt idx="125">
                  <c:v>727.5</c:v>
                </c:pt>
                <c:pt idx="126">
                  <c:v>727.4</c:v>
                </c:pt>
                <c:pt idx="127">
                  <c:v>727.3</c:v>
                </c:pt>
                <c:pt idx="128">
                  <c:v>727.2</c:v>
                </c:pt>
                <c:pt idx="129">
                  <c:v>727.1</c:v>
                </c:pt>
                <c:pt idx="130">
                  <c:v>727</c:v>
                </c:pt>
                <c:pt idx="131">
                  <c:v>726.9</c:v>
                </c:pt>
                <c:pt idx="132">
                  <c:v>726.8</c:v>
                </c:pt>
                <c:pt idx="133">
                  <c:v>726.7</c:v>
                </c:pt>
                <c:pt idx="134">
                  <c:v>726.6</c:v>
                </c:pt>
                <c:pt idx="135">
                  <c:v>726.5</c:v>
                </c:pt>
                <c:pt idx="136">
                  <c:v>726.4</c:v>
                </c:pt>
                <c:pt idx="137">
                  <c:v>726.3</c:v>
                </c:pt>
                <c:pt idx="138">
                  <c:v>726.2</c:v>
                </c:pt>
                <c:pt idx="139">
                  <c:v>726.1</c:v>
                </c:pt>
                <c:pt idx="140">
                  <c:v>726</c:v>
                </c:pt>
                <c:pt idx="141">
                  <c:v>725.9</c:v>
                </c:pt>
                <c:pt idx="142">
                  <c:v>725.8</c:v>
                </c:pt>
                <c:pt idx="143">
                  <c:v>725.7</c:v>
                </c:pt>
                <c:pt idx="144">
                  <c:v>725.6</c:v>
                </c:pt>
                <c:pt idx="145">
                  <c:v>725.5</c:v>
                </c:pt>
                <c:pt idx="146">
                  <c:v>725.4</c:v>
                </c:pt>
                <c:pt idx="147">
                  <c:v>725.3</c:v>
                </c:pt>
                <c:pt idx="148">
                  <c:v>725.2</c:v>
                </c:pt>
                <c:pt idx="149">
                  <c:v>725.1</c:v>
                </c:pt>
                <c:pt idx="150">
                  <c:v>725</c:v>
                </c:pt>
                <c:pt idx="151">
                  <c:v>724.9</c:v>
                </c:pt>
                <c:pt idx="152">
                  <c:v>724.8</c:v>
                </c:pt>
                <c:pt idx="153">
                  <c:v>724.7</c:v>
                </c:pt>
                <c:pt idx="154">
                  <c:v>724.6</c:v>
                </c:pt>
                <c:pt idx="155">
                  <c:v>724.5</c:v>
                </c:pt>
                <c:pt idx="156">
                  <c:v>724.4</c:v>
                </c:pt>
                <c:pt idx="157">
                  <c:v>724.3</c:v>
                </c:pt>
                <c:pt idx="158">
                  <c:v>724.2</c:v>
                </c:pt>
                <c:pt idx="159">
                  <c:v>724.1</c:v>
                </c:pt>
                <c:pt idx="160">
                  <c:v>724</c:v>
                </c:pt>
                <c:pt idx="161">
                  <c:v>723.9</c:v>
                </c:pt>
                <c:pt idx="162">
                  <c:v>723.8</c:v>
                </c:pt>
                <c:pt idx="163">
                  <c:v>723.7</c:v>
                </c:pt>
                <c:pt idx="164">
                  <c:v>723.6</c:v>
                </c:pt>
                <c:pt idx="165">
                  <c:v>723.5</c:v>
                </c:pt>
                <c:pt idx="166">
                  <c:v>723.4</c:v>
                </c:pt>
                <c:pt idx="167">
                  <c:v>723.3</c:v>
                </c:pt>
                <c:pt idx="168">
                  <c:v>723.2</c:v>
                </c:pt>
                <c:pt idx="169">
                  <c:v>723.1</c:v>
                </c:pt>
                <c:pt idx="170">
                  <c:v>723</c:v>
                </c:pt>
                <c:pt idx="171">
                  <c:v>722.9</c:v>
                </c:pt>
                <c:pt idx="172">
                  <c:v>722.8</c:v>
                </c:pt>
                <c:pt idx="173">
                  <c:v>722.7</c:v>
                </c:pt>
                <c:pt idx="174">
                  <c:v>722.6</c:v>
                </c:pt>
                <c:pt idx="175">
                  <c:v>722.5</c:v>
                </c:pt>
                <c:pt idx="176">
                  <c:v>722.4</c:v>
                </c:pt>
                <c:pt idx="177">
                  <c:v>722.3</c:v>
                </c:pt>
                <c:pt idx="178">
                  <c:v>722.2</c:v>
                </c:pt>
                <c:pt idx="179">
                  <c:v>722.1</c:v>
                </c:pt>
                <c:pt idx="180">
                  <c:v>722</c:v>
                </c:pt>
                <c:pt idx="181">
                  <c:v>721.9</c:v>
                </c:pt>
                <c:pt idx="182">
                  <c:v>721.8</c:v>
                </c:pt>
                <c:pt idx="183">
                  <c:v>721.7</c:v>
                </c:pt>
                <c:pt idx="184">
                  <c:v>721.6</c:v>
                </c:pt>
                <c:pt idx="185">
                  <c:v>721.5</c:v>
                </c:pt>
                <c:pt idx="186">
                  <c:v>721.4</c:v>
                </c:pt>
                <c:pt idx="187">
                  <c:v>721.3</c:v>
                </c:pt>
                <c:pt idx="188">
                  <c:v>721.2</c:v>
                </c:pt>
                <c:pt idx="189">
                  <c:v>721.1</c:v>
                </c:pt>
                <c:pt idx="190">
                  <c:v>721</c:v>
                </c:pt>
                <c:pt idx="191">
                  <c:v>720.9</c:v>
                </c:pt>
                <c:pt idx="192">
                  <c:v>720.8</c:v>
                </c:pt>
                <c:pt idx="193">
                  <c:v>720.7</c:v>
                </c:pt>
                <c:pt idx="194">
                  <c:v>720.6</c:v>
                </c:pt>
                <c:pt idx="195">
                  <c:v>720.5</c:v>
                </c:pt>
                <c:pt idx="196">
                  <c:v>720.4</c:v>
                </c:pt>
                <c:pt idx="197">
                  <c:v>720.3</c:v>
                </c:pt>
                <c:pt idx="198">
                  <c:v>720.2</c:v>
                </c:pt>
                <c:pt idx="199">
                  <c:v>720.1</c:v>
                </c:pt>
                <c:pt idx="200">
                  <c:v>720</c:v>
                </c:pt>
                <c:pt idx="201">
                  <c:v>719.9</c:v>
                </c:pt>
                <c:pt idx="202">
                  <c:v>719.8</c:v>
                </c:pt>
                <c:pt idx="203">
                  <c:v>719.7</c:v>
                </c:pt>
                <c:pt idx="204">
                  <c:v>719.6</c:v>
                </c:pt>
                <c:pt idx="205">
                  <c:v>719.5</c:v>
                </c:pt>
                <c:pt idx="206">
                  <c:v>719.4</c:v>
                </c:pt>
                <c:pt idx="207">
                  <c:v>719.3</c:v>
                </c:pt>
                <c:pt idx="208">
                  <c:v>719.2</c:v>
                </c:pt>
                <c:pt idx="209">
                  <c:v>719.1</c:v>
                </c:pt>
                <c:pt idx="210">
                  <c:v>719</c:v>
                </c:pt>
                <c:pt idx="211">
                  <c:v>718.9</c:v>
                </c:pt>
                <c:pt idx="212">
                  <c:v>718.8</c:v>
                </c:pt>
                <c:pt idx="213">
                  <c:v>718.7</c:v>
                </c:pt>
                <c:pt idx="214">
                  <c:v>718.6</c:v>
                </c:pt>
                <c:pt idx="215">
                  <c:v>718.5</c:v>
                </c:pt>
                <c:pt idx="216">
                  <c:v>718.4</c:v>
                </c:pt>
                <c:pt idx="217">
                  <c:v>718.3</c:v>
                </c:pt>
                <c:pt idx="218">
                  <c:v>718.2</c:v>
                </c:pt>
                <c:pt idx="219">
                  <c:v>718.1</c:v>
                </c:pt>
                <c:pt idx="220">
                  <c:v>718</c:v>
                </c:pt>
                <c:pt idx="221">
                  <c:v>717.9</c:v>
                </c:pt>
                <c:pt idx="222">
                  <c:v>717.8</c:v>
                </c:pt>
                <c:pt idx="223">
                  <c:v>717.7</c:v>
                </c:pt>
                <c:pt idx="224">
                  <c:v>717.6</c:v>
                </c:pt>
                <c:pt idx="225">
                  <c:v>717.5</c:v>
                </c:pt>
                <c:pt idx="226">
                  <c:v>717.4</c:v>
                </c:pt>
                <c:pt idx="227">
                  <c:v>717.3</c:v>
                </c:pt>
                <c:pt idx="228">
                  <c:v>717.2</c:v>
                </c:pt>
                <c:pt idx="229">
                  <c:v>717.1</c:v>
                </c:pt>
                <c:pt idx="230">
                  <c:v>717</c:v>
                </c:pt>
                <c:pt idx="231">
                  <c:v>716.9</c:v>
                </c:pt>
                <c:pt idx="232">
                  <c:v>716.8</c:v>
                </c:pt>
                <c:pt idx="233">
                  <c:v>716.7</c:v>
                </c:pt>
                <c:pt idx="234">
                  <c:v>716.6</c:v>
                </c:pt>
                <c:pt idx="235">
                  <c:v>716.5</c:v>
                </c:pt>
                <c:pt idx="236">
                  <c:v>716.4</c:v>
                </c:pt>
                <c:pt idx="237">
                  <c:v>716.3</c:v>
                </c:pt>
                <c:pt idx="238">
                  <c:v>716.2</c:v>
                </c:pt>
                <c:pt idx="239">
                  <c:v>716.1</c:v>
                </c:pt>
                <c:pt idx="240">
                  <c:v>716</c:v>
                </c:pt>
                <c:pt idx="241">
                  <c:v>715.9</c:v>
                </c:pt>
                <c:pt idx="242">
                  <c:v>715.8</c:v>
                </c:pt>
                <c:pt idx="243">
                  <c:v>715.7</c:v>
                </c:pt>
                <c:pt idx="244">
                  <c:v>715.6</c:v>
                </c:pt>
                <c:pt idx="245">
                  <c:v>715.5</c:v>
                </c:pt>
                <c:pt idx="246">
                  <c:v>715.4</c:v>
                </c:pt>
                <c:pt idx="247">
                  <c:v>715.3</c:v>
                </c:pt>
                <c:pt idx="248">
                  <c:v>715.2</c:v>
                </c:pt>
                <c:pt idx="249">
                  <c:v>715.1</c:v>
                </c:pt>
                <c:pt idx="250">
                  <c:v>715</c:v>
                </c:pt>
                <c:pt idx="251">
                  <c:v>714.9</c:v>
                </c:pt>
                <c:pt idx="252">
                  <c:v>714.8</c:v>
                </c:pt>
                <c:pt idx="253">
                  <c:v>714.7</c:v>
                </c:pt>
                <c:pt idx="254">
                  <c:v>714.6</c:v>
                </c:pt>
                <c:pt idx="255">
                  <c:v>714.5</c:v>
                </c:pt>
                <c:pt idx="256">
                  <c:v>714.4</c:v>
                </c:pt>
                <c:pt idx="257">
                  <c:v>714.3</c:v>
                </c:pt>
                <c:pt idx="258">
                  <c:v>714.2</c:v>
                </c:pt>
                <c:pt idx="259">
                  <c:v>714.1</c:v>
                </c:pt>
                <c:pt idx="260">
                  <c:v>714</c:v>
                </c:pt>
                <c:pt idx="261">
                  <c:v>713.9</c:v>
                </c:pt>
                <c:pt idx="262">
                  <c:v>713.8</c:v>
                </c:pt>
                <c:pt idx="263">
                  <c:v>713.7</c:v>
                </c:pt>
                <c:pt idx="264">
                  <c:v>713.6</c:v>
                </c:pt>
                <c:pt idx="265">
                  <c:v>713.5</c:v>
                </c:pt>
                <c:pt idx="266">
                  <c:v>713.4</c:v>
                </c:pt>
                <c:pt idx="267">
                  <c:v>713.3</c:v>
                </c:pt>
                <c:pt idx="268">
                  <c:v>713.2</c:v>
                </c:pt>
                <c:pt idx="269">
                  <c:v>713.1</c:v>
                </c:pt>
                <c:pt idx="270">
                  <c:v>713</c:v>
                </c:pt>
                <c:pt idx="271">
                  <c:v>712.9</c:v>
                </c:pt>
                <c:pt idx="272">
                  <c:v>712.8</c:v>
                </c:pt>
                <c:pt idx="273">
                  <c:v>712.7</c:v>
                </c:pt>
                <c:pt idx="274">
                  <c:v>712.6</c:v>
                </c:pt>
                <c:pt idx="275">
                  <c:v>712.5</c:v>
                </c:pt>
                <c:pt idx="276">
                  <c:v>712.4</c:v>
                </c:pt>
                <c:pt idx="277">
                  <c:v>712.3</c:v>
                </c:pt>
                <c:pt idx="278">
                  <c:v>712.2</c:v>
                </c:pt>
                <c:pt idx="279">
                  <c:v>712.1</c:v>
                </c:pt>
                <c:pt idx="280">
                  <c:v>712</c:v>
                </c:pt>
                <c:pt idx="281">
                  <c:v>711.9</c:v>
                </c:pt>
                <c:pt idx="282">
                  <c:v>711.8</c:v>
                </c:pt>
                <c:pt idx="283">
                  <c:v>711.7</c:v>
                </c:pt>
                <c:pt idx="284">
                  <c:v>711.6</c:v>
                </c:pt>
                <c:pt idx="285">
                  <c:v>711.5</c:v>
                </c:pt>
                <c:pt idx="286">
                  <c:v>711.4</c:v>
                </c:pt>
                <c:pt idx="287">
                  <c:v>711.3</c:v>
                </c:pt>
                <c:pt idx="288">
                  <c:v>711.2</c:v>
                </c:pt>
                <c:pt idx="289">
                  <c:v>711.1</c:v>
                </c:pt>
                <c:pt idx="290">
                  <c:v>711</c:v>
                </c:pt>
                <c:pt idx="291">
                  <c:v>710.9</c:v>
                </c:pt>
                <c:pt idx="292">
                  <c:v>710.8</c:v>
                </c:pt>
                <c:pt idx="293">
                  <c:v>710.7</c:v>
                </c:pt>
                <c:pt idx="294">
                  <c:v>710.6</c:v>
                </c:pt>
                <c:pt idx="295">
                  <c:v>710.5</c:v>
                </c:pt>
                <c:pt idx="296">
                  <c:v>710.4</c:v>
                </c:pt>
                <c:pt idx="297">
                  <c:v>710.3</c:v>
                </c:pt>
                <c:pt idx="298">
                  <c:v>710.2</c:v>
                </c:pt>
                <c:pt idx="299">
                  <c:v>710.1</c:v>
                </c:pt>
                <c:pt idx="300">
                  <c:v>710</c:v>
                </c:pt>
                <c:pt idx="301">
                  <c:v>709.9</c:v>
                </c:pt>
                <c:pt idx="302">
                  <c:v>709.8</c:v>
                </c:pt>
                <c:pt idx="303">
                  <c:v>709.7</c:v>
                </c:pt>
                <c:pt idx="304">
                  <c:v>709.6</c:v>
                </c:pt>
                <c:pt idx="305">
                  <c:v>709.5</c:v>
                </c:pt>
                <c:pt idx="306">
                  <c:v>709.4</c:v>
                </c:pt>
                <c:pt idx="307">
                  <c:v>709.3</c:v>
                </c:pt>
                <c:pt idx="308">
                  <c:v>709.2</c:v>
                </c:pt>
                <c:pt idx="309">
                  <c:v>709.1</c:v>
                </c:pt>
                <c:pt idx="310">
                  <c:v>709</c:v>
                </c:pt>
                <c:pt idx="311">
                  <c:v>708.9</c:v>
                </c:pt>
                <c:pt idx="312">
                  <c:v>708.8</c:v>
                </c:pt>
                <c:pt idx="313">
                  <c:v>708.7</c:v>
                </c:pt>
                <c:pt idx="314">
                  <c:v>708.6</c:v>
                </c:pt>
                <c:pt idx="315">
                  <c:v>708.5</c:v>
                </c:pt>
                <c:pt idx="316">
                  <c:v>708.4</c:v>
                </c:pt>
                <c:pt idx="317">
                  <c:v>708.3</c:v>
                </c:pt>
                <c:pt idx="318">
                  <c:v>708.2</c:v>
                </c:pt>
                <c:pt idx="319">
                  <c:v>708.1</c:v>
                </c:pt>
                <c:pt idx="320">
                  <c:v>708</c:v>
                </c:pt>
                <c:pt idx="321">
                  <c:v>707.9</c:v>
                </c:pt>
                <c:pt idx="322">
                  <c:v>707.8</c:v>
                </c:pt>
                <c:pt idx="323">
                  <c:v>707.7</c:v>
                </c:pt>
                <c:pt idx="324">
                  <c:v>707.6</c:v>
                </c:pt>
                <c:pt idx="325">
                  <c:v>707.5</c:v>
                </c:pt>
                <c:pt idx="326">
                  <c:v>707.4</c:v>
                </c:pt>
                <c:pt idx="327">
                  <c:v>707.3</c:v>
                </c:pt>
                <c:pt idx="328">
                  <c:v>707.2</c:v>
                </c:pt>
                <c:pt idx="329">
                  <c:v>707.1</c:v>
                </c:pt>
                <c:pt idx="330">
                  <c:v>707</c:v>
                </c:pt>
                <c:pt idx="331">
                  <c:v>706.9</c:v>
                </c:pt>
                <c:pt idx="332">
                  <c:v>706.8</c:v>
                </c:pt>
                <c:pt idx="333">
                  <c:v>706.7</c:v>
                </c:pt>
                <c:pt idx="334">
                  <c:v>706.6</c:v>
                </c:pt>
                <c:pt idx="335">
                  <c:v>706.5</c:v>
                </c:pt>
                <c:pt idx="336">
                  <c:v>706.4</c:v>
                </c:pt>
                <c:pt idx="337">
                  <c:v>706.3</c:v>
                </c:pt>
                <c:pt idx="338">
                  <c:v>706.2</c:v>
                </c:pt>
                <c:pt idx="339">
                  <c:v>706.1</c:v>
                </c:pt>
                <c:pt idx="340">
                  <c:v>706</c:v>
                </c:pt>
                <c:pt idx="341">
                  <c:v>705.9</c:v>
                </c:pt>
                <c:pt idx="342">
                  <c:v>705.8</c:v>
                </c:pt>
                <c:pt idx="343">
                  <c:v>705.7</c:v>
                </c:pt>
                <c:pt idx="344">
                  <c:v>705.6</c:v>
                </c:pt>
                <c:pt idx="345">
                  <c:v>705.5</c:v>
                </c:pt>
                <c:pt idx="346">
                  <c:v>705.4</c:v>
                </c:pt>
                <c:pt idx="347">
                  <c:v>705.3</c:v>
                </c:pt>
                <c:pt idx="348">
                  <c:v>705.2</c:v>
                </c:pt>
                <c:pt idx="349">
                  <c:v>705.1</c:v>
                </c:pt>
                <c:pt idx="350">
                  <c:v>705</c:v>
                </c:pt>
                <c:pt idx="351">
                  <c:v>704.9</c:v>
                </c:pt>
                <c:pt idx="352">
                  <c:v>704.8</c:v>
                </c:pt>
                <c:pt idx="353">
                  <c:v>704.7</c:v>
                </c:pt>
                <c:pt idx="354">
                  <c:v>704.6</c:v>
                </c:pt>
                <c:pt idx="355">
                  <c:v>704.5</c:v>
                </c:pt>
                <c:pt idx="356">
                  <c:v>704.4</c:v>
                </c:pt>
                <c:pt idx="357">
                  <c:v>704.3</c:v>
                </c:pt>
                <c:pt idx="358">
                  <c:v>704.2</c:v>
                </c:pt>
                <c:pt idx="359">
                  <c:v>704.1</c:v>
                </c:pt>
                <c:pt idx="360">
                  <c:v>704</c:v>
                </c:pt>
                <c:pt idx="361">
                  <c:v>703.9</c:v>
                </c:pt>
                <c:pt idx="362">
                  <c:v>703.8</c:v>
                </c:pt>
                <c:pt idx="363">
                  <c:v>703.7</c:v>
                </c:pt>
                <c:pt idx="364">
                  <c:v>703.6</c:v>
                </c:pt>
                <c:pt idx="365">
                  <c:v>703.5</c:v>
                </c:pt>
                <c:pt idx="366">
                  <c:v>703.4</c:v>
                </c:pt>
                <c:pt idx="367">
                  <c:v>703.3</c:v>
                </c:pt>
                <c:pt idx="368">
                  <c:v>703.2</c:v>
                </c:pt>
                <c:pt idx="369">
                  <c:v>703.1</c:v>
                </c:pt>
                <c:pt idx="370">
                  <c:v>703</c:v>
                </c:pt>
                <c:pt idx="371">
                  <c:v>702.9</c:v>
                </c:pt>
                <c:pt idx="372">
                  <c:v>702.8</c:v>
                </c:pt>
                <c:pt idx="373">
                  <c:v>702.7</c:v>
                </c:pt>
                <c:pt idx="374">
                  <c:v>702.6</c:v>
                </c:pt>
                <c:pt idx="375">
                  <c:v>702.5</c:v>
                </c:pt>
                <c:pt idx="376">
                  <c:v>702.4</c:v>
                </c:pt>
                <c:pt idx="377">
                  <c:v>702.3</c:v>
                </c:pt>
                <c:pt idx="378">
                  <c:v>702.2</c:v>
                </c:pt>
                <c:pt idx="379">
                  <c:v>702.1</c:v>
                </c:pt>
                <c:pt idx="380">
                  <c:v>702</c:v>
                </c:pt>
                <c:pt idx="381">
                  <c:v>701.9</c:v>
                </c:pt>
                <c:pt idx="382">
                  <c:v>701.8</c:v>
                </c:pt>
                <c:pt idx="383">
                  <c:v>701.7</c:v>
                </c:pt>
                <c:pt idx="384">
                  <c:v>701.6</c:v>
                </c:pt>
                <c:pt idx="385">
                  <c:v>701.5</c:v>
                </c:pt>
                <c:pt idx="386">
                  <c:v>701.4</c:v>
                </c:pt>
                <c:pt idx="387">
                  <c:v>701.3</c:v>
                </c:pt>
                <c:pt idx="388">
                  <c:v>701.2</c:v>
                </c:pt>
                <c:pt idx="389">
                  <c:v>701.1</c:v>
                </c:pt>
                <c:pt idx="390">
                  <c:v>701</c:v>
                </c:pt>
                <c:pt idx="391">
                  <c:v>700.9</c:v>
                </c:pt>
                <c:pt idx="392">
                  <c:v>700.8</c:v>
                </c:pt>
                <c:pt idx="393">
                  <c:v>700.7</c:v>
                </c:pt>
                <c:pt idx="394">
                  <c:v>700.6</c:v>
                </c:pt>
                <c:pt idx="395">
                  <c:v>700.5</c:v>
                </c:pt>
                <c:pt idx="396">
                  <c:v>700.4</c:v>
                </c:pt>
                <c:pt idx="397">
                  <c:v>700.3</c:v>
                </c:pt>
                <c:pt idx="398">
                  <c:v>700.2</c:v>
                </c:pt>
              </c:numCache>
            </c:numRef>
          </c:cat>
          <c:val>
            <c:numRef>
              <c:f>'Fig 9e'!$H$4:$H$402</c:f>
              <c:numCache>
                <c:formatCode>General</c:formatCode>
                <c:ptCount val="399"/>
                <c:pt idx="0">
                  <c:v>9203.5499999999993</c:v>
                </c:pt>
                <c:pt idx="1">
                  <c:v>9202.76</c:v>
                </c:pt>
                <c:pt idx="2">
                  <c:v>9186.82</c:v>
                </c:pt>
                <c:pt idx="3">
                  <c:v>9175.9</c:v>
                </c:pt>
                <c:pt idx="4">
                  <c:v>9172.43</c:v>
                </c:pt>
                <c:pt idx="5">
                  <c:v>9168.66</c:v>
                </c:pt>
                <c:pt idx="6">
                  <c:v>9153.85</c:v>
                </c:pt>
                <c:pt idx="7">
                  <c:v>9153.85</c:v>
                </c:pt>
                <c:pt idx="8">
                  <c:v>9153.73</c:v>
                </c:pt>
                <c:pt idx="9">
                  <c:v>9153.5300000000007</c:v>
                </c:pt>
                <c:pt idx="10">
                  <c:v>9153.2900000000009</c:v>
                </c:pt>
                <c:pt idx="11">
                  <c:v>9152.91</c:v>
                </c:pt>
                <c:pt idx="12">
                  <c:v>9152.41</c:v>
                </c:pt>
                <c:pt idx="13">
                  <c:v>9151.94</c:v>
                </c:pt>
                <c:pt idx="14">
                  <c:v>9151.36</c:v>
                </c:pt>
                <c:pt idx="15">
                  <c:v>9150.84</c:v>
                </c:pt>
                <c:pt idx="16">
                  <c:v>9150.41</c:v>
                </c:pt>
                <c:pt idx="17">
                  <c:v>9150.1200000000008</c:v>
                </c:pt>
                <c:pt idx="18">
                  <c:v>9149.93</c:v>
                </c:pt>
                <c:pt idx="19">
                  <c:v>9149.83</c:v>
                </c:pt>
                <c:pt idx="20">
                  <c:v>9149.7900000000009</c:v>
                </c:pt>
                <c:pt idx="21">
                  <c:v>9149.7900000000009</c:v>
                </c:pt>
                <c:pt idx="22">
                  <c:v>9149.6200000000008</c:v>
                </c:pt>
                <c:pt idx="23">
                  <c:v>9149.2999999999993</c:v>
                </c:pt>
                <c:pt idx="24">
                  <c:v>9148.89</c:v>
                </c:pt>
                <c:pt idx="25">
                  <c:v>9148.4</c:v>
                </c:pt>
                <c:pt idx="26">
                  <c:v>9147.85</c:v>
                </c:pt>
                <c:pt idx="27">
                  <c:v>9147.43</c:v>
                </c:pt>
                <c:pt idx="28">
                  <c:v>9147.0400000000009</c:v>
                </c:pt>
                <c:pt idx="29">
                  <c:v>9146.69</c:v>
                </c:pt>
                <c:pt idx="30">
                  <c:v>9146.2900000000009</c:v>
                </c:pt>
                <c:pt idx="31">
                  <c:v>9145.9699999999993</c:v>
                </c:pt>
                <c:pt idx="32">
                  <c:v>9145.7999999999993</c:v>
                </c:pt>
                <c:pt idx="33">
                  <c:v>9145.7199999999993</c:v>
                </c:pt>
                <c:pt idx="34">
                  <c:v>9145.7199999999993</c:v>
                </c:pt>
                <c:pt idx="35">
                  <c:v>9146.2900000000009</c:v>
                </c:pt>
                <c:pt idx="36">
                  <c:v>9146.86</c:v>
                </c:pt>
                <c:pt idx="37">
                  <c:v>9147.44</c:v>
                </c:pt>
                <c:pt idx="38">
                  <c:v>9148.01</c:v>
                </c:pt>
                <c:pt idx="39">
                  <c:v>9148.59</c:v>
                </c:pt>
                <c:pt idx="40">
                  <c:v>9149.16</c:v>
                </c:pt>
                <c:pt idx="41">
                  <c:v>9149.73</c:v>
                </c:pt>
                <c:pt idx="42">
                  <c:v>9150.31</c:v>
                </c:pt>
                <c:pt idx="43">
                  <c:v>9150.8799999999992</c:v>
                </c:pt>
                <c:pt idx="44">
                  <c:v>9151.4599999999991</c:v>
                </c:pt>
                <c:pt idx="45">
                  <c:v>9152.0300000000007</c:v>
                </c:pt>
                <c:pt idx="46">
                  <c:v>9152.6</c:v>
                </c:pt>
                <c:pt idx="47">
                  <c:v>9153.18</c:v>
                </c:pt>
                <c:pt idx="48">
                  <c:v>9153.75</c:v>
                </c:pt>
                <c:pt idx="49">
                  <c:v>9154.33</c:v>
                </c:pt>
                <c:pt idx="50">
                  <c:v>9154.9</c:v>
                </c:pt>
                <c:pt idx="51">
                  <c:v>9155.4699999999993</c:v>
                </c:pt>
                <c:pt idx="52">
                  <c:v>9156.0499999999993</c:v>
                </c:pt>
                <c:pt idx="53">
                  <c:v>9156.6200000000008</c:v>
                </c:pt>
                <c:pt idx="54">
                  <c:v>9157.2000000000007</c:v>
                </c:pt>
                <c:pt idx="55">
                  <c:v>9157.77</c:v>
                </c:pt>
                <c:pt idx="56">
                  <c:v>9158.34</c:v>
                </c:pt>
                <c:pt idx="57">
                  <c:v>9158.92</c:v>
                </c:pt>
                <c:pt idx="58">
                  <c:v>9159.49</c:v>
                </c:pt>
                <c:pt idx="59">
                  <c:v>9160.07</c:v>
                </c:pt>
                <c:pt idx="60">
                  <c:v>9160.64</c:v>
                </c:pt>
                <c:pt idx="61">
                  <c:v>9161.2099999999991</c:v>
                </c:pt>
                <c:pt idx="62">
                  <c:v>9161.7900000000009</c:v>
                </c:pt>
                <c:pt idx="63">
                  <c:v>9162.36</c:v>
                </c:pt>
                <c:pt idx="64">
                  <c:v>9162.94</c:v>
                </c:pt>
                <c:pt idx="65">
                  <c:v>9163.51</c:v>
                </c:pt>
                <c:pt idx="66">
                  <c:v>9164.08</c:v>
                </c:pt>
                <c:pt idx="67">
                  <c:v>9164.66</c:v>
                </c:pt>
                <c:pt idx="68">
                  <c:v>9165.23</c:v>
                </c:pt>
                <c:pt idx="69">
                  <c:v>9165.81</c:v>
                </c:pt>
                <c:pt idx="70">
                  <c:v>9166.3799999999992</c:v>
                </c:pt>
                <c:pt idx="71">
                  <c:v>9166.9500000000007</c:v>
                </c:pt>
                <c:pt idx="72">
                  <c:v>9167.5300000000007</c:v>
                </c:pt>
                <c:pt idx="73">
                  <c:v>9168.1</c:v>
                </c:pt>
                <c:pt idx="74">
                  <c:v>9168.68</c:v>
                </c:pt>
                <c:pt idx="75">
                  <c:v>9169.25</c:v>
                </c:pt>
                <c:pt idx="76">
                  <c:v>9169.83</c:v>
                </c:pt>
                <c:pt idx="77">
                  <c:v>9170.4</c:v>
                </c:pt>
                <c:pt idx="78">
                  <c:v>9170.9699999999993</c:v>
                </c:pt>
                <c:pt idx="79">
                  <c:v>9171.5499999999993</c:v>
                </c:pt>
                <c:pt idx="80">
                  <c:v>9172.1200000000008</c:v>
                </c:pt>
                <c:pt idx="81">
                  <c:v>9172.7000000000007</c:v>
                </c:pt>
                <c:pt idx="82">
                  <c:v>9173.27</c:v>
                </c:pt>
                <c:pt idx="83">
                  <c:v>9173.84</c:v>
                </c:pt>
                <c:pt idx="84">
                  <c:v>9174.42</c:v>
                </c:pt>
                <c:pt idx="85">
                  <c:v>9174.99</c:v>
                </c:pt>
                <c:pt idx="86">
                  <c:v>9175.57</c:v>
                </c:pt>
                <c:pt idx="87">
                  <c:v>9176.14</c:v>
                </c:pt>
                <c:pt idx="88">
                  <c:v>9176.7099999999991</c:v>
                </c:pt>
                <c:pt idx="89">
                  <c:v>9177.2900000000009</c:v>
                </c:pt>
                <c:pt idx="90">
                  <c:v>9177.86</c:v>
                </c:pt>
                <c:pt idx="91">
                  <c:v>9178.44</c:v>
                </c:pt>
                <c:pt idx="92">
                  <c:v>9179.01</c:v>
                </c:pt>
                <c:pt idx="93">
                  <c:v>9179.58</c:v>
                </c:pt>
                <c:pt idx="94">
                  <c:v>9180.16</c:v>
                </c:pt>
                <c:pt idx="95">
                  <c:v>9180.73</c:v>
                </c:pt>
                <c:pt idx="96">
                  <c:v>9181.31</c:v>
                </c:pt>
                <c:pt idx="97">
                  <c:v>9181.8799999999992</c:v>
                </c:pt>
                <c:pt idx="98">
                  <c:v>9182.4500000000007</c:v>
                </c:pt>
                <c:pt idx="99">
                  <c:v>9183.0300000000007</c:v>
                </c:pt>
                <c:pt idx="100">
                  <c:v>9183.6</c:v>
                </c:pt>
                <c:pt idx="101">
                  <c:v>9184.18</c:v>
                </c:pt>
                <c:pt idx="102">
                  <c:v>9184.75</c:v>
                </c:pt>
                <c:pt idx="103">
                  <c:v>9185.32</c:v>
                </c:pt>
                <c:pt idx="104">
                  <c:v>9185.9</c:v>
                </c:pt>
                <c:pt idx="105">
                  <c:v>9186.4699999999993</c:v>
                </c:pt>
                <c:pt idx="106">
                  <c:v>9187.0499999999993</c:v>
                </c:pt>
                <c:pt idx="107">
                  <c:v>9187.6200000000008</c:v>
                </c:pt>
                <c:pt idx="108">
                  <c:v>9188.19</c:v>
                </c:pt>
                <c:pt idx="109">
                  <c:v>9188.77</c:v>
                </c:pt>
                <c:pt idx="110">
                  <c:v>9189.34</c:v>
                </c:pt>
                <c:pt idx="111">
                  <c:v>9189.92</c:v>
                </c:pt>
                <c:pt idx="112">
                  <c:v>9190.49</c:v>
                </c:pt>
                <c:pt idx="113">
                  <c:v>9191.06</c:v>
                </c:pt>
                <c:pt idx="114">
                  <c:v>9191.64</c:v>
                </c:pt>
                <c:pt idx="115">
                  <c:v>9192.2099999999991</c:v>
                </c:pt>
                <c:pt idx="116">
                  <c:v>9192.7900000000009</c:v>
                </c:pt>
                <c:pt idx="117">
                  <c:v>9193.36</c:v>
                </c:pt>
                <c:pt idx="118">
                  <c:v>9193.93</c:v>
                </c:pt>
                <c:pt idx="119">
                  <c:v>9194.51</c:v>
                </c:pt>
                <c:pt idx="120">
                  <c:v>9195.08</c:v>
                </c:pt>
                <c:pt idx="121">
                  <c:v>9195.66</c:v>
                </c:pt>
                <c:pt idx="122">
                  <c:v>9196.23</c:v>
                </c:pt>
                <c:pt idx="123">
                  <c:v>9196.7999999999993</c:v>
                </c:pt>
                <c:pt idx="124">
                  <c:v>9197.3799999999992</c:v>
                </c:pt>
                <c:pt idx="125">
                  <c:v>9197.9500000000007</c:v>
                </c:pt>
                <c:pt idx="126">
                  <c:v>9198.5300000000007</c:v>
                </c:pt>
                <c:pt idx="127">
                  <c:v>9199.1</c:v>
                </c:pt>
                <c:pt idx="128">
                  <c:v>9199.67</c:v>
                </c:pt>
                <c:pt idx="129">
                  <c:v>9200.25</c:v>
                </c:pt>
                <c:pt idx="130">
                  <c:v>9200.82</c:v>
                </c:pt>
                <c:pt idx="131">
                  <c:v>9201.4</c:v>
                </c:pt>
                <c:pt idx="132">
                  <c:v>9201.9699999999993</c:v>
                </c:pt>
                <c:pt idx="133">
                  <c:v>9202.5400000000009</c:v>
                </c:pt>
                <c:pt idx="134">
                  <c:v>9203.1200000000008</c:v>
                </c:pt>
                <c:pt idx="135">
                  <c:v>9203.69</c:v>
                </c:pt>
                <c:pt idx="136">
                  <c:v>9204.27</c:v>
                </c:pt>
                <c:pt idx="137">
                  <c:v>9204.84</c:v>
                </c:pt>
                <c:pt idx="138">
                  <c:v>9205.41</c:v>
                </c:pt>
                <c:pt idx="139">
                  <c:v>9205.99</c:v>
                </c:pt>
                <c:pt idx="140">
                  <c:v>9206.56</c:v>
                </c:pt>
                <c:pt idx="141">
                  <c:v>9207.14</c:v>
                </c:pt>
                <c:pt idx="142">
                  <c:v>9207.7099999999991</c:v>
                </c:pt>
                <c:pt idx="143">
                  <c:v>9208.2800000000007</c:v>
                </c:pt>
                <c:pt idx="144">
                  <c:v>9208.86</c:v>
                </c:pt>
                <c:pt idx="145">
                  <c:v>9209.43</c:v>
                </c:pt>
                <c:pt idx="146">
                  <c:v>9210.01</c:v>
                </c:pt>
                <c:pt idx="147">
                  <c:v>9210.58</c:v>
                </c:pt>
                <c:pt idx="148">
                  <c:v>9211.15</c:v>
                </c:pt>
                <c:pt idx="149">
                  <c:v>9211.73</c:v>
                </c:pt>
                <c:pt idx="150">
                  <c:v>9212.2999999999993</c:v>
                </c:pt>
                <c:pt idx="151">
                  <c:v>9212.8799999999992</c:v>
                </c:pt>
                <c:pt idx="152">
                  <c:v>9213.4500000000007</c:v>
                </c:pt>
                <c:pt idx="153">
                  <c:v>9214.02</c:v>
                </c:pt>
                <c:pt idx="154">
                  <c:v>9214.6</c:v>
                </c:pt>
                <c:pt idx="155">
                  <c:v>9215.17</c:v>
                </c:pt>
                <c:pt idx="156">
                  <c:v>9215.75</c:v>
                </c:pt>
                <c:pt idx="157">
                  <c:v>9216.32</c:v>
                </c:pt>
                <c:pt idx="158">
                  <c:v>9216.89</c:v>
                </c:pt>
                <c:pt idx="159">
                  <c:v>9217.4699999999993</c:v>
                </c:pt>
                <c:pt idx="160">
                  <c:v>9218.0400000000009</c:v>
                </c:pt>
                <c:pt idx="161">
                  <c:v>9218.6200000000008</c:v>
                </c:pt>
                <c:pt idx="162">
                  <c:v>9219.19</c:v>
                </c:pt>
                <c:pt idx="163">
                  <c:v>9219.76</c:v>
                </c:pt>
                <c:pt idx="164">
                  <c:v>9220.34</c:v>
                </c:pt>
                <c:pt idx="165">
                  <c:v>9220.91</c:v>
                </c:pt>
                <c:pt idx="166">
                  <c:v>9221.49</c:v>
                </c:pt>
                <c:pt idx="167">
                  <c:v>9222.06</c:v>
                </c:pt>
                <c:pt idx="168">
                  <c:v>9222.6299999999992</c:v>
                </c:pt>
                <c:pt idx="169">
                  <c:v>9223.2099999999991</c:v>
                </c:pt>
                <c:pt idx="170">
                  <c:v>9223.7800000000007</c:v>
                </c:pt>
                <c:pt idx="171">
                  <c:v>9224.36</c:v>
                </c:pt>
                <c:pt idx="172">
                  <c:v>9224.93</c:v>
                </c:pt>
                <c:pt idx="173">
                  <c:v>9225.5</c:v>
                </c:pt>
                <c:pt idx="174">
                  <c:v>9226.08</c:v>
                </c:pt>
                <c:pt idx="175">
                  <c:v>9226.65</c:v>
                </c:pt>
                <c:pt idx="176">
                  <c:v>9227.23</c:v>
                </c:pt>
                <c:pt idx="177">
                  <c:v>9227.7999999999993</c:v>
                </c:pt>
                <c:pt idx="178">
                  <c:v>9228.3700000000008</c:v>
                </c:pt>
                <c:pt idx="179">
                  <c:v>9228.9500000000007</c:v>
                </c:pt>
                <c:pt idx="180">
                  <c:v>9229.52</c:v>
                </c:pt>
                <c:pt idx="181">
                  <c:v>9230.1</c:v>
                </c:pt>
                <c:pt idx="182">
                  <c:v>9230.67</c:v>
                </c:pt>
                <c:pt idx="183">
                  <c:v>9231.24</c:v>
                </c:pt>
                <c:pt idx="184">
                  <c:v>9231.82</c:v>
                </c:pt>
                <c:pt idx="185">
                  <c:v>9232.39</c:v>
                </c:pt>
                <c:pt idx="186">
                  <c:v>9232.9699999999993</c:v>
                </c:pt>
                <c:pt idx="187">
                  <c:v>9233.5400000000009</c:v>
                </c:pt>
                <c:pt idx="188">
                  <c:v>9234.11</c:v>
                </c:pt>
                <c:pt idx="189">
                  <c:v>9234.69</c:v>
                </c:pt>
                <c:pt idx="190">
                  <c:v>9235.26</c:v>
                </c:pt>
                <c:pt idx="191">
                  <c:v>9235.84</c:v>
                </c:pt>
                <c:pt idx="192">
                  <c:v>9236.41</c:v>
                </c:pt>
                <c:pt idx="193">
                  <c:v>9236.98</c:v>
                </c:pt>
                <c:pt idx="194">
                  <c:v>9237.56</c:v>
                </c:pt>
                <c:pt idx="195">
                  <c:v>9238.1299999999992</c:v>
                </c:pt>
                <c:pt idx="196">
                  <c:v>9238.7099999999991</c:v>
                </c:pt>
                <c:pt idx="197">
                  <c:v>9239.2800000000007</c:v>
                </c:pt>
                <c:pt idx="198">
                  <c:v>9239.85</c:v>
                </c:pt>
                <c:pt idx="199">
                  <c:v>9240.43</c:v>
                </c:pt>
                <c:pt idx="200">
                  <c:v>9241</c:v>
                </c:pt>
                <c:pt idx="201">
                  <c:v>9241.58</c:v>
                </c:pt>
                <c:pt idx="202">
                  <c:v>9242.15</c:v>
                </c:pt>
                <c:pt idx="203">
                  <c:v>9242.7199999999993</c:v>
                </c:pt>
                <c:pt idx="204">
                  <c:v>9243.2999999999993</c:v>
                </c:pt>
                <c:pt idx="205">
                  <c:v>9243.8700000000008</c:v>
                </c:pt>
                <c:pt idx="206">
                  <c:v>9244.4500000000007</c:v>
                </c:pt>
                <c:pt idx="207">
                  <c:v>9245.02</c:v>
                </c:pt>
                <c:pt idx="208">
                  <c:v>9245.59</c:v>
                </c:pt>
                <c:pt idx="209">
                  <c:v>9246.17</c:v>
                </c:pt>
                <c:pt idx="210">
                  <c:v>9246.74</c:v>
                </c:pt>
                <c:pt idx="211">
                  <c:v>9247.32</c:v>
                </c:pt>
                <c:pt idx="212">
                  <c:v>9247.89</c:v>
                </c:pt>
                <c:pt idx="213">
                  <c:v>9248.4599999999991</c:v>
                </c:pt>
                <c:pt idx="214">
                  <c:v>9249.0400000000009</c:v>
                </c:pt>
                <c:pt idx="215">
                  <c:v>9249.61</c:v>
                </c:pt>
                <c:pt idx="216">
                  <c:v>9250.19</c:v>
                </c:pt>
                <c:pt idx="217">
                  <c:v>9250.76</c:v>
                </c:pt>
                <c:pt idx="218">
                  <c:v>9251.33</c:v>
                </c:pt>
                <c:pt idx="219">
                  <c:v>9251.91</c:v>
                </c:pt>
                <c:pt idx="220">
                  <c:v>9252.48</c:v>
                </c:pt>
                <c:pt idx="221">
                  <c:v>9253.06</c:v>
                </c:pt>
                <c:pt idx="222">
                  <c:v>9253.6299999999992</c:v>
                </c:pt>
                <c:pt idx="223">
                  <c:v>9254.2000000000007</c:v>
                </c:pt>
                <c:pt idx="224">
                  <c:v>9254.7800000000007</c:v>
                </c:pt>
                <c:pt idx="225">
                  <c:v>9255.35</c:v>
                </c:pt>
                <c:pt idx="226">
                  <c:v>9255.93</c:v>
                </c:pt>
                <c:pt idx="227">
                  <c:v>9256.5</c:v>
                </c:pt>
                <c:pt idx="228">
                  <c:v>9257.07</c:v>
                </c:pt>
                <c:pt idx="229">
                  <c:v>9257.65</c:v>
                </c:pt>
                <c:pt idx="230">
                  <c:v>9258.2199999999993</c:v>
                </c:pt>
                <c:pt idx="231">
                  <c:v>9258.7999999999993</c:v>
                </c:pt>
                <c:pt idx="232">
                  <c:v>9259.3700000000008</c:v>
                </c:pt>
                <c:pt idx="233">
                  <c:v>9259.94</c:v>
                </c:pt>
                <c:pt idx="234">
                  <c:v>9260.52</c:v>
                </c:pt>
                <c:pt idx="235">
                  <c:v>9261.09</c:v>
                </c:pt>
                <c:pt idx="236">
                  <c:v>9261.67</c:v>
                </c:pt>
                <c:pt idx="237">
                  <c:v>9262.24</c:v>
                </c:pt>
                <c:pt idx="238">
                  <c:v>9262.81</c:v>
                </c:pt>
                <c:pt idx="239">
                  <c:v>9263.39</c:v>
                </c:pt>
                <c:pt idx="240">
                  <c:v>9263.9599999999991</c:v>
                </c:pt>
                <c:pt idx="241">
                  <c:v>9264.5400000000009</c:v>
                </c:pt>
                <c:pt idx="242">
                  <c:v>9265.11</c:v>
                </c:pt>
                <c:pt idx="243">
                  <c:v>9265.68</c:v>
                </c:pt>
                <c:pt idx="244">
                  <c:v>9266.26</c:v>
                </c:pt>
                <c:pt idx="245">
                  <c:v>9266.83</c:v>
                </c:pt>
                <c:pt idx="246">
                  <c:v>9267.41</c:v>
                </c:pt>
                <c:pt idx="247">
                  <c:v>9267.98</c:v>
                </c:pt>
                <c:pt idx="248">
                  <c:v>9268.5499999999993</c:v>
                </c:pt>
                <c:pt idx="249">
                  <c:v>9269.1299999999992</c:v>
                </c:pt>
                <c:pt idx="250">
                  <c:v>9269.7000000000007</c:v>
                </c:pt>
                <c:pt idx="251">
                  <c:v>9270.2800000000007</c:v>
                </c:pt>
                <c:pt idx="252">
                  <c:v>9270.85</c:v>
                </c:pt>
                <c:pt idx="253">
                  <c:v>9271.42</c:v>
                </c:pt>
                <c:pt idx="254">
                  <c:v>9272</c:v>
                </c:pt>
                <c:pt idx="255">
                  <c:v>9272.57</c:v>
                </c:pt>
                <c:pt idx="256">
                  <c:v>9273.15</c:v>
                </c:pt>
                <c:pt idx="257">
                  <c:v>9273.7199999999993</c:v>
                </c:pt>
                <c:pt idx="258">
                  <c:v>9274.2900000000009</c:v>
                </c:pt>
                <c:pt idx="259">
                  <c:v>9274.8700000000008</c:v>
                </c:pt>
                <c:pt idx="260">
                  <c:v>9275.44</c:v>
                </c:pt>
                <c:pt idx="261">
                  <c:v>9276.02</c:v>
                </c:pt>
                <c:pt idx="262">
                  <c:v>9276.59</c:v>
                </c:pt>
                <c:pt idx="263">
                  <c:v>9277.17</c:v>
                </c:pt>
                <c:pt idx="264">
                  <c:v>9277.74</c:v>
                </c:pt>
                <c:pt idx="265">
                  <c:v>9278.31</c:v>
                </c:pt>
                <c:pt idx="266">
                  <c:v>9278.89</c:v>
                </c:pt>
                <c:pt idx="267">
                  <c:v>9279.4599999999991</c:v>
                </c:pt>
                <c:pt idx="268">
                  <c:v>9280.0400000000009</c:v>
                </c:pt>
                <c:pt idx="269">
                  <c:v>9280.61</c:v>
                </c:pt>
                <c:pt idx="270">
                  <c:v>9281.18</c:v>
                </c:pt>
                <c:pt idx="271">
                  <c:v>9281.76</c:v>
                </c:pt>
                <c:pt idx="272">
                  <c:v>9282.33</c:v>
                </c:pt>
                <c:pt idx="273">
                  <c:v>9282.91</c:v>
                </c:pt>
                <c:pt idx="274">
                  <c:v>9283.48</c:v>
                </c:pt>
                <c:pt idx="275">
                  <c:v>9284.0499999999993</c:v>
                </c:pt>
                <c:pt idx="276">
                  <c:v>9284.6299999999992</c:v>
                </c:pt>
                <c:pt idx="277">
                  <c:v>9285.2000000000007</c:v>
                </c:pt>
                <c:pt idx="278">
                  <c:v>9285.7800000000007</c:v>
                </c:pt>
                <c:pt idx="279">
                  <c:v>9286.35</c:v>
                </c:pt>
                <c:pt idx="280">
                  <c:v>9286.92</c:v>
                </c:pt>
                <c:pt idx="281">
                  <c:v>9287.5</c:v>
                </c:pt>
                <c:pt idx="282">
                  <c:v>9288.07</c:v>
                </c:pt>
                <c:pt idx="283">
                  <c:v>9288.65</c:v>
                </c:pt>
                <c:pt idx="284">
                  <c:v>9289.2199999999993</c:v>
                </c:pt>
                <c:pt idx="285">
                  <c:v>9289.7900000000009</c:v>
                </c:pt>
                <c:pt idx="286">
                  <c:v>9290.3700000000008</c:v>
                </c:pt>
                <c:pt idx="287">
                  <c:v>9290.94</c:v>
                </c:pt>
                <c:pt idx="288">
                  <c:v>9291.52</c:v>
                </c:pt>
                <c:pt idx="289">
                  <c:v>9292.09</c:v>
                </c:pt>
                <c:pt idx="290">
                  <c:v>9292.66</c:v>
                </c:pt>
                <c:pt idx="291">
                  <c:v>9293.24</c:v>
                </c:pt>
                <c:pt idx="292">
                  <c:v>9293.81</c:v>
                </c:pt>
                <c:pt idx="293">
                  <c:v>9294.39</c:v>
                </c:pt>
                <c:pt idx="294">
                  <c:v>9294.9599999999991</c:v>
                </c:pt>
                <c:pt idx="295">
                  <c:v>9295.5300000000007</c:v>
                </c:pt>
                <c:pt idx="296">
                  <c:v>9296.11</c:v>
                </c:pt>
                <c:pt idx="297">
                  <c:v>9296.68</c:v>
                </c:pt>
                <c:pt idx="298">
                  <c:v>9297.26</c:v>
                </c:pt>
                <c:pt idx="299">
                  <c:v>9297.83</c:v>
                </c:pt>
                <c:pt idx="300">
                  <c:v>9298.4</c:v>
                </c:pt>
                <c:pt idx="301">
                  <c:v>9298.98</c:v>
                </c:pt>
                <c:pt idx="302">
                  <c:v>9299.5499999999993</c:v>
                </c:pt>
                <c:pt idx="303">
                  <c:v>9300.1299999999992</c:v>
                </c:pt>
                <c:pt idx="304">
                  <c:v>9300.7000000000007</c:v>
                </c:pt>
                <c:pt idx="305">
                  <c:v>9301.27</c:v>
                </c:pt>
                <c:pt idx="306">
                  <c:v>9301.85</c:v>
                </c:pt>
                <c:pt idx="307">
                  <c:v>9302.42</c:v>
                </c:pt>
                <c:pt idx="308">
                  <c:v>9303</c:v>
                </c:pt>
                <c:pt idx="309">
                  <c:v>9303.57</c:v>
                </c:pt>
                <c:pt idx="310">
                  <c:v>9304.14</c:v>
                </c:pt>
                <c:pt idx="311">
                  <c:v>9304.7199999999993</c:v>
                </c:pt>
                <c:pt idx="312">
                  <c:v>9305.2900000000009</c:v>
                </c:pt>
                <c:pt idx="313">
                  <c:v>9305.8700000000008</c:v>
                </c:pt>
                <c:pt idx="314">
                  <c:v>9306.44</c:v>
                </c:pt>
                <c:pt idx="315">
                  <c:v>9307.01</c:v>
                </c:pt>
                <c:pt idx="316">
                  <c:v>9307.59</c:v>
                </c:pt>
                <c:pt idx="317">
                  <c:v>9308.16</c:v>
                </c:pt>
                <c:pt idx="318">
                  <c:v>9308.74</c:v>
                </c:pt>
                <c:pt idx="319">
                  <c:v>9309.31</c:v>
                </c:pt>
                <c:pt idx="320">
                  <c:v>9309.8799999999992</c:v>
                </c:pt>
                <c:pt idx="321">
                  <c:v>9310.4599999999991</c:v>
                </c:pt>
                <c:pt idx="322">
                  <c:v>9311.0300000000007</c:v>
                </c:pt>
                <c:pt idx="323">
                  <c:v>9311.61</c:v>
                </c:pt>
                <c:pt idx="324">
                  <c:v>9312.18</c:v>
                </c:pt>
                <c:pt idx="325">
                  <c:v>9312.75</c:v>
                </c:pt>
                <c:pt idx="326">
                  <c:v>9313.33</c:v>
                </c:pt>
                <c:pt idx="327">
                  <c:v>9313.9</c:v>
                </c:pt>
                <c:pt idx="328">
                  <c:v>9314.48</c:v>
                </c:pt>
                <c:pt idx="329">
                  <c:v>9315.0499999999993</c:v>
                </c:pt>
                <c:pt idx="330">
                  <c:v>9315.6200000000008</c:v>
                </c:pt>
                <c:pt idx="331">
                  <c:v>9316.2000000000007</c:v>
                </c:pt>
                <c:pt idx="332">
                  <c:v>9316.77</c:v>
                </c:pt>
                <c:pt idx="333">
                  <c:v>9317.35</c:v>
                </c:pt>
                <c:pt idx="334">
                  <c:v>9317.92</c:v>
                </c:pt>
                <c:pt idx="335">
                  <c:v>9318.49</c:v>
                </c:pt>
                <c:pt idx="336">
                  <c:v>9319.07</c:v>
                </c:pt>
                <c:pt idx="337">
                  <c:v>9319.64</c:v>
                </c:pt>
                <c:pt idx="338">
                  <c:v>9320.2199999999993</c:v>
                </c:pt>
                <c:pt idx="339">
                  <c:v>9320.7900000000009</c:v>
                </c:pt>
                <c:pt idx="340">
                  <c:v>9321.36</c:v>
                </c:pt>
                <c:pt idx="341">
                  <c:v>9321.94</c:v>
                </c:pt>
                <c:pt idx="342">
                  <c:v>9322.51</c:v>
                </c:pt>
                <c:pt idx="343">
                  <c:v>9323.09</c:v>
                </c:pt>
                <c:pt idx="344">
                  <c:v>9323.66</c:v>
                </c:pt>
                <c:pt idx="345">
                  <c:v>9324.23</c:v>
                </c:pt>
                <c:pt idx="346">
                  <c:v>9324.81</c:v>
                </c:pt>
                <c:pt idx="347">
                  <c:v>9325.3799999999992</c:v>
                </c:pt>
                <c:pt idx="348">
                  <c:v>9325.9599999999991</c:v>
                </c:pt>
                <c:pt idx="349">
                  <c:v>9326.5300000000007</c:v>
                </c:pt>
                <c:pt idx="350">
                  <c:v>9327.1</c:v>
                </c:pt>
                <c:pt idx="351">
                  <c:v>9327.68</c:v>
                </c:pt>
                <c:pt idx="352">
                  <c:v>9328.25</c:v>
                </c:pt>
                <c:pt idx="353">
                  <c:v>9328.83</c:v>
                </c:pt>
                <c:pt idx="354">
                  <c:v>9329.4</c:v>
                </c:pt>
                <c:pt idx="355">
                  <c:v>9329.9699999999993</c:v>
                </c:pt>
                <c:pt idx="356">
                  <c:v>9330.5499999999993</c:v>
                </c:pt>
                <c:pt idx="357">
                  <c:v>9331.1200000000008</c:v>
                </c:pt>
                <c:pt idx="358">
                  <c:v>9331.7000000000007</c:v>
                </c:pt>
                <c:pt idx="359">
                  <c:v>9332.27</c:v>
                </c:pt>
                <c:pt idx="360">
                  <c:v>9332.84</c:v>
                </c:pt>
                <c:pt idx="361">
                  <c:v>9333.42</c:v>
                </c:pt>
                <c:pt idx="362">
                  <c:v>9333.99</c:v>
                </c:pt>
                <c:pt idx="363">
                  <c:v>9334.57</c:v>
                </c:pt>
                <c:pt idx="364">
                  <c:v>9335.14</c:v>
                </c:pt>
                <c:pt idx="365">
                  <c:v>9335.7099999999991</c:v>
                </c:pt>
                <c:pt idx="366">
                  <c:v>9336.2900000000009</c:v>
                </c:pt>
                <c:pt idx="367">
                  <c:v>9336.86</c:v>
                </c:pt>
                <c:pt idx="368">
                  <c:v>9337.44</c:v>
                </c:pt>
                <c:pt idx="369">
                  <c:v>9338.01</c:v>
                </c:pt>
                <c:pt idx="370">
                  <c:v>9338.58</c:v>
                </c:pt>
                <c:pt idx="371">
                  <c:v>9339.16</c:v>
                </c:pt>
                <c:pt idx="372">
                  <c:v>9339.73</c:v>
                </c:pt>
                <c:pt idx="373">
                  <c:v>9340.31</c:v>
                </c:pt>
                <c:pt idx="374">
                  <c:v>9340.8799999999992</c:v>
                </c:pt>
                <c:pt idx="375">
                  <c:v>9341.4500000000007</c:v>
                </c:pt>
                <c:pt idx="376">
                  <c:v>9342.0300000000007</c:v>
                </c:pt>
                <c:pt idx="377">
                  <c:v>9342.6</c:v>
                </c:pt>
                <c:pt idx="378">
                  <c:v>9343.18</c:v>
                </c:pt>
                <c:pt idx="379">
                  <c:v>9345.98</c:v>
                </c:pt>
                <c:pt idx="380">
                  <c:v>9348.7800000000007</c:v>
                </c:pt>
                <c:pt idx="381">
                  <c:v>9351.58</c:v>
                </c:pt>
                <c:pt idx="382">
                  <c:v>9354.3799999999992</c:v>
                </c:pt>
                <c:pt idx="383">
                  <c:v>9357.18</c:v>
                </c:pt>
                <c:pt idx="384">
                  <c:v>9359.98</c:v>
                </c:pt>
                <c:pt idx="385">
                  <c:v>9362.7900000000009</c:v>
                </c:pt>
                <c:pt idx="386">
                  <c:v>9365.59</c:v>
                </c:pt>
                <c:pt idx="387">
                  <c:v>9368.39</c:v>
                </c:pt>
                <c:pt idx="388">
                  <c:v>9371.19</c:v>
                </c:pt>
                <c:pt idx="389">
                  <c:v>9373.99</c:v>
                </c:pt>
                <c:pt idx="390">
                  <c:v>9376.7900000000009</c:v>
                </c:pt>
                <c:pt idx="391">
                  <c:v>9379.59</c:v>
                </c:pt>
                <c:pt idx="392">
                  <c:v>9382.39</c:v>
                </c:pt>
                <c:pt idx="393">
                  <c:v>9385.2000000000007</c:v>
                </c:pt>
                <c:pt idx="394">
                  <c:v>9388</c:v>
                </c:pt>
                <c:pt idx="395">
                  <c:v>9390.7999999999993</c:v>
                </c:pt>
                <c:pt idx="396">
                  <c:v>9393.6</c:v>
                </c:pt>
                <c:pt idx="397">
                  <c:v>9396.4</c:v>
                </c:pt>
                <c:pt idx="398">
                  <c:v>9399.2000000000007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8A-4B4A-A817-2660469B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7439"/>
        <c:axId val="1810940767"/>
      </c:areaChart>
      <c:lineChart>
        <c:grouping val="standard"/>
        <c:varyColors val="0"/>
        <c:ser>
          <c:idx val="5"/>
          <c:order val="4"/>
          <c:tx>
            <c:strRef>
              <c:f>'Fig 9e'!$C$3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 9e'!$C$4:$C$402</c:f>
              <c:numCache>
                <c:formatCode>General</c:formatCode>
                <c:ptCount val="399"/>
                <c:pt idx="0">
                  <c:v>9187.6</c:v>
                </c:pt>
                <c:pt idx="1">
                  <c:v>9212.2199999999993</c:v>
                </c:pt>
                <c:pt idx="2">
                  <c:v>9162.58</c:v>
                </c:pt>
                <c:pt idx="3">
                  <c:v>9281.32</c:v>
                </c:pt>
                <c:pt idx="4">
                  <c:v>9127.51</c:v>
                </c:pt>
                <c:pt idx="5">
                  <c:v>9107.6200000000008</c:v>
                </c:pt>
                <c:pt idx="6">
                  <c:v>9192.7800000000007</c:v>
                </c:pt>
                <c:pt idx="7">
                  <c:v>9182.66</c:v>
                </c:pt>
                <c:pt idx="8">
                  <c:v>9158.7000000000007</c:v>
                </c:pt>
                <c:pt idx="9">
                  <c:v>9235.43</c:v>
                </c:pt>
                <c:pt idx="10">
                  <c:v>9173.93</c:v>
                </c:pt>
                <c:pt idx="11">
                  <c:v>9232.35</c:v>
                </c:pt>
                <c:pt idx="12">
                  <c:v>9308.66</c:v>
                </c:pt>
                <c:pt idx="13">
                  <c:v>9264.0499999999993</c:v>
                </c:pt>
                <c:pt idx="14">
                  <c:v>9213.9699999999993</c:v>
                </c:pt>
                <c:pt idx="15">
                  <c:v>9260.51</c:v>
                </c:pt>
                <c:pt idx="16">
                  <c:v>9181.25</c:v>
                </c:pt>
                <c:pt idx="17">
                  <c:v>9221.48</c:v>
                </c:pt>
                <c:pt idx="18">
                  <c:v>9140.94</c:v>
                </c:pt>
                <c:pt idx="19">
                  <c:v>9114.42</c:v>
                </c:pt>
                <c:pt idx="20">
                  <c:v>9175.2000000000007</c:v>
                </c:pt>
                <c:pt idx="21">
                  <c:v>9133.42</c:v>
                </c:pt>
                <c:pt idx="22">
                  <c:v>9189.7199999999993</c:v>
                </c:pt>
                <c:pt idx="23">
                  <c:v>9282.11</c:v>
                </c:pt>
                <c:pt idx="24">
                  <c:v>9257.35</c:v>
                </c:pt>
                <c:pt idx="25">
                  <c:v>9255.83</c:v>
                </c:pt>
                <c:pt idx="26">
                  <c:v>9208.44</c:v>
                </c:pt>
                <c:pt idx="27">
                  <c:v>9228.64</c:v>
                </c:pt>
                <c:pt idx="28">
                  <c:v>9170.77</c:v>
                </c:pt>
                <c:pt idx="29">
                  <c:v>9230.11</c:v>
                </c:pt>
                <c:pt idx="30">
                  <c:v>9217.66</c:v>
                </c:pt>
                <c:pt idx="31">
                  <c:v>9243.3799999999992</c:v>
                </c:pt>
                <c:pt idx="32">
                  <c:v>9158.4699999999993</c:v>
                </c:pt>
                <c:pt idx="33">
                  <c:v>9035.82</c:v>
                </c:pt>
                <c:pt idx="34">
                  <c:v>9144.41</c:v>
                </c:pt>
                <c:pt idx="35">
                  <c:v>9152.4699999999993</c:v>
                </c:pt>
                <c:pt idx="36">
                  <c:v>9237.42</c:v>
                </c:pt>
                <c:pt idx="37">
                  <c:v>9207.76</c:v>
                </c:pt>
                <c:pt idx="38">
                  <c:v>9260.18</c:v>
                </c:pt>
                <c:pt idx="39">
                  <c:v>9256.9500000000007</c:v>
                </c:pt>
                <c:pt idx="40">
                  <c:v>9267.27</c:v>
                </c:pt>
                <c:pt idx="41">
                  <c:v>9220.16</c:v>
                </c:pt>
                <c:pt idx="42">
                  <c:v>9290.17</c:v>
                </c:pt>
                <c:pt idx="43">
                  <c:v>9260.2099999999991</c:v>
                </c:pt>
                <c:pt idx="44">
                  <c:v>9254.5499999999993</c:v>
                </c:pt>
                <c:pt idx="45">
                  <c:v>9240.4500000000007</c:v>
                </c:pt>
                <c:pt idx="46">
                  <c:v>9222</c:v>
                </c:pt>
                <c:pt idx="47">
                  <c:v>9252.2999999999993</c:v>
                </c:pt>
                <c:pt idx="48">
                  <c:v>9230.98</c:v>
                </c:pt>
                <c:pt idx="49">
                  <c:v>9147.24</c:v>
                </c:pt>
                <c:pt idx="50">
                  <c:v>9179.77</c:v>
                </c:pt>
                <c:pt idx="51">
                  <c:v>9166.2999999999993</c:v>
                </c:pt>
                <c:pt idx="52">
                  <c:v>9223.06</c:v>
                </c:pt>
                <c:pt idx="53">
                  <c:v>9265.0400000000009</c:v>
                </c:pt>
                <c:pt idx="54">
                  <c:v>9275.5499999999993</c:v>
                </c:pt>
                <c:pt idx="55">
                  <c:v>9321.94</c:v>
                </c:pt>
                <c:pt idx="56">
                  <c:v>9204.73</c:v>
                </c:pt>
                <c:pt idx="57">
                  <c:v>9208.39</c:v>
                </c:pt>
                <c:pt idx="58">
                  <c:v>9208.4500000000007</c:v>
                </c:pt>
                <c:pt idx="59">
                  <c:v>9278.18</c:v>
                </c:pt>
                <c:pt idx="60">
                  <c:v>9139.8799999999992</c:v>
                </c:pt>
                <c:pt idx="61">
                  <c:v>9206.68</c:v>
                </c:pt>
                <c:pt idx="62">
                  <c:v>9312.19</c:v>
                </c:pt>
                <c:pt idx="63">
                  <c:v>9311.42</c:v>
                </c:pt>
                <c:pt idx="64">
                  <c:v>9301.4500000000007</c:v>
                </c:pt>
                <c:pt idx="65">
                  <c:v>9242.27</c:v>
                </c:pt>
                <c:pt idx="66">
                  <c:v>9238.76</c:v>
                </c:pt>
                <c:pt idx="67">
                  <c:v>9343.15</c:v>
                </c:pt>
                <c:pt idx="68">
                  <c:v>9278.6</c:v>
                </c:pt>
                <c:pt idx="69">
                  <c:v>9350.67</c:v>
                </c:pt>
                <c:pt idx="70">
                  <c:v>9242.06</c:v>
                </c:pt>
                <c:pt idx="71">
                  <c:v>9249.8700000000008</c:v>
                </c:pt>
                <c:pt idx="72">
                  <c:v>9267.81</c:v>
                </c:pt>
                <c:pt idx="73">
                  <c:v>9307.75</c:v>
                </c:pt>
                <c:pt idx="74">
                  <c:v>9329.0300000000007</c:v>
                </c:pt>
                <c:pt idx="75">
                  <c:v>9341.2000000000007</c:v>
                </c:pt>
                <c:pt idx="76">
                  <c:v>9261.1</c:v>
                </c:pt>
                <c:pt idx="77">
                  <c:v>9231.41</c:v>
                </c:pt>
                <c:pt idx="78">
                  <c:v>9309.35</c:v>
                </c:pt>
                <c:pt idx="79">
                  <c:v>9282.2800000000007</c:v>
                </c:pt>
                <c:pt idx="80">
                  <c:v>9334.41</c:v>
                </c:pt>
                <c:pt idx="81">
                  <c:v>9213.2999999999993</c:v>
                </c:pt>
                <c:pt idx="82">
                  <c:v>9249.0300000000007</c:v>
                </c:pt>
                <c:pt idx="83">
                  <c:v>9321.2900000000009</c:v>
                </c:pt>
                <c:pt idx="84">
                  <c:v>9335.86</c:v>
                </c:pt>
                <c:pt idx="85">
                  <c:v>9350.92</c:v>
                </c:pt>
                <c:pt idx="86">
                  <c:v>9322.3700000000008</c:v>
                </c:pt>
                <c:pt idx="87">
                  <c:v>9324.9</c:v>
                </c:pt>
                <c:pt idx="88">
                  <c:v>9336.3799999999992</c:v>
                </c:pt>
                <c:pt idx="89">
                  <c:v>9246.98</c:v>
                </c:pt>
                <c:pt idx="90">
                  <c:v>9316.48</c:v>
                </c:pt>
                <c:pt idx="91">
                  <c:v>9342.1</c:v>
                </c:pt>
                <c:pt idx="92">
                  <c:v>9272.7199999999993</c:v>
                </c:pt>
                <c:pt idx="93">
                  <c:v>9354.41</c:v>
                </c:pt>
                <c:pt idx="94">
                  <c:v>9333.5300000000007</c:v>
                </c:pt>
                <c:pt idx="95">
                  <c:v>9281.8700000000008</c:v>
                </c:pt>
                <c:pt idx="96">
                  <c:v>9394.94</c:v>
                </c:pt>
                <c:pt idx="97">
                  <c:v>9416.89</c:v>
                </c:pt>
                <c:pt idx="98">
                  <c:v>9315.41</c:v>
                </c:pt>
                <c:pt idx="99">
                  <c:v>9339.27</c:v>
                </c:pt>
                <c:pt idx="100">
                  <c:v>9298.4599999999991</c:v>
                </c:pt>
                <c:pt idx="101">
                  <c:v>9395.9</c:v>
                </c:pt>
                <c:pt idx="102">
                  <c:v>9393.25</c:v>
                </c:pt>
                <c:pt idx="103">
                  <c:v>9367.16</c:v>
                </c:pt>
                <c:pt idx="104">
                  <c:v>9306.09</c:v>
                </c:pt>
                <c:pt idx="105">
                  <c:v>9415.17</c:v>
                </c:pt>
                <c:pt idx="106">
                  <c:v>9256.6299999999992</c:v>
                </c:pt>
                <c:pt idx="107">
                  <c:v>9413.99</c:v>
                </c:pt>
                <c:pt idx="108">
                  <c:v>9451.7800000000007</c:v>
                </c:pt>
                <c:pt idx="109">
                  <c:v>9376.11</c:v>
                </c:pt>
                <c:pt idx="110">
                  <c:v>9332.9599999999991</c:v>
                </c:pt>
                <c:pt idx="111">
                  <c:v>9364.23</c:v>
                </c:pt>
                <c:pt idx="112">
                  <c:v>9326.57</c:v>
                </c:pt>
                <c:pt idx="113">
                  <c:v>9317.59</c:v>
                </c:pt>
                <c:pt idx="114">
                  <c:v>9319.14</c:v>
                </c:pt>
                <c:pt idx="115">
                  <c:v>9391.27</c:v>
                </c:pt>
                <c:pt idx="116">
                  <c:v>9386.92</c:v>
                </c:pt>
                <c:pt idx="117">
                  <c:v>9427.81</c:v>
                </c:pt>
                <c:pt idx="118">
                  <c:v>9403.5300000000007</c:v>
                </c:pt>
                <c:pt idx="119">
                  <c:v>9386.5499999999993</c:v>
                </c:pt>
                <c:pt idx="120">
                  <c:v>9409.3700000000008</c:v>
                </c:pt>
                <c:pt idx="121">
                  <c:v>9427.01</c:v>
                </c:pt>
                <c:pt idx="122">
                  <c:v>9411.11</c:v>
                </c:pt>
                <c:pt idx="123">
                  <c:v>9421.0499999999993</c:v>
                </c:pt>
                <c:pt idx="124">
                  <c:v>9362.17</c:v>
                </c:pt>
                <c:pt idx="125">
                  <c:v>9409.08</c:v>
                </c:pt>
                <c:pt idx="126">
                  <c:v>9386.32</c:v>
                </c:pt>
                <c:pt idx="127">
                  <c:v>9414.74</c:v>
                </c:pt>
                <c:pt idx="128">
                  <c:v>9434.49</c:v>
                </c:pt>
                <c:pt idx="129">
                  <c:v>9467.11</c:v>
                </c:pt>
                <c:pt idx="130">
                  <c:v>9465.73</c:v>
                </c:pt>
                <c:pt idx="131">
                  <c:v>9487.9500000000007</c:v>
                </c:pt>
                <c:pt idx="132">
                  <c:v>9419.77</c:v>
                </c:pt>
                <c:pt idx="133">
                  <c:v>9460.18</c:v>
                </c:pt>
                <c:pt idx="134">
                  <c:v>9474.0499999999993</c:v>
                </c:pt>
                <c:pt idx="135">
                  <c:v>9472.98</c:v>
                </c:pt>
                <c:pt idx="136">
                  <c:v>9485.2099999999991</c:v>
                </c:pt>
                <c:pt idx="137">
                  <c:v>9393.7800000000007</c:v>
                </c:pt>
                <c:pt idx="138">
                  <c:v>9398.26</c:v>
                </c:pt>
                <c:pt idx="139">
                  <c:v>9442.4699999999993</c:v>
                </c:pt>
                <c:pt idx="140">
                  <c:v>9464.69</c:v>
                </c:pt>
                <c:pt idx="141">
                  <c:v>9500.19</c:v>
                </c:pt>
                <c:pt idx="142">
                  <c:v>9375.57</c:v>
                </c:pt>
                <c:pt idx="143">
                  <c:v>9388.7000000000007</c:v>
                </c:pt>
                <c:pt idx="144">
                  <c:v>9445.68</c:v>
                </c:pt>
                <c:pt idx="145">
                  <c:v>9371.33</c:v>
                </c:pt>
                <c:pt idx="146">
                  <c:v>9546.98</c:v>
                </c:pt>
                <c:pt idx="147">
                  <c:v>9379.58</c:v>
                </c:pt>
                <c:pt idx="148">
                  <c:v>9385.56</c:v>
                </c:pt>
                <c:pt idx="149">
                  <c:v>9393.86</c:v>
                </c:pt>
                <c:pt idx="150">
                  <c:v>9364.85</c:v>
                </c:pt>
                <c:pt idx="151">
                  <c:v>9450.92</c:v>
                </c:pt>
                <c:pt idx="152">
                  <c:v>9482.51</c:v>
                </c:pt>
                <c:pt idx="153">
                  <c:v>9466.14</c:v>
                </c:pt>
                <c:pt idx="154">
                  <c:v>9465.49</c:v>
                </c:pt>
                <c:pt idx="155">
                  <c:v>9473.76</c:v>
                </c:pt>
                <c:pt idx="156">
                  <c:v>9460.0400000000009</c:v>
                </c:pt>
                <c:pt idx="157">
                  <c:v>9488.1299999999992</c:v>
                </c:pt>
                <c:pt idx="158">
                  <c:v>9441.61</c:v>
                </c:pt>
                <c:pt idx="159">
                  <c:v>9389.89</c:v>
                </c:pt>
                <c:pt idx="160">
                  <c:v>9331.26</c:v>
                </c:pt>
                <c:pt idx="161">
                  <c:v>9417.83</c:v>
                </c:pt>
                <c:pt idx="162">
                  <c:v>9438.7800000000007</c:v>
                </c:pt>
                <c:pt idx="163">
                  <c:v>9349.82</c:v>
                </c:pt>
                <c:pt idx="164">
                  <c:v>9421.4</c:v>
                </c:pt>
                <c:pt idx="165">
                  <c:v>9370.77</c:v>
                </c:pt>
                <c:pt idx="166">
                  <c:v>9396.39</c:v>
                </c:pt>
                <c:pt idx="167">
                  <c:v>9389.2199999999993</c:v>
                </c:pt>
                <c:pt idx="168">
                  <c:v>9359.81</c:v>
                </c:pt>
                <c:pt idx="169">
                  <c:v>9419.4500000000007</c:v>
                </c:pt>
                <c:pt idx="170">
                  <c:v>9354.67</c:v>
                </c:pt>
                <c:pt idx="171">
                  <c:v>9271.4699999999993</c:v>
                </c:pt>
                <c:pt idx="172">
                  <c:v>9386.5499999999993</c:v>
                </c:pt>
                <c:pt idx="173">
                  <c:v>9359.4699999999993</c:v>
                </c:pt>
                <c:pt idx="174">
                  <c:v>9450.0499999999993</c:v>
                </c:pt>
                <c:pt idx="175">
                  <c:v>9317.14</c:v>
                </c:pt>
                <c:pt idx="176">
                  <c:v>9384.67</c:v>
                </c:pt>
                <c:pt idx="177">
                  <c:v>9354.43</c:v>
                </c:pt>
                <c:pt idx="178">
                  <c:v>9383.5</c:v>
                </c:pt>
                <c:pt idx="179">
                  <c:v>9287.5400000000009</c:v>
                </c:pt>
                <c:pt idx="180">
                  <c:v>9361.23</c:v>
                </c:pt>
                <c:pt idx="181">
                  <c:v>9373.2800000000007</c:v>
                </c:pt>
                <c:pt idx="182">
                  <c:v>9297.73</c:v>
                </c:pt>
                <c:pt idx="183">
                  <c:v>9349.08</c:v>
                </c:pt>
                <c:pt idx="184">
                  <c:v>9305.18</c:v>
                </c:pt>
                <c:pt idx="185">
                  <c:v>9396.15</c:v>
                </c:pt>
                <c:pt idx="186">
                  <c:v>9433.4599999999991</c:v>
                </c:pt>
                <c:pt idx="187">
                  <c:v>9369.52</c:v>
                </c:pt>
                <c:pt idx="188">
                  <c:v>9308.7999999999993</c:v>
                </c:pt>
                <c:pt idx="189">
                  <c:v>9304.76</c:v>
                </c:pt>
                <c:pt idx="190">
                  <c:v>9407.9599999999991</c:v>
                </c:pt>
                <c:pt idx="191">
                  <c:v>9440.44</c:v>
                </c:pt>
                <c:pt idx="192">
                  <c:v>9392.61</c:v>
                </c:pt>
                <c:pt idx="193">
                  <c:v>9414.75</c:v>
                </c:pt>
                <c:pt idx="194">
                  <c:v>9403.43</c:v>
                </c:pt>
                <c:pt idx="195">
                  <c:v>9367.15</c:v>
                </c:pt>
                <c:pt idx="196">
                  <c:v>9384.2900000000009</c:v>
                </c:pt>
                <c:pt idx="197">
                  <c:v>9361.48</c:v>
                </c:pt>
                <c:pt idx="198">
                  <c:v>9294.9599999999991</c:v>
                </c:pt>
                <c:pt idx="199">
                  <c:v>9317.59</c:v>
                </c:pt>
                <c:pt idx="200">
                  <c:v>9414.57</c:v>
                </c:pt>
                <c:pt idx="201">
                  <c:v>9395.86</c:v>
                </c:pt>
                <c:pt idx="202">
                  <c:v>9459.15</c:v>
                </c:pt>
                <c:pt idx="203">
                  <c:v>9391.9599999999991</c:v>
                </c:pt>
                <c:pt idx="204">
                  <c:v>9287.9500000000007</c:v>
                </c:pt>
                <c:pt idx="205">
                  <c:v>9465.92</c:v>
                </c:pt>
                <c:pt idx="206">
                  <c:v>9422.6</c:v>
                </c:pt>
                <c:pt idx="207">
                  <c:v>9364.43</c:v>
                </c:pt>
                <c:pt idx="208">
                  <c:v>9424.5499999999993</c:v>
                </c:pt>
                <c:pt idx="209">
                  <c:v>9487.73</c:v>
                </c:pt>
                <c:pt idx="210">
                  <c:v>9277.56</c:v>
                </c:pt>
                <c:pt idx="211">
                  <c:v>9394.07</c:v>
                </c:pt>
                <c:pt idx="212">
                  <c:v>9404.91</c:v>
                </c:pt>
                <c:pt idx="213">
                  <c:v>9419.15</c:v>
                </c:pt>
                <c:pt idx="214">
                  <c:v>9444</c:v>
                </c:pt>
                <c:pt idx="215">
                  <c:v>9468.2099999999991</c:v>
                </c:pt>
                <c:pt idx="216">
                  <c:v>9385.2199999999993</c:v>
                </c:pt>
                <c:pt idx="217">
                  <c:v>9424.4599999999991</c:v>
                </c:pt>
                <c:pt idx="218">
                  <c:v>9431.06</c:v>
                </c:pt>
                <c:pt idx="219">
                  <c:v>9388.08</c:v>
                </c:pt>
                <c:pt idx="220">
                  <c:v>9376.6</c:v>
                </c:pt>
                <c:pt idx="221">
                  <c:v>9366.33</c:v>
                </c:pt>
                <c:pt idx="222">
                  <c:v>9489.02</c:v>
                </c:pt>
                <c:pt idx="223">
                  <c:v>9480.86</c:v>
                </c:pt>
                <c:pt idx="224">
                  <c:v>9436.93</c:v>
                </c:pt>
                <c:pt idx="225">
                  <c:v>9451.44</c:v>
                </c:pt>
                <c:pt idx="226">
                  <c:v>9491.09</c:v>
                </c:pt>
                <c:pt idx="227">
                  <c:v>9496.94</c:v>
                </c:pt>
                <c:pt idx="228">
                  <c:v>9519.25</c:v>
                </c:pt>
                <c:pt idx="229">
                  <c:v>9544.25</c:v>
                </c:pt>
                <c:pt idx="230">
                  <c:v>9503.69</c:v>
                </c:pt>
                <c:pt idx="231">
                  <c:v>9598.2999999999993</c:v>
                </c:pt>
                <c:pt idx="232">
                  <c:v>9562.39</c:v>
                </c:pt>
                <c:pt idx="233">
                  <c:v>9507.15</c:v>
                </c:pt>
                <c:pt idx="234">
                  <c:v>9590.08</c:v>
                </c:pt>
                <c:pt idx="235">
                  <c:v>9540.8799999999992</c:v>
                </c:pt>
                <c:pt idx="236">
                  <c:v>9597.3799999999992</c:v>
                </c:pt>
                <c:pt idx="237">
                  <c:v>9522.92</c:v>
                </c:pt>
                <c:pt idx="238">
                  <c:v>9431.2000000000007</c:v>
                </c:pt>
                <c:pt idx="239">
                  <c:v>9547.89</c:v>
                </c:pt>
                <c:pt idx="240">
                  <c:v>9598.77</c:v>
                </c:pt>
                <c:pt idx="241">
                  <c:v>9493.56</c:v>
                </c:pt>
                <c:pt idx="242">
                  <c:v>9592.61</c:v>
                </c:pt>
                <c:pt idx="243">
                  <c:v>9576.19</c:v>
                </c:pt>
                <c:pt idx="244">
                  <c:v>9464.82</c:v>
                </c:pt>
                <c:pt idx="245">
                  <c:v>9539.7099999999991</c:v>
                </c:pt>
                <c:pt idx="246">
                  <c:v>9582.93</c:v>
                </c:pt>
                <c:pt idx="247">
                  <c:v>9608.7900000000009</c:v>
                </c:pt>
                <c:pt idx="248">
                  <c:v>9626.11</c:v>
                </c:pt>
                <c:pt idx="249">
                  <c:v>9725.41</c:v>
                </c:pt>
                <c:pt idx="250">
                  <c:v>9567.1299999999992</c:v>
                </c:pt>
                <c:pt idx="251">
                  <c:v>9543.36</c:v>
                </c:pt>
                <c:pt idx="252">
                  <c:v>9600.65</c:v>
                </c:pt>
                <c:pt idx="253">
                  <c:v>9621.82</c:v>
                </c:pt>
                <c:pt idx="254">
                  <c:v>9517.9699999999993</c:v>
                </c:pt>
                <c:pt idx="255">
                  <c:v>9539.58</c:v>
                </c:pt>
                <c:pt idx="256">
                  <c:v>9526.3799999999992</c:v>
                </c:pt>
                <c:pt idx="257">
                  <c:v>9497.43</c:v>
                </c:pt>
                <c:pt idx="258">
                  <c:v>9618.69</c:v>
                </c:pt>
                <c:pt idx="259">
                  <c:v>9662.9599999999991</c:v>
                </c:pt>
                <c:pt idx="260">
                  <c:v>9518.51</c:v>
                </c:pt>
                <c:pt idx="261">
                  <c:v>9578.7000000000007</c:v>
                </c:pt>
                <c:pt idx="262">
                  <c:v>9527.93</c:v>
                </c:pt>
                <c:pt idx="263">
                  <c:v>9668.43</c:v>
                </c:pt>
                <c:pt idx="264">
                  <c:v>9619.76</c:v>
                </c:pt>
                <c:pt idx="265">
                  <c:v>9692.99</c:v>
                </c:pt>
                <c:pt idx="266">
                  <c:v>9663.7199999999993</c:v>
                </c:pt>
                <c:pt idx="267">
                  <c:v>9647.0300000000007</c:v>
                </c:pt>
                <c:pt idx="268">
                  <c:v>9658.93</c:v>
                </c:pt>
                <c:pt idx="269">
                  <c:v>9642.36</c:v>
                </c:pt>
                <c:pt idx="270">
                  <c:v>9624.6299999999992</c:v>
                </c:pt>
                <c:pt idx="271">
                  <c:v>9644.84</c:v>
                </c:pt>
                <c:pt idx="272">
                  <c:v>9588.9500000000007</c:v>
                </c:pt>
                <c:pt idx="273">
                  <c:v>9734.2900000000009</c:v>
                </c:pt>
                <c:pt idx="274">
                  <c:v>9609.76</c:v>
                </c:pt>
                <c:pt idx="275">
                  <c:v>9754.4699999999993</c:v>
                </c:pt>
                <c:pt idx="276">
                  <c:v>9754.43</c:v>
                </c:pt>
                <c:pt idx="277">
                  <c:v>9785.56</c:v>
                </c:pt>
                <c:pt idx="278">
                  <c:v>9652.66</c:v>
                </c:pt>
                <c:pt idx="279">
                  <c:v>9665.01</c:v>
                </c:pt>
                <c:pt idx="280">
                  <c:v>9632.77</c:v>
                </c:pt>
                <c:pt idx="281">
                  <c:v>9731.3799999999992</c:v>
                </c:pt>
                <c:pt idx="282">
                  <c:v>9850.75</c:v>
                </c:pt>
                <c:pt idx="283">
                  <c:v>9711.18</c:v>
                </c:pt>
                <c:pt idx="284">
                  <c:v>9635.25</c:v>
                </c:pt>
                <c:pt idx="285">
                  <c:v>9608.19</c:v>
                </c:pt>
                <c:pt idx="286">
                  <c:v>9681.06</c:v>
                </c:pt>
                <c:pt idx="287">
                  <c:v>9704.1</c:v>
                </c:pt>
                <c:pt idx="288">
                  <c:v>9625.3700000000008</c:v>
                </c:pt>
                <c:pt idx="289">
                  <c:v>9653.7999999999993</c:v>
                </c:pt>
                <c:pt idx="290">
                  <c:v>9573.48</c:v>
                </c:pt>
                <c:pt idx="291">
                  <c:v>9601.0499999999993</c:v>
                </c:pt>
                <c:pt idx="292">
                  <c:v>9692.51</c:v>
                </c:pt>
                <c:pt idx="293">
                  <c:v>9599.06</c:v>
                </c:pt>
                <c:pt idx="294">
                  <c:v>9570.34</c:v>
                </c:pt>
                <c:pt idx="295">
                  <c:v>9602.08</c:v>
                </c:pt>
                <c:pt idx="296">
                  <c:v>9555.59</c:v>
                </c:pt>
                <c:pt idx="297">
                  <c:v>9602.43</c:v>
                </c:pt>
                <c:pt idx="298">
                  <c:v>9503.2800000000007</c:v>
                </c:pt>
                <c:pt idx="299">
                  <c:v>9592.18</c:v>
                </c:pt>
                <c:pt idx="300">
                  <c:v>9589.2999999999993</c:v>
                </c:pt>
                <c:pt idx="301">
                  <c:v>9642.83</c:v>
                </c:pt>
                <c:pt idx="302">
                  <c:v>9452.52</c:v>
                </c:pt>
                <c:pt idx="303">
                  <c:v>9490.24</c:v>
                </c:pt>
                <c:pt idx="304">
                  <c:v>9515.44</c:v>
                </c:pt>
                <c:pt idx="305">
                  <c:v>9435.57</c:v>
                </c:pt>
                <c:pt idx="306">
                  <c:v>9501.1299999999992</c:v>
                </c:pt>
                <c:pt idx="307">
                  <c:v>9441.09</c:v>
                </c:pt>
                <c:pt idx="308">
                  <c:v>9408.35</c:v>
                </c:pt>
                <c:pt idx="309">
                  <c:v>9342.44</c:v>
                </c:pt>
                <c:pt idx="310">
                  <c:v>9420.69</c:v>
                </c:pt>
                <c:pt idx="311">
                  <c:v>9433.2099999999991</c:v>
                </c:pt>
                <c:pt idx="312">
                  <c:v>9344.92</c:v>
                </c:pt>
                <c:pt idx="313">
                  <c:v>9365.4599999999991</c:v>
                </c:pt>
                <c:pt idx="314">
                  <c:v>9476.5400000000009</c:v>
                </c:pt>
                <c:pt idx="315">
                  <c:v>9351.7999999999993</c:v>
                </c:pt>
                <c:pt idx="316">
                  <c:v>9467.9500000000007</c:v>
                </c:pt>
                <c:pt idx="317">
                  <c:v>9353.73</c:v>
                </c:pt>
                <c:pt idx="318">
                  <c:v>9361.6299999999992</c:v>
                </c:pt>
                <c:pt idx="319">
                  <c:v>9419.2999999999993</c:v>
                </c:pt>
                <c:pt idx="320">
                  <c:v>9448.66</c:v>
                </c:pt>
                <c:pt idx="321">
                  <c:v>9394.68</c:v>
                </c:pt>
                <c:pt idx="322">
                  <c:v>9354.77</c:v>
                </c:pt>
                <c:pt idx="323">
                  <c:v>9336.66</c:v>
                </c:pt>
                <c:pt idx="324">
                  <c:v>9281.36</c:v>
                </c:pt>
                <c:pt idx="325">
                  <c:v>9346.32</c:v>
                </c:pt>
                <c:pt idx="326">
                  <c:v>9356.5</c:v>
                </c:pt>
                <c:pt idx="327">
                  <c:v>9324.41</c:v>
                </c:pt>
                <c:pt idx="328">
                  <c:v>9345.6</c:v>
                </c:pt>
                <c:pt idx="329">
                  <c:v>9313.8700000000008</c:v>
                </c:pt>
                <c:pt idx="330">
                  <c:v>9337.09</c:v>
                </c:pt>
                <c:pt idx="331">
                  <c:v>9303.23</c:v>
                </c:pt>
                <c:pt idx="332">
                  <c:v>9356.8799999999992</c:v>
                </c:pt>
                <c:pt idx="333">
                  <c:v>9371</c:v>
                </c:pt>
                <c:pt idx="334">
                  <c:v>9319.4599999999991</c:v>
                </c:pt>
                <c:pt idx="335">
                  <c:v>9370.56</c:v>
                </c:pt>
                <c:pt idx="336">
                  <c:v>9284.59</c:v>
                </c:pt>
                <c:pt idx="337">
                  <c:v>9306.93</c:v>
                </c:pt>
                <c:pt idx="338">
                  <c:v>9431.9</c:v>
                </c:pt>
                <c:pt idx="339">
                  <c:v>9291.2000000000007</c:v>
                </c:pt>
                <c:pt idx="340">
                  <c:v>9364.16</c:v>
                </c:pt>
                <c:pt idx="341">
                  <c:v>9477.85</c:v>
                </c:pt>
                <c:pt idx="342">
                  <c:v>9471.7999999999993</c:v>
                </c:pt>
                <c:pt idx="343">
                  <c:v>9363.57</c:v>
                </c:pt>
                <c:pt idx="344">
                  <c:v>9322.1</c:v>
                </c:pt>
                <c:pt idx="345">
                  <c:v>9296.5</c:v>
                </c:pt>
                <c:pt idx="346">
                  <c:v>9427.2199999999993</c:v>
                </c:pt>
                <c:pt idx="347">
                  <c:v>9327.3799999999992</c:v>
                </c:pt>
                <c:pt idx="348">
                  <c:v>9366.7800000000007</c:v>
                </c:pt>
                <c:pt idx="349">
                  <c:v>9385.85</c:v>
                </c:pt>
                <c:pt idx="350">
                  <c:v>9233.42</c:v>
                </c:pt>
                <c:pt idx="351">
                  <c:v>9370.2099999999991</c:v>
                </c:pt>
                <c:pt idx="352">
                  <c:v>9396.5400000000009</c:v>
                </c:pt>
                <c:pt idx="353">
                  <c:v>9392.77</c:v>
                </c:pt>
                <c:pt idx="354">
                  <c:v>9370.0400000000009</c:v>
                </c:pt>
                <c:pt idx="355">
                  <c:v>9351</c:v>
                </c:pt>
                <c:pt idx="356">
                  <c:v>9348.11</c:v>
                </c:pt>
                <c:pt idx="357">
                  <c:v>9303.9699999999993</c:v>
                </c:pt>
                <c:pt idx="358">
                  <c:v>9378.67</c:v>
                </c:pt>
                <c:pt idx="359">
                  <c:v>9325.52</c:v>
                </c:pt>
                <c:pt idx="360">
                  <c:v>9403.64</c:v>
                </c:pt>
                <c:pt idx="361">
                  <c:v>9343.91</c:v>
                </c:pt>
                <c:pt idx="362">
                  <c:v>9378.8799999999992</c:v>
                </c:pt>
                <c:pt idx="363">
                  <c:v>9371.9699999999993</c:v>
                </c:pt>
                <c:pt idx="364">
                  <c:v>9397.3799999999992</c:v>
                </c:pt>
                <c:pt idx="365">
                  <c:v>9355.0300000000007</c:v>
                </c:pt>
                <c:pt idx="366">
                  <c:v>9376.69</c:v>
                </c:pt>
                <c:pt idx="367">
                  <c:v>9415.7099999999991</c:v>
                </c:pt>
                <c:pt idx="368">
                  <c:v>9351.49</c:v>
                </c:pt>
                <c:pt idx="369">
                  <c:v>9339.3700000000008</c:v>
                </c:pt>
                <c:pt idx="370">
                  <c:v>9338.19</c:v>
                </c:pt>
                <c:pt idx="371">
                  <c:v>9309.5</c:v>
                </c:pt>
                <c:pt idx="372">
                  <c:v>9369.69</c:v>
                </c:pt>
                <c:pt idx="373">
                  <c:v>9430.92</c:v>
                </c:pt>
                <c:pt idx="374">
                  <c:v>9409.94</c:v>
                </c:pt>
                <c:pt idx="375">
                  <c:v>9398.25</c:v>
                </c:pt>
                <c:pt idx="376">
                  <c:v>9364.24</c:v>
                </c:pt>
                <c:pt idx="377">
                  <c:v>9341.48</c:v>
                </c:pt>
                <c:pt idx="378">
                  <c:v>9310.92</c:v>
                </c:pt>
                <c:pt idx="379">
                  <c:v>9333.18</c:v>
                </c:pt>
                <c:pt idx="380">
                  <c:v>9366.08</c:v>
                </c:pt>
                <c:pt idx="381">
                  <c:v>9479.75</c:v>
                </c:pt>
                <c:pt idx="382">
                  <c:v>9368.2000000000007</c:v>
                </c:pt>
                <c:pt idx="383">
                  <c:v>9329.7800000000007</c:v>
                </c:pt>
                <c:pt idx="384">
                  <c:v>9334.2000000000007</c:v>
                </c:pt>
                <c:pt idx="385">
                  <c:v>9408.93</c:v>
                </c:pt>
                <c:pt idx="386">
                  <c:v>9492.7999999999993</c:v>
                </c:pt>
                <c:pt idx="387">
                  <c:v>9455.2999999999993</c:v>
                </c:pt>
                <c:pt idx="388">
                  <c:v>9359.52</c:v>
                </c:pt>
                <c:pt idx="389">
                  <c:v>9510.93</c:v>
                </c:pt>
                <c:pt idx="390">
                  <c:v>9318.7999999999993</c:v>
                </c:pt>
                <c:pt idx="391">
                  <c:v>9419.3799999999992</c:v>
                </c:pt>
                <c:pt idx="392">
                  <c:v>9379.1299999999992</c:v>
                </c:pt>
                <c:pt idx="393">
                  <c:v>9451.2000000000007</c:v>
                </c:pt>
                <c:pt idx="394">
                  <c:v>9453.2900000000009</c:v>
                </c:pt>
                <c:pt idx="395">
                  <c:v>9391.32</c:v>
                </c:pt>
                <c:pt idx="396">
                  <c:v>9368.41</c:v>
                </c:pt>
                <c:pt idx="397">
                  <c:v>9414.19</c:v>
                </c:pt>
                <c:pt idx="398">
                  <c:v>9415.01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8A-4B4A-A817-2660469BA9B1}"/>
            </c:ext>
          </c:extLst>
        </c:ser>
        <c:ser>
          <c:idx val="4"/>
          <c:order val="5"/>
          <c:tx>
            <c:strRef>
              <c:f>'Fig 9e'!$I$2</c:f>
              <c:strCache>
                <c:ptCount val="1"/>
                <c:pt idx="0">
                  <c:v>Envelope</c:v>
                </c:pt>
              </c:strCache>
            </c:strRef>
          </c:tx>
          <c:spPr>
            <a:ln w="1905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 9e'!$I$4:$I$402</c:f>
              <c:numCache>
                <c:formatCode>General</c:formatCode>
                <c:ptCount val="399"/>
                <c:pt idx="0">
                  <c:v>9207.58</c:v>
                </c:pt>
                <c:pt idx="1">
                  <c:v>9206.84</c:v>
                </c:pt>
                <c:pt idx="2">
                  <c:v>9190.9500000000007</c:v>
                </c:pt>
                <c:pt idx="3">
                  <c:v>9180.08</c:v>
                </c:pt>
                <c:pt idx="4">
                  <c:v>9176.66</c:v>
                </c:pt>
                <c:pt idx="5">
                  <c:v>9172.9500000000007</c:v>
                </c:pt>
                <c:pt idx="6">
                  <c:v>9158.19</c:v>
                </c:pt>
                <c:pt idx="7">
                  <c:v>9158.24</c:v>
                </c:pt>
                <c:pt idx="8">
                  <c:v>9158.18</c:v>
                </c:pt>
                <c:pt idx="9">
                  <c:v>9158.0400000000009</c:v>
                </c:pt>
                <c:pt idx="10">
                  <c:v>9157.86</c:v>
                </c:pt>
                <c:pt idx="11">
                  <c:v>9157.5400000000009</c:v>
                </c:pt>
                <c:pt idx="12">
                  <c:v>9157.1</c:v>
                </c:pt>
                <c:pt idx="13">
                  <c:v>9156.68</c:v>
                </c:pt>
                <c:pt idx="14">
                  <c:v>9156.17</c:v>
                </c:pt>
                <c:pt idx="15">
                  <c:v>9155.7199999999993</c:v>
                </c:pt>
                <c:pt idx="16">
                  <c:v>9155.35</c:v>
                </c:pt>
                <c:pt idx="17">
                  <c:v>9155.1299999999992</c:v>
                </c:pt>
                <c:pt idx="18">
                  <c:v>9155.01</c:v>
                </c:pt>
                <c:pt idx="19">
                  <c:v>9154.99</c:v>
                </c:pt>
                <c:pt idx="20">
                  <c:v>9155.02</c:v>
                </c:pt>
                <c:pt idx="21">
                  <c:v>9155.08</c:v>
                </c:pt>
                <c:pt idx="22">
                  <c:v>9155</c:v>
                </c:pt>
                <c:pt idx="23">
                  <c:v>9154.75</c:v>
                </c:pt>
                <c:pt idx="24">
                  <c:v>9154.42</c:v>
                </c:pt>
                <c:pt idx="25">
                  <c:v>9154.01</c:v>
                </c:pt>
                <c:pt idx="26">
                  <c:v>9153.5499999999993</c:v>
                </c:pt>
                <c:pt idx="27">
                  <c:v>9153.2099999999991</c:v>
                </c:pt>
                <c:pt idx="28">
                  <c:v>9152.91</c:v>
                </c:pt>
                <c:pt idx="29">
                  <c:v>9152.64</c:v>
                </c:pt>
                <c:pt idx="30">
                  <c:v>9152.34</c:v>
                </c:pt>
                <c:pt idx="31">
                  <c:v>9152.11</c:v>
                </c:pt>
                <c:pt idx="32">
                  <c:v>9152.0400000000009</c:v>
                </c:pt>
                <c:pt idx="33">
                  <c:v>9152.06</c:v>
                </c:pt>
                <c:pt idx="34">
                  <c:v>9152.15</c:v>
                </c:pt>
                <c:pt idx="35">
                  <c:v>9152.83</c:v>
                </c:pt>
                <c:pt idx="36">
                  <c:v>9153.51</c:v>
                </c:pt>
                <c:pt idx="37">
                  <c:v>9154.2000000000007</c:v>
                </c:pt>
                <c:pt idx="38">
                  <c:v>9154.89</c:v>
                </c:pt>
                <c:pt idx="39">
                  <c:v>9155.58</c:v>
                </c:pt>
                <c:pt idx="40">
                  <c:v>9156.27</c:v>
                </c:pt>
                <c:pt idx="41">
                  <c:v>9156.9699999999993</c:v>
                </c:pt>
                <c:pt idx="42">
                  <c:v>9157.67</c:v>
                </c:pt>
                <c:pt idx="43">
                  <c:v>9158.3799999999992</c:v>
                </c:pt>
                <c:pt idx="44">
                  <c:v>9159.09</c:v>
                </c:pt>
                <c:pt idx="45">
                  <c:v>9159.81</c:v>
                </c:pt>
                <c:pt idx="46">
                  <c:v>9160.5300000000007</c:v>
                </c:pt>
                <c:pt idx="47">
                  <c:v>9161.25</c:v>
                </c:pt>
                <c:pt idx="48">
                  <c:v>9161.99</c:v>
                </c:pt>
                <c:pt idx="49">
                  <c:v>9162.73</c:v>
                </c:pt>
                <c:pt idx="50">
                  <c:v>9163.4699999999993</c:v>
                </c:pt>
                <c:pt idx="51">
                  <c:v>9164.23</c:v>
                </c:pt>
                <c:pt idx="52">
                  <c:v>9164.99</c:v>
                </c:pt>
                <c:pt idx="53">
                  <c:v>9165.76</c:v>
                </c:pt>
                <c:pt idx="54">
                  <c:v>9166.5499999999993</c:v>
                </c:pt>
                <c:pt idx="55">
                  <c:v>9167.34</c:v>
                </c:pt>
                <c:pt idx="56">
                  <c:v>9168.15</c:v>
                </c:pt>
                <c:pt idx="57">
                  <c:v>9168.9599999999991</c:v>
                </c:pt>
                <c:pt idx="58">
                  <c:v>9169.7999999999993</c:v>
                </c:pt>
                <c:pt idx="59">
                  <c:v>9170.65</c:v>
                </c:pt>
                <c:pt idx="60">
                  <c:v>9171.51</c:v>
                </c:pt>
                <c:pt idx="61">
                  <c:v>9172.39</c:v>
                </c:pt>
                <c:pt idx="62">
                  <c:v>9173.2999999999993</c:v>
                </c:pt>
                <c:pt idx="63">
                  <c:v>9174.23</c:v>
                </c:pt>
                <c:pt idx="64">
                  <c:v>9175.18</c:v>
                </c:pt>
                <c:pt idx="65">
                  <c:v>9176.16</c:v>
                </c:pt>
                <c:pt idx="66">
                  <c:v>9177.16</c:v>
                </c:pt>
                <c:pt idx="67">
                  <c:v>9178.2000000000007</c:v>
                </c:pt>
                <c:pt idx="68">
                  <c:v>9179.2800000000007</c:v>
                </c:pt>
                <c:pt idx="69">
                  <c:v>9180.39</c:v>
                </c:pt>
                <c:pt idx="70">
                  <c:v>9181.5400000000009</c:v>
                </c:pt>
                <c:pt idx="71">
                  <c:v>9182.74</c:v>
                </c:pt>
                <c:pt idx="72">
                  <c:v>9183.98</c:v>
                </c:pt>
                <c:pt idx="73">
                  <c:v>9185.2800000000007</c:v>
                </c:pt>
                <c:pt idx="74">
                  <c:v>9186.64</c:v>
                </c:pt>
                <c:pt idx="75">
                  <c:v>9188.06</c:v>
                </c:pt>
                <c:pt idx="76">
                  <c:v>9189.5400000000009</c:v>
                </c:pt>
                <c:pt idx="77">
                  <c:v>9191.1</c:v>
                </c:pt>
                <c:pt idx="78">
                  <c:v>9192.73</c:v>
                </c:pt>
                <c:pt idx="79">
                  <c:v>9194.44</c:v>
                </c:pt>
                <c:pt idx="80">
                  <c:v>9196.24</c:v>
                </c:pt>
                <c:pt idx="81">
                  <c:v>9198.1299999999992</c:v>
                </c:pt>
                <c:pt idx="82">
                  <c:v>9200.1299999999992</c:v>
                </c:pt>
                <c:pt idx="83">
                  <c:v>9202.2199999999993</c:v>
                </c:pt>
                <c:pt idx="84">
                  <c:v>9204.43</c:v>
                </c:pt>
                <c:pt idx="85">
                  <c:v>9206.76</c:v>
                </c:pt>
                <c:pt idx="86">
                  <c:v>9209.2099999999991</c:v>
                </c:pt>
                <c:pt idx="87">
                  <c:v>9211.7900000000009</c:v>
                </c:pt>
                <c:pt idx="88">
                  <c:v>9214.51</c:v>
                </c:pt>
                <c:pt idx="89">
                  <c:v>9217.3700000000008</c:v>
                </c:pt>
                <c:pt idx="90">
                  <c:v>9220.3700000000008</c:v>
                </c:pt>
                <c:pt idx="91">
                  <c:v>9223.5400000000009</c:v>
                </c:pt>
                <c:pt idx="92">
                  <c:v>9226.86</c:v>
                </c:pt>
                <c:pt idx="93">
                  <c:v>9230.34</c:v>
                </c:pt>
                <c:pt idx="94">
                  <c:v>9234</c:v>
                </c:pt>
                <c:pt idx="95">
                  <c:v>9237.83</c:v>
                </c:pt>
                <c:pt idx="96">
                  <c:v>9241.83</c:v>
                </c:pt>
                <c:pt idx="97">
                  <c:v>9246.02</c:v>
                </c:pt>
                <c:pt idx="98">
                  <c:v>9250.3799999999992</c:v>
                </c:pt>
                <c:pt idx="99">
                  <c:v>9254.93</c:v>
                </c:pt>
                <c:pt idx="100">
                  <c:v>9259.67</c:v>
                </c:pt>
                <c:pt idx="101">
                  <c:v>9264.59</c:v>
                </c:pt>
                <c:pt idx="102">
                  <c:v>9269.69</c:v>
                </c:pt>
                <c:pt idx="103">
                  <c:v>9274.98</c:v>
                </c:pt>
                <c:pt idx="104">
                  <c:v>9280.44</c:v>
                </c:pt>
                <c:pt idx="105">
                  <c:v>9286.07</c:v>
                </c:pt>
                <c:pt idx="106">
                  <c:v>9291.8700000000008</c:v>
                </c:pt>
                <c:pt idx="107">
                  <c:v>9297.83</c:v>
                </c:pt>
                <c:pt idx="108">
                  <c:v>9303.94</c:v>
                </c:pt>
                <c:pt idx="109">
                  <c:v>9310.2000000000007</c:v>
                </c:pt>
                <c:pt idx="110">
                  <c:v>9316.59</c:v>
                </c:pt>
                <c:pt idx="111">
                  <c:v>9323.09</c:v>
                </c:pt>
                <c:pt idx="112">
                  <c:v>9329.7000000000007</c:v>
                </c:pt>
                <c:pt idx="113">
                  <c:v>9336.41</c:v>
                </c:pt>
                <c:pt idx="114">
                  <c:v>9343.18</c:v>
                </c:pt>
                <c:pt idx="115">
                  <c:v>9350.01</c:v>
                </c:pt>
                <c:pt idx="116">
                  <c:v>9356.8700000000008</c:v>
                </c:pt>
                <c:pt idx="117">
                  <c:v>9363.75</c:v>
                </c:pt>
                <c:pt idx="118">
                  <c:v>9370.61</c:v>
                </c:pt>
                <c:pt idx="119">
                  <c:v>9377.44</c:v>
                </c:pt>
                <c:pt idx="120">
                  <c:v>9384.2099999999991</c:v>
                </c:pt>
                <c:pt idx="121">
                  <c:v>9390.9</c:v>
                </c:pt>
                <c:pt idx="122">
                  <c:v>9397.4599999999991</c:v>
                </c:pt>
                <c:pt idx="123">
                  <c:v>9403.8799999999992</c:v>
                </c:pt>
                <c:pt idx="124">
                  <c:v>9410.1200000000008</c:v>
                </c:pt>
                <c:pt idx="125">
                  <c:v>9416.15</c:v>
                </c:pt>
                <c:pt idx="126">
                  <c:v>9421.94</c:v>
                </c:pt>
                <c:pt idx="127">
                  <c:v>9427.44</c:v>
                </c:pt>
                <c:pt idx="128">
                  <c:v>9432.64</c:v>
                </c:pt>
                <c:pt idx="129">
                  <c:v>9437.5</c:v>
                </c:pt>
                <c:pt idx="130">
                  <c:v>9441.98</c:v>
                </c:pt>
                <c:pt idx="131">
                  <c:v>9446.0499999999993</c:v>
                </c:pt>
                <c:pt idx="132">
                  <c:v>9449.69</c:v>
                </c:pt>
                <c:pt idx="133">
                  <c:v>9452.8700000000008</c:v>
                </c:pt>
                <c:pt idx="134">
                  <c:v>9455.57</c:v>
                </c:pt>
                <c:pt idx="135">
                  <c:v>9457.76</c:v>
                </c:pt>
                <c:pt idx="136">
                  <c:v>9459.44</c:v>
                </c:pt>
                <c:pt idx="137">
                  <c:v>9460.59</c:v>
                </c:pt>
                <c:pt idx="138">
                  <c:v>9461.2199999999993</c:v>
                </c:pt>
                <c:pt idx="139">
                  <c:v>9461.31</c:v>
                </c:pt>
                <c:pt idx="140">
                  <c:v>9460.8799999999992</c:v>
                </c:pt>
                <c:pt idx="141">
                  <c:v>9459.93</c:v>
                </c:pt>
                <c:pt idx="142">
                  <c:v>9458.49</c:v>
                </c:pt>
                <c:pt idx="143">
                  <c:v>9456.56</c:v>
                </c:pt>
                <c:pt idx="144">
                  <c:v>9454.18</c:v>
                </c:pt>
                <c:pt idx="145">
                  <c:v>9451.3700000000008</c:v>
                </c:pt>
                <c:pt idx="146">
                  <c:v>9448.16</c:v>
                </c:pt>
                <c:pt idx="147">
                  <c:v>9444.58</c:v>
                </c:pt>
                <c:pt idx="148">
                  <c:v>9440.66</c:v>
                </c:pt>
                <c:pt idx="149">
                  <c:v>9436.44</c:v>
                </c:pt>
                <c:pt idx="150">
                  <c:v>9431.94</c:v>
                </c:pt>
                <c:pt idx="151">
                  <c:v>9427.2099999999991</c:v>
                </c:pt>
                <c:pt idx="152">
                  <c:v>9422.27</c:v>
                </c:pt>
                <c:pt idx="153">
                  <c:v>9417.16</c:v>
                </c:pt>
                <c:pt idx="154">
                  <c:v>9411.91</c:v>
                </c:pt>
                <c:pt idx="155">
                  <c:v>9406.5499999999993</c:v>
                </c:pt>
                <c:pt idx="156">
                  <c:v>9401.11</c:v>
                </c:pt>
                <c:pt idx="157">
                  <c:v>9395.61</c:v>
                </c:pt>
                <c:pt idx="158">
                  <c:v>9390.08</c:v>
                </c:pt>
                <c:pt idx="159">
                  <c:v>9384.5499999999993</c:v>
                </c:pt>
                <c:pt idx="160">
                  <c:v>9379.0400000000009</c:v>
                </c:pt>
                <c:pt idx="161">
                  <c:v>9373.57</c:v>
                </c:pt>
                <c:pt idx="162">
                  <c:v>9368.17</c:v>
                </c:pt>
                <c:pt idx="163">
                  <c:v>9362.84</c:v>
                </c:pt>
                <c:pt idx="164">
                  <c:v>9357.6</c:v>
                </c:pt>
                <c:pt idx="165">
                  <c:v>9352.48</c:v>
                </c:pt>
                <c:pt idx="166">
                  <c:v>9347.49</c:v>
                </c:pt>
                <c:pt idx="167">
                  <c:v>9342.6299999999992</c:v>
                </c:pt>
                <c:pt idx="168">
                  <c:v>9337.92</c:v>
                </c:pt>
                <c:pt idx="169">
                  <c:v>9333.3700000000008</c:v>
                </c:pt>
                <c:pt idx="170">
                  <c:v>9328.99</c:v>
                </c:pt>
                <c:pt idx="171">
                  <c:v>9324.7900000000009</c:v>
                </c:pt>
                <c:pt idx="172">
                  <c:v>9320.77</c:v>
                </c:pt>
                <c:pt idx="173">
                  <c:v>9316.93</c:v>
                </c:pt>
                <c:pt idx="174">
                  <c:v>9313.2800000000007</c:v>
                </c:pt>
                <c:pt idx="175">
                  <c:v>9309.83</c:v>
                </c:pt>
                <c:pt idx="176">
                  <c:v>9306.58</c:v>
                </c:pt>
                <c:pt idx="177">
                  <c:v>9303.52</c:v>
                </c:pt>
                <c:pt idx="178">
                  <c:v>9300.66</c:v>
                </c:pt>
                <c:pt idx="179">
                  <c:v>9297.99</c:v>
                </c:pt>
                <c:pt idx="180">
                  <c:v>9295.52</c:v>
                </c:pt>
                <c:pt idx="181">
                  <c:v>9293.25</c:v>
                </c:pt>
                <c:pt idx="182">
                  <c:v>9291.18</c:v>
                </c:pt>
                <c:pt idx="183">
                  <c:v>9289.2999999999993</c:v>
                </c:pt>
                <c:pt idx="184">
                  <c:v>9287.61</c:v>
                </c:pt>
                <c:pt idx="185">
                  <c:v>9286.1200000000008</c:v>
                </c:pt>
                <c:pt idx="186">
                  <c:v>9284.82</c:v>
                </c:pt>
                <c:pt idx="187">
                  <c:v>9283.7000000000007</c:v>
                </c:pt>
                <c:pt idx="188">
                  <c:v>9282.7800000000007</c:v>
                </c:pt>
                <c:pt idx="189">
                  <c:v>9282.0499999999993</c:v>
                </c:pt>
                <c:pt idx="190">
                  <c:v>9281.52</c:v>
                </c:pt>
                <c:pt idx="191">
                  <c:v>9281.18</c:v>
                </c:pt>
                <c:pt idx="192">
                  <c:v>9281.0400000000009</c:v>
                </c:pt>
                <c:pt idx="193">
                  <c:v>9281.11</c:v>
                </c:pt>
                <c:pt idx="194">
                  <c:v>9281.39</c:v>
                </c:pt>
                <c:pt idx="195">
                  <c:v>9281.89</c:v>
                </c:pt>
                <c:pt idx="196">
                  <c:v>9282.61</c:v>
                </c:pt>
                <c:pt idx="197">
                  <c:v>9283.57</c:v>
                </c:pt>
                <c:pt idx="198">
                  <c:v>9284.7800000000007</c:v>
                </c:pt>
                <c:pt idx="199">
                  <c:v>9286.25</c:v>
                </c:pt>
                <c:pt idx="200">
                  <c:v>9287.99</c:v>
                </c:pt>
                <c:pt idx="201">
                  <c:v>9290.02</c:v>
                </c:pt>
                <c:pt idx="202">
                  <c:v>9292.35</c:v>
                </c:pt>
                <c:pt idx="203">
                  <c:v>9294.99</c:v>
                </c:pt>
                <c:pt idx="204">
                  <c:v>9297.9699999999993</c:v>
                </c:pt>
                <c:pt idx="205">
                  <c:v>9301.2999999999993</c:v>
                </c:pt>
                <c:pt idx="206">
                  <c:v>9304.98</c:v>
                </c:pt>
                <c:pt idx="207">
                  <c:v>9309.0499999999993</c:v>
                </c:pt>
                <c:pt idx="208">
                  <c:v>9313.5</c:v>
                </c:pt>
                <c:pt idx="209">
                  <c:v>9318.34</c:v>
                </c:pt>
                <c:pt idx="210">
                  <c:v>9323.59</c:v>
                </c:pt>
                <c:pt idx="211">
                  <c:v>9329.26</c:v>
                </c:pt>
                <c:pt idx="212">
                  <c:v>9335.33</c:v>
                </c:pt>
                <c:pt idx="213">
                  <c:v>9341.82</c:v>
                </c:pt>
                <c:pt idx="214">
                  <c:v>9348.7000000000007</c:v>
                </c:pt>
                <c:pt idx="215">
                  <c:v>9355.99</c:v>
                </c:pt>
                <c:pt idx="216">
                  <c:v>9363.65</c:v>
                </c:pt>
                <c:pt idx="217">
                  <c:v>9371.66</c:v>
                </c:pt>
                <c:pt idx="218">
                  <c:v>9380.01</c:v>
                </c:pt>
                <c:pt idx="219">
                  <c:v>9388.66</c:v>
                </c:pt>
                <c:pt idx="220">
                  <c:v>9397.56</c:v>
                </c:pt>
                <c:pt idx="221">
                  <c:v>9406.69</c:v>
                </c:pt>
                <c:pt idx="222">
                  <c:v>9415.98</c:v>
                </c:pt>
                <c:pt idx="223">
                  <c:v>9425.3799999999992</c:v>
                </c:pt>
                <c:pt idx="224">
                  <c:v>9434.83</c:v>
                </c:pt>
                <c:pt idx="225">
                  <c:v>9444.25</c:v>
                </c:pt>
                <c:pt idx="226">
                  <c:v>9453.59</c:v>
                </c:pt>
                <c:pt idx="227">
                  <c:v>9462.75</c:v>
                </c:pt>
                <c:pt idx="228">
                  <c:v>9471.65</c:v>
                </c:pt>
                <c:pt idx="229">
                  <c:v>9480.2199999999993</c:v>
                </c:pt>
                <c:pt idx="230">
                  <c:v>9488.36</c:v>
                </c:pt>
                <c:pt idx="231">
                  <c:v>9496</c:v>
                </c:pt>
                <c:pt idx="232">
                  <c:v>9503.06</c:v>
                </c:pt>
                <c:pt idx="233">
                  <c:v>9509.49</c:v>
                </c:pt>
                <c:pt idx="234">
                  <c:v>9515.23</c:v>
                </c:pt>
                <c:pt idx="235">
                  <c:v>9520.27</c:v>
                </c:pt>
                <c:pt idx="236">
                  <c:v>9524.6</c:v>
                </c:pt>
                <c:pt idx="237">
                  <c:v>9528.23</c:v>
                </c:pt>
                <c:pt idx="238">
                  <c:v>9531.2099999999991</c:v>
                </c:pt>
                <c:pt idx="239">
                  <c:v>9533.59</c:v>
                </c:pt>
                <c:pt idx="240">
                  <c:v>9535.4500000000007</c:v>
                </c:pt>
                <c:pt idx="241">
                  <c:v>9536.8799999999992</c:v>
                </c:pt>
                <c:pt idx="242">
                  <c:v>9537.98</c:v>
                </c:pt>
                <c:pt idx="243">
                  <c:v>9538.84</c:v>
                </c:pt>
                <c:pt idx="244">
                  <c:v>9539.58</c:v>
                </c:pt>
                <c:pt idx="245">
                  <c:v>9540.2900000000009</c:v>
                </c:pt>
                <c:pt idx="246">
                  <c:v>9541.06</c:v>
                </c:pt>
                <c:pt idx="247">
                  <c:v>9541.99</c:v>
                </c:pt>
                <c:pt idx="248">
                  <c:v>9543.15</c:v>
                </c:pt>
                <c:pt idx="249">
                  <c:v>9544.61</c:v>
                </c:pt>
                <c:pt idx="250">
                  <c:v>9546.43</c:v>
                </c:pt>
                <c:pt idx="251">
                  <c:v>9548.66</c:v>
                </c:pt>
                <c:pt idx="252">
                  <c:v>9551.35</c:v>
                </c:pt>
                <c:pt idx="253">
                  <c:v>9554.51</c:v>
                </c:pt>
                <c:pt idx="254">
                  <c:v>9558.17</c:v>
                </c:pt>
                <c:pt idx="255">
                  <c:v>9562.35</c:v>
                </c:pt>
                <c:pt idx="256">
                  <c:v>9567.0300000000007</c:v>
                </c:pt>
                <c:pt idx="257">
                  <c:v>9572.2099999999991</c:v>
                </c:pt>
                <c:pt idx="258">
                  <c:v>9577.86</c:v>
                </c:pt>
                <c:pt idx="259">
                  <c:v>9583.9599999999991</c:v>
                </c:pt>
                <c:pt idx="260">
                  <c:v>9590.4599999999991</c:v>
                </c:pt>
                <c:pt idx="261">
                  <c:v>9597.33</c:v>
                </c:pt>
                <c:pt idx="262">
                  <c:v>9604.49</c:v>
                </c:pt>
                <c:pt idx="263">
                  <c:v>9611.9</c:v>
                </c:pt>
                <c:pt idx="264">
                  <c:v>9619.4699999999993</c:v>
                </c:pt>
                <c:pt idx="265">
                  <c:v>9627.14</c:v>
                </c:pt>
                <c:pt idx="266">
                  <c:v>9634.81</c:v>
                </c:pt>
                <c:pt idx="267">
                  <c:v>9642.4</c:v>
                </c:pt>
                <c:pt idx="268">
                  <c:v>9649.82</c:v>
                </c:pt>
                <c:pt idx="269">
                  <c:v>9656.9699999999993</c:v>
                </c:pt>
                <c:pt idx="270">
                  <c:v>9663.77</c:v>
                </c:pt>
                <c:pt idx="271">
                  <c:v>9670.11</c:v>
                </c:pt>
                <c:pt idx="272">
                  <c:v>9675.9</c:v>
                </c:pt>
                <c:pt idx="273">
                  <c:v>9681.06</c:v>
                </c:pt>
                <c:pt idx="274">
                  <c:v>9685.49</c:v>
                </c:pt>
                <c:pt idx="275">
                  <c:v>9689.1299999999992</c:v>
                </c:pt>
                <c:pt idx="276">
                  <c:v>9691.92</c:v>
                </c:pt>
                <c:pt idx="277">
                  <c:v>9693.7800000000007</c:v>
                </c:pt>
                <c:pt idx="278">
                  <c:v>9694.7000000000007</c:v>
                </c:pt>
                <c:pt idx="279">
                  <c:v>9694.6200000000008</c:v>
                </c:pt>
                <c:pt idx="280">
                  <c:v>9693.56</c:v>
                </c:pt>
                <c:pt idx="281">
                  <c:v>9691.49</c:v>
                </c:pt>
                <c:pt idx="282">
                  <c:v>9688.4500000000007</c:v>
                </c:pt>
                <c:pt idx="283">
                  <c:v>9684.4599999999991</c:v>
                </c:pt>
                <c:pt idx="284">
                  <c:v>9679.56</c:v>
                </c:pt>
                <c:pt idx="285">
                  <c:v>9673.7900000000009</c:v>
                </c:pt>
                <c:pt idx="286">
                  <c:v>9667.23</c:v>
                </c:pt>
                <c:pt idx="287">
                  <c:v>9659.92</c:v>
                </c:pt>
                <c:pt idx="288">
                  <c:v>9651.9500000000007</c:v>
                </c:pt>
                <c:pt idx="289">
                  <c:v>9643.39</c:v>
                </c:pt>
                <c:pt idx="290">
                  <c:v>9634.2999999999993</c:v>
                </c:pt>
                <c:pt idx="291">
                  <c:v>9624.77</c:v>
                </c:pt>
                <c:pt idx="292">
                  <c:v>9614.86</c:v>
                </c:pt>
                <c:pt idx="293">
                  <c:v>9604.65</c:v>
                </c:pt>
                <c:pt idx="294">
                  <c:v>9594.2000000000007</c:v>
                </c:pt>
                <c:pt idx="295">
                  <c:v>9583.58</c:v>
                </c:pt>
                <c:pt idx="296">
                  <c:v>9572.85</c:v>
                </c:pt>
                <c:pt idx="297">
                  <c:v>9562.08</c:v>
                </c:pt>
                <c:pt idx="298">
                  <c:v>9551.31</c:v>
                </c:pt>
                <c:pt idx="299">
                  <c:v>9540.59</c:v>
                </c:pt>
                <c:pt idx="300">
                  <c:v>9529.98</c:v>
                </c:pt>
                <c:pt idx="301">
                  <c:v>9519.51</c:v>
                </c:pt>
                <c:pt idx="302">
                  <c:v>9509.23</c:v>
                </c:pt>
                <c:pt idx="303">
                  <c:v>9499.17</c:v>
                </c:pt>
                <c:pt idx="304">
                  <c:v>9489.35</c:v>
                </c:pt>
                <c:pt idx="305">
                  <c:v>9479.82</c:v>
                </c:pt>
                <c:pt idx="306">
                  <c:v>9470.58</c:v>
                </c:pt>
                <c:pt idx="307">
                  <c:v>9461.67</c:v>
                </c:pt>
                <c:pt idx="308">
                  <c:v>9453.1</c:v>
                </c:pt>
                <c:pt idx="309">
                  <c:v>9444.8700000000008</c:v>
                </c:pt>
                <c:pt idx="310">
                  <c:v>9437.02</c:v>
                </c:pt>
                <c:pt idx="311">
                  <c:v>9429.5300000000007</c:v>
                </c:pt>
                <c:pt idx="312">
                  <c:v>9422.41</c:v>
                </c:pt>
                <c:pt idx="313">
                  <c:v>9415.67</c:v>
                </c:pt>
                <c:pt idx="314">
                  <c:v>9409.31</c:v>
                </c:pt>
                <c:pt idx="315">
                  <c:v>9403.32</c:v>
                </c:pt>
                <c:pt idx="316">
                  <c:v>9397.69</c:v>
                </c:pt>
                <c:pt idx="317">
                  <c:v>9392.43</c:v>
                </c:pt>
                <c:pt idx="318">
                  <c:v>9387.52</c:v>
                </c:pt>
                <c:pt idx="319">
                  <c:v>9382.9500000000007</c:v>
                </c:pt>
                <c:pt idx="320">
                  <c:v>9378.7099999999991</c:v>
                </c:pt>
                <c:pt idx="321">
                  <c:v>9374.7999999999993</c:v>
                </c:pt>
                <c:pt idx="322">
                  <c:v>9371.19</c:v>
                </c:pt>
                <c:pt idx="323">
                  <c:v>9367.8700000000008</c:v>
                </c:pt>
                <c:pt idx="324">
                  <c:v>9364.83</c:v>
                </c:pt>
                <c:pt idx="325">
                  <c:v>9362.06</c:v>
                </c:pt>
                <c:pt idx="326">
                  <c:v>9359.5300000000007</c:v>
                </c:pt>
                <c:pt idx="327">
                  <c:v>9357.24</c:v>
                </c:pt>
                <c:pt idx="328">
                  <c:v>9355.18</c:v>
                </c:pt>
                <c:pt idx="329">
                  <c:v>9353.32</c:v>
                </c:pt>
                <c:pt idx="330">
                  <c:v>9351.65</c:v>
                </c:pt>
                <c:pt idx="331">
                  <c:v>9350.16</c:v>
                </c:pt>
                <c:pt idx="332">
                  <c:v>9348.84</c:v>
                </c:pt>
                <c:pt idx="333">
                  <c:v>9347.68</c:v>
                </c:pt>
                <c:pt idx="334">
                  <c:v>9346.66</c:v>
                </c:pt>
                <c:pt idx="335">
                  <c:v>9345.77</c:v>
                </c:pt>
                <c:pt idx="336">
                  <c:v>9344.99</c:v>
                </c:pt>
                <c:pt idx="337">
                  <c:v>9344.33</c:v>
                </c:pt>
                <c:pt idx="338">
                  <c:v>9343.77</c:v>
                </c:pt>
                <c:pt idx="339">
                  <c:v>9343.2999999999993</c:v>
                </c:pt>
                <c:pt idx="340">
                  <c:v>9342.92</c:v>
                </c:pt>
                <c:pt idx="341">
                  <c:v>9342.61</c:v>
                </c:pt>
                <c:pt idx="342">
                  <c:v>9342.3700000000008</c:v>
                </c:pt>
                <c:pt idx="343">
                  <c:v>9342.2000000000007</c:v>
                </c:pt>
                <c:pt idx="344">
                  <c:v>9342.08</c:v>
                </c:pt>
                <c:pt idx="345">
                  <c:v>9342.01</c:v>
                </c:pt>
                <c:pt idx="346">
                  <c:v>9341.98</c:v>
                </c:pt>
                <c:pt idx="347">
                  <c:v>9342</c:v>
                </c:pt>
                <c:pt idx="348">
                  <c:v>9342.06</c:v>
                </c:pt>
                <c:pt idx="349">
                  <c:v>9342.15</c:v>
                </c:pt>
                <c:pt idx="350">
                  <c:v>9342.27</c:v>
                </c:pt>
                <c:pt idx="351">
                  <c:v>9342.42</c:v>
                </c:pt>
                <c:pt idx="352">
                  <c:v>9342.6</c:v>
                </c:pt>
                <c:pt idx="353">
                  <c:v>9342.7900000000009</c:v>
                </c:pt>
                <c:pt idx="354">
                  <c:v>9343.01</c:v>
                </c:pt>
                <c:pt idx="355">
                  <c:v>9343.25</c:v>
                </c:pt>
                <c:pt idx="356">
                  <c:v>9343.5</c:v>
                </c:pt>
                <c:pt idx="357">
                  <c:v>9343.77</c:v>
                </c:pt>
                <c:pt idx="358">
                  <c:v>9344.0499999999993</c:v>
                </c:pt>
                <c:pt idx="359">
                  <c:v>9344.35</c:v>
                </c:pt>
                <c:pt idx="360">
                  <c:v>9344.66</c:v>
                </c:pt>
                <c:pt idx="361">
                  <c:v>9344.98</c:v>
                </c:pt>
                <c:pt idx="362">
                  <c:v>9345.31</c:v>
                </c:pt>
                <c:pt idx="363">
                  <c:v>9345.65</c:v>
                </c:pt>
                <c:pt idx="364">
                  <c:v>9345.99</c:v>
                </c:pt>
                <c:pt idx="365">
                  <c:v>9346.35</c:v>
                </c:pt>
                <c:pt idx="366">
                  <c:v>9346.7099999999991</c:v>
                </c:pt>
                <c:pt idx="367">
                  <c:v>9347.08</c:v>
                </c:pt>
                <c:pt idx="368">
                  <c:v>9347.4599999999991</c:v>
                </c:pt>
                <c:pt idx="369">
                  <c:v>9347.84</c:v>
                </c:pt>
                <c:pt idx="370">
                  <c:v>9348.23</c:v>
                </c:pt>
                <c:pt idx="371">
                  <c:v>9348.6299999999992</c:v>
                </c:pt>
                <c:pt idx="372">
                  <c:v>9349.0300000000007</c:v>
                </c:pt>
                <c:pt idx="373">
                  <c:v>9349.43</c:v>
                </c:pt>
                <c:pt idx="374">
                  <c:v>9349.84</c:v>
                </c:pt>
                <c:pt idx="375">
                  <c:v>9350.26</c:v>
                </c:pt>
                <c:pt idx="376">
                  <c:v>9350.68</c:v>
                </c:pt>
                <c:pt idx="377">
                  <c:v>9351.1</c:v>
                </c:pt>
                <c:pt idx="378">
                  <c:v>9351.5300000000007</c:v>
                </c:pt>
                <c:pt idx="379">
                  <c:v>9354.19</c:v>
                </c:pt>
                <c:pt idx="380">
                  <c:v>9356.85</c:v>
                </c:pt>
                <c:pt idx="381">
                  <c:v>9359.52</c:v>
                </c:pt>
                <c:pt idx="382">
                  <c:v>9362.19</c:v>
                </c:pt>
                <c:pt idx="383">
                  <c:v>9364.86</c:v>
                </c:pt>
                <c:pt idx="384">
                  <c:v>9367.5400000000009</c:v>
                </c:pt>
                <c:pt idx="385">
                  <c:v>9370.2099999999991</c:v>
                </c:pt>
                <c:pt idx="386">
                  <c:v>9372.9</c:v>
                </c:pt>
                <c:pt idx="387">
                  <c:v>9375.58</c:v>
                </c:pt>
                <c:pt idx="388">
                  <c:v>9378.27</c:v>
                </c:pt>
                <c:pt idx="389">
                  <c:v>9380.9599999999991</c:v>
                </c:pt>
                <c:pt idx="390">
                  <c:v>9383.66</c:v>
                </c:pt>
                <c:pt idx="391">
                  <c:v>9386.35</c:v>
                </c:pt>
                <c:pt idx="392">
                  <c:v>9389.0499999999993</c:v>
                </c:pt>
                <c:pt idx="393">
                  <c:v>9391.75</c:v>
                </c:pt>
                <c:pt idx="394">
                  <c:v>9394.4500000000007</c:v>
                </c:pt>
                <c:pt idx="395">
                  <c:v>9397.16</c:v>
                </c:pt>
                <c:pt idx="396">
                  <c:v>9399.8700000000008</c:v>
                </c:pt>
                <c:pt idx="397">
                  <c:v>9402.58</c:v>
                </c:pt>
                <c:pt idx="398">
                  <c:v>9405.2900000000009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8A-4B4A-A817-2660469B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810940767"/>
        <c:scaling>
          <c:orientation val="minMax"/>
          <c:min val="91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areaChart>
        <c:grouping val="standard"/>
        <c:varyColors val="0"/>
        <c:ser>
          <c:idx val="0"/>
          <c:order val="0"/>
          <c:tx>
            <c:strRef>
              <c:f>'Fig 9f'!$F$2</c:f>
              <c:strCache>
                <c:ptCount val="1"/>
                <c:pt idx="0">
                  <c:v>Pb4f7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  <a:alpha val="0"/>
                  </a:schemeClr>
                </a:gs>
                <a:gs pos="100000">
                  <a:srgbClr val="4EA72D"/>
                </a:gs>
              </a:gsLst>
              <a:lin ang="16200000" scaled="1"/>
              <a:tileRect/>
            </a:gradFill>
            <a:ln>
              <a:noFill/>
            </a:ln>
            <a:effectLst>
              <a:softEdge rad="0"/>
            </a:effectLst>
          </c:spPr>
          <c:cat>
            <c:numRef>
              <c:f>'Fig 9f'!$A$4:$A$262</c:f>
              <c:numCache>
                <c:formatCode>General</c:formatCode>
                <c:ptCount val="259"/>
                <c:pt idx="0">
                  <c:v>150</c:v>
                </c:pt>
                <c:pt idx="1">
                  <c:v>149.9</c:v>
                </c:pt>
                <c:pt idx="2">
                  <c:v>149.80000000000001</c:v>
                </c:pt>
                <c:pt idx="3">
                  <c:v>149.69999999999999</c:v>
                </c:pt>
                <c:pt idx="4">
                  <c:v>149.6</c:v>
                </c:pt>
                <c:pt idx="5">
                  <c:v>149.5</c:v>
                </c:pt>
                <c:pt idx="6">
                  <c:v>149.4</c:v>
                </c:pt>
                <c:pt idx="7">
                  <c:v>149.30000000000001</c:v>
                </c:pt>
                <c:pt idx="8">
                  <c:v>149.19999999999999</c:v>
                </c:pt>
                <c:pt idx="9">
                  <c:v>149.1</c:v>
                </c:pt>
                <c:pt idx="10">
                  <c:v>149</c:v>
                </c:pt>
                <c:pt idx="11">
                  <c:v>148.9</c:v>
                </c:pt>
                <c:pt idx="12">
                  <c:v>148.80000000000001</c:v>
                </c:pt>
                <c:pt idx="13">
                  <c:v>148.69999999999999</c:v>
                </c:pt>
                <c:pt idx="14">
                  <c:v>148.6</c:v>
                </c:pt>
                <c:pt idx="15">
                  <c:v>148.5</c:v>
                </c:pt>
                <c:pt idx="16">
                  <c:v>148.4</c:v>
                </c:pt>
                <c:pt idx="17">
                  <c:v>148.30000000000001</c:v>
                </c:pt>
                <c:pt idx="18">
                  <c:v>148.19999999999999</c:v>
                </c:pt>
                <c:pt idx="19">
                  <c:v>148.1</c:v>
                </c:pt>
                <c:pt idx="20">
                  <c:v>148</c:v>
                </c:pt>
                <c:pt idx="21">
                  <c:v>147.9</c:v>
                </c:pt>
                <c:pt idx="22">
                  <c:v>147.80000000000001</c:v>
                </c:pt>
                <c:pt idx="23">
                  <c:v>147.69999999999999</c:v>
                </c:pt>
                <c:pt idx="24">
                  <c:v>147.6</c:v>
                </c:pt>
                <c:pt idx="25">
                  <c:v>147.5</c:v>
                </c:pt>
                <c:pt idx="26">
                  <c:v>147.4</c:v>
                </c:pt>
                <c:pt idx="27">
                  <c:v>147.30000000000001</c:v>
                </c:pt>
                <c:pt idx="28">
                  <c:v>147.19999999999999</c:v>
                </c:pt>
                <c:pt idx="29">
                  <c:v>147.1</c:v>
                </c:pt>
                <c:pt idx="30">
                  <c:v>147</c:v>
                </c:pt>
                <c:pt idx="31">
                  <c:v>146.9</c:v>
                </c:pt>
                <c:pt idx="32">
                  <c:v>146.80000000000001</c:v>
                </c:pt>
                <c:pt idx="33">
                  <c:v>146.69999999999999</c:v>
                </c:pt>
                <c:pt idx="34">
                  <c:v>146.6</c:v>
                </c:pt>
                <c:pt idx="35">
                  <c:v>146.5</c:v>
                </c:pt>
                <c:pt idx="36">
                  <c:v>146.4</c:v>
                </c:pt>
                <c:pt idx="37">
                  <c:v>146.30000000000001</c:v>
                </c:pt>
                <c:pt idx="38">
                  <c:v>146.19999999999999</c:v>
                </c:pt>
                <c:pt idx="39">
                  <c:v>146.1</c:v>
                </c:pt>
                <c:pt idx="40">
                  <c:v>146</c:v>
                </c:pt>
                <c:pt idx="41">
                  <c:v>145.9</c:v>
                </c:pt>
                <c:pt idx="42">
                  <c:v>145.80000000000001</c:v>
                </c:pt>
                <c:pt idx="43">
                  <c:v>145.69999999999999</c:v>
                </c:pt>
                <c:pt idx="44">
                  <c:v>145.6</c:v>
                </c:pt>
                <c:pt idx="45">
                  <c:v>145.5</c:v>
                </c:pt>
                <c:pt idx="46">
                  <c:v>145.4</c:v>
                </c:pt>
                <c:pt idx="47">
                  <c:v>145.30000000000001</c:v>
                </c:pt>
                <c:pt idx="48">
                  <c:v>145.19999999999999</c:v>
                </c:pt>
                <c:pt idx="49">
                  <c:v>145.1</c:v>
                </c:pt>
                <c:pt idx="50">
                  <c:v>145</c:v>
                </c:pt>
                <c:pt idx="51">
                  <c:v>144.9</c:v>
                </c:pt>
                <c:pt idx="52">
                  <c:v>144.80000000000001</c:v>
                </c:pt>
                <c:pt idx="53">
                  <c:v>144.69999999999999</c:v>
                </c:pt>
                <c:pt idx="54">
                  <c:v>144.6</c:v>
                </c:pt>
                <c:pt idx="55">
                  <c:v>144.5</c:v>
                </c:pt>
                <c:pt idx="56">
                  <c:v>144.4</c:v>
                </c:pt>
                <c:pt idx="57">
                  <c:v>144.30000000000001</c:v>
                </c:pt>
                <c:pt idx="58">
                  <c:v>144.19999999999999</c:v>
                </c:pt>
                <c:pt idx="59">
                  <c:v>144.1</c:v>
                </c:pt>
                <c:pt idx="60">
                  <c:v>144</c:v>
                </c:pt>
                <c:pt idx="61">
                  <c:v>143.9</c:v>
                </c:pt>
                <c:pt idx="62">
                  <c:v>143.80000000000001</c:v>
                </c:pt>
                <c:pt idx="63">
                  <c:v>143.69999999999999</c:v>
                </c:pt>
                <c:pt idx="64">
                  <c:v>143.6</c:v>
                </c:pt>
                <c:pt idx="65">
                  <c:v>143.5</c:v>
                </c:pt>
                <c:pt idx="66">
                  <c:v>143.4</c:v>
                </c:pt>
                <c:pt idx="67">
                  <c:v>143.30000000000001</c:v>
                </c:pt>
                <c:pt idx="68">
                  <c:v>143.19999999999999</c:v>
                </c:pt>
                <c:pt idx="69">
                  <c:v>143.1</c:v>
                </c:pt>
                <c:pt idx="70">
                  <c:v>143</c:v>
                </c:pt>
                <c:pt idx="71">
                  <c:v>142.9</c:v>
                </c:pt>
                <c:pt idx="72">
                  <c:v>142.80000000000001</c:v>
                </c:pt>
                <c:pt idx="73">
                  <c:v>142.69999999999999</c:v>
                </c:pt>
                <c:pt idx="74">
                  <c:v>142.6</c:v>
                </c:pt>
                <c:pt idx="75">
                  <c:v>142.5</c:v>
                </c:pt>
                <c:pt idx="76">
                  <c:v>142.4</c:v>
                </c:pt>
                <c:pt idx="77">
                  <c:v>142.30000000000001</c:v>
                </c:pt>
                <c:pt idx="78">
                  <c:v>142.19999999999999</c:v>
                </c:pt>
                <c:pt idx="79">
                  <c:v>142.1</c:v>
                </c:pt>
                <c:pt idx="80">
                  <c:v>142</c:v>
                </c:pt>
                <c:pt idx="81">
                  <c:v>141.9</c:v>
                </c:pt>
                <c:pt idx="82">
                  <c:v>141.80000000000001</c:v>
                </c:pt>
                <c:pt idx="83">
                  <c:v>141.69999999999999</c:v>
                </c:pt>
                <c:pt idx="84">
                  <c:v>141.6</c:v>
                </c:pt>
                <c:pt idx="85">
                  <c:v>141.5</c:v>
                </c:pt>
                <c:pt idx="86">
                  <c:v>141.4</c:v>
                </c:pt>
                <c:pt idx="87">
                  <c:v>141.30000000000001</c:v>
                </c:pt>
                <c:pt idx="88">
                  <c:v>141.19999999999999</c:v>
                </c:pt>
                <c:pt idx="89">
                  <c:v>141.1</c:v>
                </c:pt>
                <c:pt idx="90">
                  <c:v>141</c:v>
                </c:pt>
                <c:pt idx="91">
                  <c:v>140.9</c:v>
                </c:pt>
                <c:pt idx="92">
                  <c:v>140.80000000000001</c:v>
                </c:pt>
                <c:pt idx="93">
                  <c:v>140.69999999999999</c:v>
                </c:pt>
                <c:pt idx="94">
                  <c:v>140.6</c:v>
                </c:pt>
                <c:pt idx="95">
                  <c:v>140.5</c:v>
                </c:pt>
                <c:pt idx="96">
                  <c:v>140.4</c:v>
                </c:pt>
                <c:pt idx="97">
                  <c:v>140.30000000000001</c:v>
                </c:pt>
                <c:pt idx="98">
                  <c:v>140.19999999999999</c:v>
                </c:pt>
                <c:pt idx="99">
                  <c:v>140.1</c:v>
                </c:pt>
                <c:pt idx="100">
                  <c:v>140</c:v>
                </c:pt>
                <c:pt idx="101">
                  <c:v>139.9</c:v>
                </c:pt>
                <c:pt idx="102">
                  <c:v>139.80000000000001</c:v>
                </c:pt>
                <c:pt idx="103">
                  <c:v>139.69999999999999</c:v>
                </c:pt>
                <c:pt idx="104">
                  <c:v>139.6</c:v>
                </c:pt>
                <c:pt idx="105">
                  <c:v>139.5</c:v>
                </c:pt>
                <c:pt idx="106">
                  <c:v>139.4</c:v>
                </c:pt>
                <c:pt idx="107">
                  <c:v>139.30000000000001</c:v>
                </c:pt>
                <c:pt idx="108">
                  <c:v>139.19999999999999</c:v>
                </c:pt>
                <c:pt idx="109">
                  <c:v>139.1</c:v>
                </c:pt>
                <c:pt idx="110">
                  <c:v>139</c:v>
                </c:pt>
                <c:pt idx="111">
                  <c:v>138.9</c:v>
                </c:pt>
                <c:pt idx="112">
                  <c:v>138.80000000000001</c:v>
                </c:pt>
                <c:pt idx="113">
                  <c:v>138.69999999999999</c:v>
                </c:pt>
                <c:pt idx="114">
                  <c:v>138.6</c:v>
                </c:pt>
                <c:pt idx="115">
                  <c:v>138.5</c:v>
                </c:pt>
                <c:pt idx="116">
                  <c:v>138.4</c:v>
                </c:pt>
                <c:pt idx="117">
                  <c:v>138.30000000000001</c:v>
                </c:pt>
                <c:pt idx="118">
                  <c:v>138.19999999999999</c:v>
                </c:pt>
                <c:pt idx="119">
                  <c:v>138.1</c:v>
                </c:pt>
                <c:pt idx="120">
                  <c:v>138</c:v>
                </c:pt>
                <c:pt idx="121">
                  <c:v>137.9</c:v>
                </c:pt>
                <c:pt idx="122">
                  <c:v>137.80000000000001</c:v>
                </c:pt>
                <c:pt idx="123">
                  <c:v>137.69999999999999</c:v>
                </c:pt>
                <c:pt idx="124">
                  <c:v>137.6</c:v>
                </c:pt>
                <c:pt idx="125">
                  <c:v>137.5</c:v>
                </c:pt>
                <c:pt idx="126">
                  <c:v>137.4</c:v>
                </c:pt>
                <c:pt idx="127">
                  <c:v>137.30000000000001</c:v>
                </c:pt>
                <c:pt idx="128">
                  <c:v>137.19999999999999</c:v>
                </c:pt>
                <c:pt idx="129">
                  <c:v>137.1</c:v>
                </c:pt>
                <c:pt idx="130">
                  <c:v>137</c:v>
                </c:pt>
                <c:pt idx="131">
                  <c:v>136.9</c:v>
                </c:pt>
                <c:pt idx="132">
                  <c:v>136.80000000000001</c:v>
                </c:pt>
                <c:pt idx="133">
                  <c:v>136.69999999999999</c:v>
                </c:pt>
                <c:pt idx="134">
                  <c:v>136.6</c:v>
                </c:pt>
                <c:pt idx="135">
                  <c:v>136.5</c:v>
                </c:pt>
                <c:pt idx="136">
                  <c:v>136.4</c:v>
                </c:pt>
                <c:pt idx="137">
                  <c:v>136.30000000000001</c:v>
                </c:pt>
                <c:pt idx="138">
                  <c:v>136.19999999999999</c:v>
                </c:pt>
                <c:pt idx="139">
                  <c:v>136.1</c:v>
                </c:pt>
                <c:pt idx="140">
                  <c:v>136</c:v>
                </c:pt>
                <c:pt idx="141">
                  <c:v>135.9</c:v>
                </c:pt>
                <c:pt idx="142">
                  <c:v>135.80000000000001</c:v>
                </c:pt>
                <c:pt idx="143">
                  <c:v>135.69999999999999</c:v>
                </c:pt>
                <c:pt idx="144">
                  <c:v>135.6</c:v>
                </c:pt>
                <c:pt idx="145">
                  <c:v>135.5</c:v>
                </c:pt>
                <c:pt idx="146">
                  <c:v>135.4</c:v>
                </c:pt>
                <c:pt idx="147">
                  <c:v>135.30000000000001</c:v>
                </c:pt>
                <c:pt idx="148">
                  <c:v>135.19999999999999</c:v>
                </c:pt>
                <c:pt idx="149">
                  <c:v>135.1</c:v>
                </c:pt>
                <c:pt idx="150">
                  <c:v>135</c:v>
                </c:pt>
                <c:pt idx="151">
                  <c:v>134.9</c:v>
                </c:pt>
                <c:pt idx="152">
                  <c:v>134.80000000000001</c:v>
                </c:pt>
                <c:pt idx="153">
                  <c:v>134.69999999999999</c:v>
                </c:pt>
                <c:pt idx="154">
                  <c:v>134.6</c:v>
                </c:pt>
                <c:pt idx="155">
                  <c:v>134.5</c:v>
                </c:pt>
                <c:pt idx="156">
                  <c:v>134.4</c:v>
                </c:pt>
                <c:pt idx="157">
                  <c:v>134.30000000000001</c:v>
                </c:pt>
                <c:pt idx="158">
                  <c:v>134.19999999999999</c:v>
                </c:pt>
                <c:pt idx="159">
                  <c:v>134.1</c:v>
                </c:pt>
                <c:pt idx="160">
                  <c:v>134</c:v>
                </c:pt>
                <c:pt idx="161">
                  <c:v>133.9</c:v>
                </c:pt>
                <c:pt idx="162">
                  <c:v>133.80000000000001</c:v>
                </c:pt>
                <c:pt idx="163">
                  <c:v>133.69999999999999</c:v>
                </c:pt>
                <c:pt idx="164">
                  <c:v>133.6</c:v>
                </c:pt>
                <c:pt idx="165">
                  <c:v>133.5</c:v>
                </c:pt>
                <c:pt idx="166">
                  <c:v>133.4</c:v>
                </c:pt>
                <c:pt idx="167">
                  <c:v>133.30000000000001</c:v>
                </c:pt>
                <c:pt idx="168">
                  <c:v>133.19999999999999</c:v>
                </c:pt>
                <c:pt idx="169">
                  <c:v>133.1</c:v>
                </c:pt>
                <c:pt idx="170">
                  <c:v>133</c:v>
                </c:pt>
                <c:pt idx="171">
                  <c:v>132.9</c:v>
                </c:pt>
                <c:pt idx="172">
                  <c:v>132.80000000000001</c:v>
                </c:pt>
                <c:pt idx="173">
                  <c:v>132.69999999999999</c:v>
                </c:pt>
                <c:pt idx="174">
                  <c:v>132.6</c:v>
                </c:pt>
                <c:pt idx="175">
                  <c:v>132.5</c:v>
                </c:pt>
                <c:pt idx="176">
                  <c:v>132.4</c:v>
                </c:pt>
                <c:pt idx="177">
                  <c:v>132.30000000000001</c:v>
                </c:pt>
                <c:pt idx="178">
                  <c:v>132.19999999999999</c:v>
                </c:pt>
                <c:pt idx="179">
                  <c:v>132.1</c:v>
                </c:pt>
                <c:pt idx="180">
                  <c:v>132</c:v>
                </c:pt>
                <c:pt idx="181">
                  <c:v>131.9</c:v>
                </c:pt>
                <c:pt idx="182">
                  <c:v>131.80000000000001</c:v>
                </c:pt>
                <c:pt idx="183">
                  <c:v>131.69999999999999</c:v>
                </c:pt>
                <c:pt idx="184">
                  <c:v>131.6</c:v>
                </c:pt>
                <c:pt idx="185">
                  <c:v>131.5</c:v>
                </c:pt>
                <c:pt idx="186">
                  <c:v>131.4</c:v>
                </c:pt>
                <c:pt idx="187">
                  <c:v>131.30000000000001</c:v>
                </c:pt>
                <c:pt idx="188">
                  <c:v>131.19999999999999</c:v>
                </c:pt>
                <c:pt idx="189">
                  <c:v>131.1</c:v>
                </c:pt>
                <c:pt idx="190">
                  <c:v>131</c:v>
                </c:pt>
                <c:pt idx="191">
                  <c:v>130.9</c:v>
                </c:pt>
                <c:pt idx="192">
                  <c:v>130.80000000000001</c:v>
                </c:pt>
                <c:pt idx="193">
                  <c:v>130.69999999999999</c:v>
                </c:pt>
                <c:pt idx="194">
                  <c:v>130.6</c:v>
                </c:pt>
                <c:pt idx="195">
                  <c:v>130.5</c:v>
                </c:pt>
                <c:pt idx="196">
                  <c:v>130.4</c:v>
                </c:pt>
                <c:pt idx="197">
                  <c:v>130.30000000000001</c:v>
                </c:pt>
                <c:pt idx="198">
                  <c:v>130.19999999999999</c:v>
                </c:pt>
                <c:pt idx="199">
                  <c:v>130.1</c:v>
                </c:pt>
                <c:pt idx="200">
                  <c:v>130</c:v>
                </c:pt>
                <c:pt idx="201">
                  <c:v>129.9</c:v>
                </c:pt>
                <c:pt idx="202">
                  <c:v>129.80000000000001</c:v>
                </c:pt>
                <c:pt idx="203">
                  <c:v>129.69999999999999</c:v>
                </c:pt>
                <c:pt idx="204">
                  <c:v>129.6</c:v>
                </c:pt>
                <c:pt idx="205">
                  <c:v>129.5</c:v>
                </c:pt>
                <c:pt idx="206">
                  <c:v>129.4</c:v>
                </c:pt>
                <c:pt idx="207">
                  <c:v>129.30000000000001</c:v>
                </c:pt>
                <c:pt idx="208">
                  <c:v>129.19999999999999</c:v>
                </c:pt>
                <c:pt idx="209">
                  <c:v>129.1</c:v>
                </c:pt>
                <c:pt idx="210">
                  <c:v>129</c:v>
                </c:pt>
                <c:pt idx="211">
                  <c:v>128.9</c:v>
                </c:pt>
                <c:pt idx="212">
                  <c:v>128.80000000000001</c:v>
                </c:pt>
                <c:pt idx="213">
                  <c:v>128.69999999999999</c:v>
                </c:pt>
                <c:pt idx="214">
                  <c:v>128.6</c:v>
                </c:pt>
                <c:pt idx="215">
                  <c:v>128.5</c:v>
                </c:pt>
                <c:pt idx="216">
                  <c:v>128.4</c:v>
                </c:pt>
                <c:pt idx="217">
                  <c:v>128.30000000000001</c:v>
                </c:pt>
                <c:pt idx="218">
                  <c:v>128.19999999999999</c:v>
                </c:pt>
                <c:pt idx="219">
                  <c:v>128.1</c:v>
                </c:pt>
                <c:pt idx="220">
                  <c:v>128</c:v>
                </c:pt>
                <c:pt idx="221">
                  <c:v>127.9</c:v>
                </c:pt>
                <c:pt idx="222">
                  <c:v>127.8</c:v>
                </c:pt>
                <c:pt idx="223">
                  <c:v>127.7</c:v>
                </c:pt>
                <c:pt idx="224">
                  <c:v>127.6</c:v>
                </c:pt>
                <c:pt idx="225">
                  <c:v>127.5</c:v>
                </c:pt>
                <c:pt idx="226">
                  <c:v>127.4</c:v>
                </c:pt>
                <c:pt idx="227">
                  <c:v>127.3</c:v>
                </c:pt>
                <c:pt idx="228">
                  <c:v>127.2</c:v>
                </c:pt>
                <c:pt idx="229">
                  <c:v>127.1</c:v>
                </c:pt>
                <c:pt idx="230">
                  <c:v>127</c:v>
                </c:pt>
                <c:pt idx="231">
                  <c:v>126.9</c:v>
                </c:pt>
                <c:pt idx="232">
                  <c:v>126.8</c:v>
                </c:pt>
                <c:pt idx="233">
                  <c:v>126.7</c:v>
                </c:pt>
                <c:pt idx="234">
                  <c:v>126.6</c:v>
                </c:pt>
                <c:pt idx="235">
                  <c:v>126.5</c:v>
                </c:pt>
                <c:pt idx="236">
                  <c:v>126.4</c:v>
                </c:pt>
                <c:pt idx="237">
                  <c:v>126.3</c:v>
                </c:pt>
                <c:pt idx="238">
                  <c:v>126.2</c:v>
                </c:pt>
                <c:pt idx="239">
                  <c:v>126.1</c:v>
                </c:pt>
                <c:pt idx="240">
                  <c:v>126</c:v>
                </c:pt>
                <c:pt idx="241">
                  <c:v>125.9</c:v>
                </c:pt>
                <c:pt idx="242">
                  <c:v>125.8</c:v>
                </c:pt>
                <c:pt idx="243">
                  <c:v>125.7</c:v>
                </c:pt>
                <c:pt idx="244">
                  <c:v>125.6</c:v>
                </c:pt>
                <c:pt idx="245">
                  <c:v>125.5</c:v>
                </c:pt>
                <c:pt idx="246">
                  <c:v>125.4</c:v>
                </c:pt>
                <c:pt idx="247">
                  <c:v>125.3</c:v>
                </c:pt>
                <c:pt idx="248">
                  <c:v>125.2</c:v>
                </c:pt>
                <c:pt idx="249">
                  <c:v>125.1</c:v>
                </c:pt>
                <c:pt idx="250">
                  <c:v>125</c:v>
                </c:pt>
                <c:pt idx="251">
                  <c:v>124.9</c:v>
                </c:pt>
                <c:pt idx="252">
                  <c:v>124.8</c:v>
                </c:pt>
                <c:pt idx="253">
                  <c:v>124.7</c:v>
                </c:pt>
                <c:pt idx="254">
                  <c:v>124.6</c:v>
                </c:pt>
                <c:pt idx="255">
                  <c:v>124.5</c:v>
                </c:pt>
                <c:pt idx="256">
                  <c:v>124.4</c:v>
                </c:pt>
                <c:pt idx="257">
                  <c:v>124.3</c:v>
                </c:pt>
                <c:pt idx="258">
                  <c:v>124.2</c:v>
                </c:pt>
              </c:numCache>
            </c:numRef>
          </c:cat>
          <c:val>
            <c:numRef>
              <c:f>'Fig 9f'!$F$4:$F$262</c:f>
              <c:numCache>
                <c:formatCode>General</c:formatCode>
                <c:ptCount val="259"/>
                <c:pt idx="0">
                  <c:v>2093.67</c:v>
                </c:pt>
                <c:pt idx="1">
                  <c:v>2092.71</c:v>
                </c:pt>
                <c:pt idx="2">
                  <c:v>2069.41</c:v>
                </c:pt>
                <c:pt idx="3">
                  <c:v>2055.9699999999998</c:v>
                </c:pt>
                <c:pt idx="4">
                  <c:v>2055.31</c:v>
                </c:pt>
                <c:pt idx="5">
                  <c:v>2048.69</c:v>
                </c:pt>
                <c:pt idx="6">
                  <c:v>2037.34</c:v>
                </c:pt>
                <c:pt idx="7">
                  <c:v>2024.44</c:v>
                </c:pt>
                <c:pt idx="8">
                  <c:v>2009.43</c:v>
                </c:pt>
                <c:pt idx="9">
                  <c:v>1998.75</c:v>
                </c:pt>
                <c:pt idx="10">
                  <c:v>1996.14</c:v>
                </c:pt>
                <c:pt idx="11">
                  <c:v>1995.44</c:v>
                </c:pt>
                <c:pt idx="12">
                  <c:v>1975.48</c:v>
                </c:pt>
                <c:pt idx="13">
                  <c:v>1964.57</c:v>
                </c:pt>
                <c:pt idx="14">
                  <c:v>1964.65</c:v>
                </c:pt>
                <c:pt idx="15">
                  <c:v>1963.6</c:v>
                </c:pt>
                <c:pt idx="16">
                  <c:v>1962.09</c:v>
                </c:pt>
                <c:pt idx="17">
                  <c:v>1962.16</c:v>
                </c:pt>
                <c:pt idx="18">
                  <c:v>1962.1</c:v>
                </c:pt>
                <c:pt idx="19">
                  <c:v>1960.74</c:v>
                </c:pt>
                <c:pt idx="20">
                  <c:v>1959.2</c:v>
                </c:pt>
                <c:pt idx="21">
                  <c:v>1957.73</c:v>
                </c:pt>
                <c:pt idx="22">
                  <c:v>1956.07</c:v>
                </c:pt>
                <c:pt idx="23">
                  <c:v>1954.17</c:v>
                </c:pt>
                <c:pt idx="24">
                  <c:v>1953.21</c:v>
                </c:pt>
                <c:pt idx="25">
                  <c:v>1952.74</c:v>
                </c:pt>
                <c:pt idx="26">
                  <c:v>1952.32</c:v>
                </c:pt>
                <c:pt idx="27">
                  <c:v>1951.93</c:v>
                </c:pt>
                <c:pt idx="28">
                  <c:v>1951.33</c:v>
                </c:pt>
                <c:pt idx="29">
                  <c:v>1950.7</c:v>
                </c:pt>
                <c:pt idx="30">
                  <c:v>1949.59</c:v>
                </c:pt>
                <c:pt idx="31">
                  <c:v>1948.79</c:v>
                </c:pt>
                <c:pt idx="32">
                  <c:v>1948.31</c:v>
                </c:pt>
                <c:pt idx="33">
                  <c:v>1948.37</c:v>
                </c:pt>
                <c:pt idx="34">
                  <c:v>1948.3</c:v>
                </c:pt>
                <c:pt idx="35">
                  <c:v>1948.22</c:v>
                </c:pt>
                <c:pt idx="36">
                  <c:v>1948.03</c:v>
                </c:pt>
                <c:pt idx="37">
                  <c:v>1947.72</c:v>
                </c:pt>
                <c:pt idx="38">
                  <c:v>1947.13</c:v>
                </c:pt>
                <c:pt idx="39">
                  <c:v>1946.1</c:v>
                </c:pt>
                <c:pt idx="40">
                  <c:v>1945.5</c:v>
                </c:pt>
                <c:pt idx="41">
                  <c:v>1944.72</c:v>
                </c:pt>
                <c:pt idx="42">
                  <c:v>1943.73</c:v>
                </c:pt>
                <c:pt idx="43">
                  <c:v>1942.58</c:v>
                </c:pt>
                <c:pt idx="44">
                  <c:v>1941.51</c:v>
                </c:pt>
                <c:pt idx="45">
                  <c:v>1940.7</c:v>
                </c:pt>
                <c:pt idx="46">
                  <c:v>1939.94</c:v>
                </c:pt>
                <c:pt idx="47">
                  <c:v>1939.19</c:v>
                </c:pt>
                <c:pt idx="48">
                  <c:v>1938.24</c:v>
                </c:pt>
                <c:pt idx="49">
                  <c:v>1937.88</c:v>
                </c:pt>
                <c:pt idx="50">
                  <c:v>1937.27</c:v>
                </c:pt>
                <c:pt idx="51">
                  <c:v>1936.73</c:v>
                </c:pt>
                <c:pt idx="52">
                  <c:v>1936.44</c:v>
                </c:pt>
                <c:pt idx="53">
                  <c:v>1936.48</c:v>
                </c:pt>
                <c:pt idx="54">
                  <c:v>1936.64</c:v>
                </c:pt>
                <c:pt idx="55">
                  <c:v>1936.93</c:v>
                </c:pt>
                <c:pt idx="56">
                  <c:v>1937.21</c:v>
                </c:pt>
                <c:pt idx="57">
                  <c:v>1936.83</c:v>
                </c:pt>
                <c:pt idx="58">
                  <c:v>1937.08</c:v>
                </c:pt>
                <c:pt idx="59">
                  <c:v>1937.08</c:v>
                </c:pt>
                <c:pt idx="60">
                  <c:v>1936.36</c:v>
                </c:pt>
                <c:pt idx="61">
                  <c:v>1935.28</c:v>
                </c:pt>
                <c:pt idx="62">
                  <c:v>1934.54</c:v>
                </c:pt>
                <c:pt idx="63">
                  <c:v>1934.06</c:v>
                </c:pt>
                <c:pt idx="64">
                  <c:v>1933.36</c:v>
                </c:pt>
                <c:pt idx="65">
                  <c:v>1932.4</c:v>
                </c:pt>
                <c:pt idx="66">
                  <c:v>1931.31</c:v>
                </c:pt>
                <c:pt idx="67">
                  <c:v>1930.14</c:v>
                </c:pt>
                <c:pt idx="68">
                  <c:v>1928.21</c:v>
                </c:pt>
                <c:pt idx="69">
                  <c:v>1926.86</c:v>
                </c:pt>
                <c:pt idx="70">
                  <c:v>1926.59</c:v>
                </c:pt>
                <c:pt idx="71">
                  <c:v>1926.47</c:v>
                </c:pt>
                <c:pt idx="72">
                  <c:v>1926.71</c:v>
                </c:pt>
                <c:pt idx="73">
                  <c:v>1927.24</c:v>
                </c:pt>
                <c:pt idx="74">
                  <c:v>1927.14</c:v>
                </c:pt>
                <c:pt idx="75">
                  <c:v>1926.18</c:v>
                </c:pt>
                <c:pt idx="76">
                  <c:v>1924.48</c:v>
                </c:pt>
                <c:pt idx="77">
                  <c:v>1922.16</c:v>
                </c:pt>
                <c:pt idx="78">
                  <c:v>1919.27</c:v>
                </c:pt>
                <c:pt idx="79">
                  <c:v>1916.31</c:v>
                </c:pt>
                <c:pt idx="80">
                  <c:v>1913.81</c:v>
                </c:pt>
                <c:pt idx="81">
                  <c:v>1912.61</c:v>
                </c:pt>
                <c:pt idx="82">
                  <c:v>1912.4</c:v>
                </c:pt>
                <c:pt idx="83">
                  <c:v>1912.95</c:v>
                </c:pt>
                <c:pt idx="84">
                  <c:v>1914.28</c:v>
                </c:pt>
                <c:pt idx="85">
                  <c:v>1915.75</c:v>
                </c:pt>
                <c:pt idx="86">
                  <c:v>1917.31</c:v>
                </c:pt>
                <c:pt idx="87">
                  <c:v>1918.98</c:v>
                </c:pt>
                <c:pt idx="88">
                  <c:v>1920.84</c:v>
                </c:pt>
                <c:pt idx="89">
                  <c:v>1922.79</c:v>
                </c:pt>
                <c:pt idx="90">
                  <c:v>1925.01</c:v>
                </c:pt>
                <c:pt idx="91">
                  <c:v>1927.61</c:v>
                </c:pt>
                <c:pt idx="92">
                  <c:v>1930.66</c:v>
                </c:pt>
                <c:pt idx="93">
                  <c:v>1934.25</c:v>
                </c:pt>
                <c:pt idx="94">
                  <c:v>1938.54</c:v>
                </c:pt>
                <c:pt idx="95">
                  <c:v>1943.56</c:v>
                </c:pt>
                <c:pt idx="96">
                  <c:v>1949.28</c:v>
                </c:pt>
                <c:pt idx="97">
                  <c:v>1955.95</c:v>
                </c:pt>
                <c:pt idx="98">
                  <c:v>1963.65</c:v>
                </c:pt>
                <c:pt idx="99">
                  <c:v>1972.7</c:v>
                </c:pt>
                <c:pt idx="100">
                  <c:v>1983.18</c:v>
                </c:pt>
                <c:pt idx="101">
                  <c:v>1995.39</c:v>
                </c:pt>
                <c:pt idx="102">
                  <c:v>2009.58</c:v>
                </c:pt>
                <c:pt idx="103">
                  <c:v>2025.87</c:v>
                </c:pt>
                <c:pt idx="104">
                  <c:v>2044.39</c:v>
                </c:pt>
                <c:pt idx="105">
                  <c:v>2065.4499999999998</c:v>
                </c:pt>
                <c:pt idx="106">
                  <c:v>2089.3200000000002</c:v>
                </c:pt>
                <c:pt idx="107">
                  <c:v>2116.0300000000002</c:v>
                </c:pt>
                <c:pt idx="108">
                  <c:v>2145.6999999999998</c:v>
                </c:pt>
                <c:pt idx="109">
                  <c:v>2178.58</c:v>
                </c:pt>
                <c:pt idx="110">
                  <c:v>2214.69</c:v>
                </c:pt>
                <c:pt idx="111">
                  <c:v>2253.98</c:v>
                </c:pt>
                <c:pt idx="112">
                  <c:v>2296.5100000000002</c:v>
                </c:pt>
                <c:pt idx="113">
                  <c:v>2342.2800000000002</c:v>
                </c:pt>
                <c:pt idx="114">
                  <c:v>2391.0100000000002</c:v>
                </c:pt>
                <c:pt idx="115">
                  <c:v>2442.44</c:v>
                </c:pt>
                <c:pt idx="116">
                  <c:v>2496.2199999999998</c:v>
                </c:pt>
                <c:pt idx="117">
                  <c:v>2551.83</c:v>
                </c:pt>
                <c:pt idx="118">
                  <c:v>2608.6799999999998</c:v>
                </c:pt>
                <c:pt idx="119">
                  <c:v>2666.22</c:v>
                </c:pt>
                <c:pt idx="120">
                  <c:v>2723.66</c:v>
                </c:pt>
                <c:pt idx="121">
                  <c:v>2780.06</c:v>
                </c:pt>
                <c:pt idx="122">
                  <c:v>2834.5</c:v>
                </c:pt>
                <c:pt idx="123">
                  <c:v>2885.99</c:v>
                </c:pt>
                <c:pt idx="124">
                  <c:v>2933.28</c:v>
                </c:pt>
                <c:pt idx="125">
                  <c:v>2975.19</c:v>
                </c:pt>
                <c:pt idx="126">
                  <c:v>3010.57</c:v>
                </c:pt>
                <c:pt idx="127">
                  <c:v>3038.26</c:v>
                </c:pt>
                <c:pt idx="128">
                  <c:v>3057.14</c:v>
                </c:pt>
                <c:pt idx="129">
                  <c:v>3066.53</c:v>
                </c:pt>
                <c:pt idx="130">
                  <c:v>3065.94</c:v>
                </c:pt>
                <c:pt idx="131">
                  <c:v>3055.25</c:v>
                </c:pt>
                <c:pt idx="132">
                  <c:v>3034.62</c:v>
                </c:pt>
                <c:pt idx="133">
                  <c:v>3004.69</c:v>
                </c:pt>
                <c:pt idx="134">
                  <c:v>2966.17</c:v>
                </c:pt>
                <c:pt idx="135">
                  <c:v>2920.05</c:v>
                </c:pt>
                <c:pt idx="136">
                  <c:v>2867.51</c:v>
                </c:pt>
                <c:pt idx="137">
                  <c:v>2809.74</c:v>
                </c:pt>
                <c:pt idx="138">
                  <c:v>2747.84</c:v>
                </c:pt>
                <c:pt idx="139">
                  <c:v>2682.88</c:v>
                </c:pt>
                <c:pt idx="140">
                  <c:v>2616.0500000000002</c:v>
                </c:pt>
                <c:pt idx="141">
                  <c:v>2548.21</c:v>
                </c:pt>
                <c:pt idx="142">
                  <c:v>2480.2800000000002</c:v>
                </c:pt>
                <c:pt idx="143">
                  <c:v>2413.13</c:v>
                </c:pt>
                <c:pt idx="144">
                  <c:v>2347.4899999999998</c:v>
                </c:pt>
                <c:pt idx="145">
                  <c:v>2283.84</c:v>
                </c:pt>
                <c:pt idx="146">
                  <c:v>2222.56</c:v>
                </c:pt>
                <c:pt idx="147">
                  <c:v>2164.11</c:v>
                </c:pt>
                <c:pt idx="148">
                  <c:v>2108.6799999999998</c:v>
                </c:pt>
                <c:pt idx="149">
                  <c:v>2056.41</c:v>
                </c:pt>
                <c:pt idx="150">
                  <c:v>2007.48</c:v>
                </c:pt>
                <c:pt idx="151">
                  <c:v>1961.95</c:v>
                </c:pt>
                <c:pt idx="152">
                  <c:v>1919.69</c:v>
                </c:pt>
                <c:pt idx="153">
                  <c:v>1880.59</c:v>
                </c:pt>
                <c:pt idx="154">
                  <c:v>1844.59</c:v>
                </c:pt>
                <c:pt idx="155">
                  <c:v>1811.5</c:v>
                </c:pt>
                <c:pt idx="156">
                  <c:v>1781.28</c:v>
                </c:pt>
                <c:pt idx="157">
                  <c:v>1753.79</c:v>
                </c:pt>
                <c:pt idx="158">
                  <c:v>1728.79</c:v>
                </c:pt>
                <c:pt idx="159">
                  <c:v>1706.08</c:v>
                </c:pt>
                <c:pt idx="160">
                  <c:v>1685.56</c:v>
                </c:pt>
                <c:pt idx="161">
                  <c:v>1666.95</c:v>
                </c:pt>
                <c:pt idx="162">
                  <c:v>1650.06</c:v>
                </c:pt>
                <c:pt idx="163">
                  <c:v>1634.79</c:v>
                </c:pt>
                <c:pt idx="164">
                  <c:v>1621.03</c:v>
                </c:pt>
                <c:pt idx="165">
                  <c:v>1608.48</c:v>
                </c:pt>
                <c:pt idx="166">
                  <c:v>1597.12</c:v>
                </c:pt>
                <c:pt idx="167">
                  <c:v>1586.73</c:v>
                </c:pt>
                <c:pt idx="168">
                  <c:v>1577.38</c:v>
                </c:pt>
                <c:pt idx="169">
                  <c:v>1568.89</c:v>
                </c:pt>
                <c:pt idx="170">
                  <c:v>1561.27</c:v>
                </c:pt>
                <c:pt idx="171">
                  <c:v>1554.49</c:v>
                </c:pt>
                <c:pt idx="172">
                  <c:v>1548.52</c:v>
                </c:pt>
                <c:pt idx="173">
                  <c:v>1543.09</c:v>
                </c:pt>
                <c:pt idx="174">
                  <c:v>1538.26</c:v>
                </c:pt>
                <c:pt idx="175">
                  <c:v>1534</c:v>
                </c:pt>
                <c:pt idx="176">
                  <c:v>1530.06</c:v>
                </c:pt>
                <c:pt idx="177">
                  <c:v>1526.49</c:v>
                </c:pt>
                <c:pt idx="178">
                  <c:v>1523.27</c:v>
                </c:pt>
                <c:pt idx="179">
                  <c:v>1520.38</c:v>
                </c:pt>
                <c:pt idx="180">
                  <c:v>1517.76</c:v>
                </c:pt>
                <c:pt idx="181">
                  <c:v>1515.52</c:v>
                </c:pt>
                <c:pt idx="182">
                  <c:v>1513.56</c:v>
                </c:pt>
                <c:pt idx="183">
                  <c:v>1511.86</c:v>
                </c:pt>
                <c:pt idx="184">
                  <c:v>1510.39</c:v>
                </c:pt>
                <c:pt idx="185">
                  <c:v>1508.99</c:v>
                </c:pt>
                <c:pt idx="186">
                  <c:v>1507.64</c:v>
                </c:pt>
                <c:pt idx="187">
                  <c:v>1506.37</c:v>
                </c:pt>
                <c:pt idx="188">
                  <c:v>1505.13</c:v>
                </c:pt>
                <c:pt idx="189">
                  <c:v>1503.93</c:v>
                </c:pt>
                <c:pt idx="190">
                  <c:v>1502.87</c:v>
                </c:pt>
                <c:pt idx="191">
                  <c:v>1501.95</c:v>
                </c:pt>
                <c:pt idx="192">
                  <c:v>1501.07</c:v>
                </c:pt>
                <c:pt idx="193">
                  <c:v>1500.27</c:v>
                </c:pt>
                <c:pt idx="194">
                  <c:v>1499.47</c:v>
                </c:pt>
                <c:pt idx="195">
                  <c:v>1498.66</c:v>
                </c:pt>
                <c:pt idx="196">
                  <c:v>1497.75</c:v>
                </c:pt>
                <c:pt idx="197">
                  <c:v>1496.87</c:v>
                </c:pt>
                <c:pt idx="198">
                  <c:v>1496.04</c:v>
                </c:pt>
                <c:pt idx="199">
                  <c:v>1495.21</c:v>
                </c:pt>
                <c:pt idx="200">
                  <c:v>1494.4</c:v>
                </c:pt>
                <c:pt idx="201">
                  <c:v>1493.68</c:v>
                </c:pt>
                <c:pt idx="202">
                  <c:v>1493</c:v>
                </c:pt>
                <c:pt idx="203">
                  <c:v>1492.34</c:v>
                </c:pt>
                <c:pt idx="204">
                  <c:v>1491.81</c:v>
                </c:pt>
                <c:pt idx="205">
                  <c:v>1491.33</c:v>
                </c:pt>
                <c:pt idx="206">
                  <c:v>1490.87</c:v>
                </c:pt>
                <c:pt idx="207">
                  <c:v>1490.45</c:v>
                </c:pt>
                <c:pt idx="208">
                  <c:v>1489.99</c:v>
                </c:pt>
                <c:pt idx="209">
                  <c:v>1489.36</c:v>
                </c:pt>
                <c:pt idx="210">
                  <c:v>1488.69</c:v>
                </c:pt>
                <c:pt idx="211">
                  <c:v>1488.07</c:v>
                </c:pt>
                <c:pt idx="212">
                  <c:v>1487.41</c:v>
                </c:pt>
                <c:pt idx="213">
                  <c:v>1486.75</c:v>
                </c:pt>
                <c:pt idx="214">
                  <c:v>1486.21</c:v>
                </c:pt>
                <c:pt idx="215">
                  <c:v>1485.72</c:v>
                </c:pt>
                <c:pt idx="216">
                  <c:v>1485.26</c:v>
                </c:pt>
                <c:pt idx="217">
                  <c:v>1484.85</c:v>
                </c:pt>
                <c:pt idx="218">
                  <c:v>1484.55</c:v>
                </c:pt>
                <c:pt idx="219">
                  <c:v>1489.87</c:v>
                </c:pt>
                <c:pt idx="220">
                  <c:v>1495.2</c:v>
                </c:pt>
                <c:pt idx="221">
                  <c:v>1500.54</c:v>
                </c:pt>
                <c:pt idx="222">
                  <c:v>1505.88</c:v>
                </c:pt>
                <c:pt idx="223">
                  <c:v>1511.23</c:v>
                </c:pt>
                <c:pt idx="224">
                  <c:v>1516.58</c:v>
                </c:pt>
                <c:pt idx="225">
                  <c:v>1521.94</c:v>
                </c:pt>
                <c:pt idx="226">
                  <c:v>1527.3</c:v>
                </c:pt>
                <c:pt idx="227">
                  <c:v>1532.67</c:v>
                </c:pt>
                <c:pt idx="228">
                  <c:v>1538.04</c:v>
                </c:pt>
                <c:pt idx="229">
                  <c:v>1543.42</c:v>
                </c:pt>
                <c:pt idx="230">
                  <c:v>1548.8</c:v>
                </c:pt>
                <c:pt idx="231">
                  <c:v>1554.19</c:v>
                </c:pt>
                <c:pt idx="232">
                  <c:v>1559.58</c:v>
                </c:pt>
                <c:pt idx="233">
                  <c:v>1565.55</c:v>
                </c:pt>
                <c:pt idx="234">
                  <c:v>1571.52</c:v>
                </c:pt>
                <c:pt idx="235">
                  <c:v>1577.49</c:v>
                </c:pt>
                <c:pt idx="236">
                  <c:v>1583.47</c:v>
                </c:pt>
                <c:pt idx="237">
                  <c:v>1589.45</c:v>
                </c:pt>
                <c:pt idx="238">
                  <c:v>1595.43</c:v>
                </c:pt>
                <c:pt idx="239">
                  <c:v>1601.42</c:v>
                </c:pt>
                <c:pt idx="240">
                  <c:v>1607.41</c:v>
                </c:pt>
                <c:pt idx="241">
                  <c:v>1625.63</c:v>
                </c:pt>
                <c:pt idx="242">
                  <c:v>1643.85</c:v>
                </c:pt>
                <c:pt idx="243">
                  <c:v>1662.07</c:v>
                </c:pt>
                <c:pt idx="244">
                  <c:v>1680.3</c:v>
                </c:pt>
                <c:pt idx="245">
                  <c:v>1698.53</c:v>
                </c:pt>
                <c:pt idx="246">
                  <c:v>1716.76</c:v>
                </c:pt>
                <c:pt idx="247">
                  <c:v>1735</c:v>
                </c:pt>
                <c:pt idx="248">
                  <c:v>1753.24</c:v>
                </c:pt>
                <c:pt idx="249">
                  <c:v>1771.48</c:v>
                </c:pt>
                <c:pt idx="250">
                  <c:v>1789.72</c:v>
                </c:pt>
                <c:pt idx="251">
                  <c:v>1807.96</c:v>
                </c:pt>
                <c:pt idx="252">
                  <c:v>1826.21</c:v>
                </c:pt>
                <c:pt idx="253">
                  <c:v>1844.46</c:v>
                </c:pt>
                <c:pt idx="254">
                  <c:v>1871.03</c:v>
                </c:pt>
                <c:pt idx="255">
                  <c:v>1898.2</c:v>
                </c:pt>
                <c:pt idx="256">
                  <c:v>1925.38</c:v>
                </c:pt>
                <c:pt idx="257">
                  <c:v>1952.55</c:v>
                </c:pt>
                <c:pt idx="258">
                  <c:v>2003.17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9-0241-A781-DE337A0320D6}"/>
            </c:ext>
          </c:extLst>
        </c:ser>
        <c:ser>
          <c:idx val="1"/>
          <c:order val="1"/>
          <c:tx>
            <c:strRef>
              <c:f>'Fig 9f'!$E$2</c:f>
              <c:strCache>
                <c:ptCount val="1"/>
                <c:pt idx="0">
                  <c:v>P2p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  <a:alpha val="0"/>
                  </a:schemeClr>
                </a:gs>
                <a:gs pos="100000">
                  <a:srgbClr val="145F81"/>
                </a:gs>
              </a:gsLst>
              <a:lin ang="16200000" scaled="1"/>
            </a:gradFill>
            <a:ln w="25400">
              <a:noFill/>
            </a:ln>
            <a:effectLst/>
          </c:spPr>
          <c:cat>
            <c:numRef>
              <c:f>'Fig 9f'!$A$4:$A$262</c:f>
              <c:numCache>
                <c:formatCode>General</c:formatCode>
                <c:ptCount val="259"/>
                <c:pt idx="0">
                  <c:v>150</c:v>
                </c:pt>
                <c:pt idx="1">
                  <c:v>149.9</c:v>
                </c:pt>
                <c:pt idx="2">
                  <c:v>149.80000000000001</c:v>
                </c:pt>
                <c:pt idx="3">
                  <c:v>149.69999999999999</c:v>
                </c:pt>
                <c:pt idx="4">
                  <c:v>149.6</c:v>
                </c:pt>
                <c:pt idx="5">
                  <c:v>149.5</c:v>
                </c:pt>
                <c:pt idx="6">
                  <c:v>149.4</c:v>
                </c:pt>
                <c:pt idx="7">
                  <c:v>149.30000000000001</c:v>
                </c:pt>
                <c:pt idx="8">
                  <c:v>149.19999999999999</c:v>
                </c:pt>
                <c:pt idx="9">
                  <c:v>149.1</c:v>
                </c:pt>
                <c:pt idx="10">
                  <c:v>149</c:v>
                </c:pt>
                <c:pt idx="11">
                  <c:v>148.9</c:v>
                </c:pt>
                <c:pt idx="12">
                  <c:v>148.80000000000001</c:v>
                </c:pt>
                <c:pt idx="13">
                  <c:v>148.69999999999999</c:v>
                </c:pt>
                <c:pt idx="14">
                  <c:v>148.6</c:v>
                </c:pt>
                <c:pt idx="15">
                  <c:v>148.5</c:v>
                </c:pt>
                <c:pt idx="16">
                  <c:v>148.4</c:v>
                </c:pt>
                <c:pt idx="17">
                  <c:v>148.30000000000001</c:v>
                </c:pt>
                <c:pt idx="18">
                  <c:v>148.19999999999999</c:v>
                </c:pt>
                <c:pt idx="19">
                  <c:v>148.1</c:v>
                </c:pt>
                <c:pt idx="20">
                  <c:v>148</c:v>
                </c:pt>
                <c:pt idx="21">
                  <c:v>147.9</c:v>
                </c:pt>
                <c:pt idx="22">
                  <c:v>147.80000000000001</c:v>
                </c:pt>
                <c:pt idx="23">
                  <c:v>147.69999999999999</c:v>
                </c:pt>
                <c:pt idx="24">
                  <c:v>147.6</c:v>
                </c:pt>
                <c:pt idx="25">
                  <c:v>147.5</c:v>
                </c:pt>
                <c:pt idx="26">
                  <c:v>147.4</c:v>
                </c:pt>
                <c:pt idx="27">
                  <c:v>147.30000000000001</c:v>
                </c:pt>
                <c:pt idx="28">
                  <c:v>147.19999999999999</c:v>
                </c:pt>
                <c:pt idx="29">
                  <c:v>147.1</c:v>
                </c:pt>
                <c:pt idx="30">
                  <c:v>147</c:v>
                </c:pt>
                <c:pt idx="31">
                  <c:v>146.9</c:v>
                </c:pt>
                <c:pt idx="32">
                  <c:v>146.80000000000001</c:v>
                </c:pt>
                <c:pt idx="33">
                  <c:v>146.69999999999999</c:v>
                </c:pt>
                <c:pt idx="34">
                  <c:v>146.6</c:v>
                </c:pt>
                <c:pt idx="35">
                  <c:v>146.5</c:v>
                </c:pt>
                <c:pt idx="36">
                  <c:v>146.4</c:v>
                </c:pt>
                <c:pt idx="37">
                  <c:v>146.30000000000001</c:v>
                </c:pt>
                <c:pt idx="38">
                  <c:v>146.19999999999999</c:v>
                </c:pt>
                <c:pt idx="39">
                  <c:v>146.1</c:v>
                </c:pt>
                <c:pt idx="40">
                  <c:v>146</c:v>
                </c:pt>
                <c:pt idx="41">
                  <c:v>145.9</c:v>
                </c:pt>
                <c:pt idx="42">
                  <c:v>145.80000000000001</c:v>
                </c:pt>
                <c:pt idx="43">
                  <c:v>145.69999999999999</c:v>
                </c:pt>
                <c:pt idx="44">
                  <c:v>145.6</c:v>
                </c:pt>
                <c:pt idx="45">
                  <c:v>145.5</c:v>
                </c:pt>
                <c:pt idx="46">
                  <c:v>145.4</c:v>
                </c:pt>
                <c:pt idx="47">
                  <c:v>145.30000000000001</c:v>
                </c:pt>
                <c:pt idx="48">
                  <c:v>145.19999999999999</c:v>
                </c:pt>
                <c:pt idx="49">
                  <c:v>145.1</c:v>
                </c:pt>
                <c:pt idx="50">
                  <c:v>145</c:v>
                </c:pt>
                <c:pt idx="51">
                  <c:v>144.9</c:v>
                </c:pt>
                <c:pt idx="52">
                  <c:v>144.80000000000001</c:v>
                </c:pt>
                <c:pt idx="53">
                  <c:v>144.69999999999999</c:v>
                </c:pt>
                <c:pt idx="54">
                  <c:v>144.6</c:v>
                </c:pt>
                <c:pt idx="55">
                  <c:v>144.5</c:v>
                </c:pt>
                <c:pt idx="56">
                  <c:v>144.4</c:v>
                </c:pt>
                <c:pt idx="57">
                  <c:v>144.30000000000001</c:v>
                </c:pt>
                <c:pt idx="58">
                  <c:v>144.19999999999999</c:v>
                </c:pt>
                <c:pt idx="59">
                  <c:v>144.1</c:v>
                </c:pt>
                <c:pt idx="60">
                  <c:v>144</c:v>
                </c:pt>
                <c:pt idx="61">
                  <c:v>143.9</c:v>
                </c:pt>
                <c:pt idx="62">
                  <c:v>143.80000000000001</c:v>
                </c:pt>
                <c:pt idx="63">
                  <c:v>143.69999999999999</c:v>
                </c:pt>
                <c:pt idx="64">
                  <c:v>143.6</c:v>
                </c:pt>
                <c:pt idx="65">
                  <c:v>143.5</c:v>
                </c:pt>
                <c:pt idx="66">
                  <c:v>143.4</c:v>
                </c:pt>
                <c:pt idx="67">
                  <c:v>143.30000000000001</c:v>
                </c:pt>
                <c:pt idx="68">
                  <c:v>143.19999999999999</c:v>
                </c:pt>
                <c:pt idx="69">
                  <c:v>143.1</c:v>
                </c:pt>
                <c:pt idx="70">
                  <c:v>143</c:v>
                </c:pt>
                <c:pt idx="71">
                  <c:v>142.9</c:v>
                </c:pt>
                <c:pt idx="72">
                  <c:v>142.80000000000001</c:v>
                </c:pt>
                <c:pt idx="73">
                  <c:v>142.69999999999999</c:v>
                </c:pt>
                <c:pt idx="74">
                  <c:v>142.6</c:v>
                </c:pt>
                <c:pt idx="75">
                  <c:v>142.5</c:v>
                </c:pt>
                <c:pt idx="76">
                  <c:v>142.4</c:v>
                </c:pt>
                <c:pt idx="77">
                  <c:v>142.30000000000001</c:v>
                </c:pt>
                <c:pt idx="78">
                  <c:v>142.19999999999999</c:v>
                </c:pt>
                <c:pt idx="79">
                  <c:v>142.1</c:v>
                </c:pt>
                <c:pt idx="80">
                  <c:v>142</c:v>
                </c:pt>
                <c:pt idx="81">
                  <c:v>141.9</c:v>
                </c:pt>
                <c:pt idx="82">
                  <c:v>141.80000000000001</c:v>
                </c:pt>
                <c:pt idx="83">
                  <c:v>141.69999999999999</c:v>
                </c:pt>
                <c:pt idx="84">
                  <c:v>141.6</c:v>
                </c:pt>
                <c:pt idx="85">
                  <c:v>141.5</c:v>
                </c:pt>
                <c:pt idx="86">
                  <c:v>141.4</c:v>
                </c:pt>
                <c:pt idx="87">
                  <c:v>141.30000000000001</c:v>
                </c:pt>
                <c:pt idx="88">
                  <c:v>141.19999999999999</c:v>
                </c:pt>
                <c:pt idx="89">
                  <c:v>141.1</c:v>
                </c:pt>
                <c:pt idx="90">
                  <c:v>141</c:v>
                </c:pt>
                <c:pt idx="91">
                  <c:v>140.9</c:v>
                </c:pt>
                <c:pt idx="92">
                  <c:v>140.80000000000001</c:v>
                </c:pt>
                <c:pt idx="93">
                  <c:v>140.69999999999999</c:v>
                </c:pt>
                <c:pt idx="94">
                  <c:v>140.6</c:v>
                </c:pt>
                <c:pt idx="95">
                  <c:v>140.5</c:v>
                </c:pt>
                <c:pt idx="96">
                  <c:v>140.4</c:v>
                </c:pt>
                <c:pt idx="97">
                  <c:v>140.30000000000001</c:v>
                </c:pt>
                <c:pt idx="98">
                  <c:v>140.19999999999999</c:v>
                </c:pt>
                <c:pt idx="99">
                  <c:v>140.1</c:v>
                </c:pt>
                <c:pt idx="100">
                  <c:v>140</c:v>
                </c:pt>
                <c:pt idx="101">
                  <c:v>139.9</c:v>
                </c:pt>
                <c:pt idx="102">
                  <c:v>139.80000000000001</c:v>
                </c:pt>
                <c:pt idx="103">
                  <c:v>139.69999999999999</c:v>
                </c:pt>
                <c:pt idx="104">
                  <c:v>139.6</c:v>
                </c:pt>
                <c:pt idx="105">
                  <c:v>139.5</c:v>
                </c:pt>
                <c:pt idx="106">
                  <c:v>139.4</c:v>
                </c:pt>
                <c:pt idx="107">
                  <c:v>139.30000000000001</c:v>
                </c:pt>
                <c:pt idx="108">
                  <c:v>139.19999999999999</c:v>
                </c:pt>
                <c:pt idx="109">
                  <c:v>139.1</c:v>
                </c:pt>
                <c:pt idx="110">
                  <c:v>139</c:v>
                </c:pt>
                <c:pt idx="111">
                  <c:v>138.9</c:v>
                </c:pt>
                <c:pt idx="112">
                  <c:v>138.80000000000001</c:v>
                </c:pt>
                <c:pt idx="113">
                  <c:v>138.69999999999999</c:v>
                </c:pt>
                <c:pt idx="114">
                  <c:v>138.6</c:v>
                </c:pt>
                <c:pt idx="115">
                  <c:v>138.5</c:v>
                </c:pt>
                <c:pt idx="116">
                  <c:v>138.4</c:v>
                </c:pt>
                <c:pt idx="117">
                  <c:v>138.30000000000001</c:v>
                </c:pt>
                <c:pt idx="118">
                  <c:v>138.19999999999999</c:v>
                </c:pt>
                <c:pt idx="119">
                  <c:v>138.1</c:v>
                </c:pt>
                <c:pt idx="120">
                  <c:v>138</c:v>
                </c:pt>
                <c:pt idx="121">
                  <c:v>137.9</c:v>
                </c:pt>
                <c:pt idx="122">
                  <c:v>137.80000000000001</c:v>
                </c:pt>
                <c:pt idx="123">
                  <c:v>137.69999999999999</c:v>
                </c:pt>
                <c:pt idx="124">
                  <c:v>137.6</c:v>
                </c:pt>
                <c:pt idx="125">
                  <c:v>137.5</c:v>
                </c:pt>
                <c:pt idx="126">
                  <c:v>137.4</c:v>
                </c:pt>
                <c:pt idx="127">
                  <c:v>137.30000000000001</c:v>
                </c:pt>
                <c:pt idx="128">
                  <c:v>137.19999999999999</c:v>
                </c:pt>
                <c:pt idx="129">
                  <c:v>137.1</c:v>
                </c:pt>
                <c:pt idx="130">
                  <c:v>137</c:v>
                </c:pt>
                <c:pt idx="131">
                  <c:v>136.9</c:v>
                </c:pt>
                <c:pt idx="132">
                  <c:v>136.80000000000001</c:v>
                </c:pt>
                <c:pt idx="133">
                  <c:v>136.69999999999999</c:v>
                </c:pt>
                <c:pt idx="134">
                  <c:v>136.6</c:v>
                </c:pt>
                <c:pt idx="135">
                  <c:v>136.5</c:v>
                </c:pt>
                <c:pt idx="136">
                  <c:v>136.4</c:v>
                </c:pt>
                <c:pt idx="137">
                  <c:v>136.30000000000001</c:v>
                </c:pt>
                <c:pt idx="138">
                  <c:v>136.19999999999999</c:v>
                </c:pt>
                <c:pt idx="139">
                  <c:v>136.1</c:v>
                </c:pt>
                <c:pt idx="140">
                  <c:v>136</c:v>
                </c:pt>
                <c:pt idx="141">
                  <c:v>135.9</c:v>
                </c:pt>
                <c:pt idx="142">
                  <c:v>135.80000000000001</c:v>
                </c:pt>
                <c:pt idx="143">
                  <c:v>135.69999999999999</c:v>
                </c:pt>
                <c:pt idx="144">
                  <c:v>135.6</c:v>
                </c:pt>
                <c:pt idx="145">
                  <c:v>135.5</c:v>
                </c:pt>
                <c:pt idx="146">
                  <c:v>135.4</c:v>
                </c:pt>
                <c:pt idx="147">
                  <c:v>135.30000000000001</c:v>
                </c:pt>
                <c:pt idx="148">
                  <c:v>135.19999999999999</c:v>
                </c:pt>
                <c:pt idx="149">
                  <c:v>135.1</c:v>
                </c:pt>
                <c:pt idx="150">
                  <c:v>135</c:v>
                </c:pt>
                <c:pt idx="151">
                  <c:v>134.9</c:v>
                </c:pt>
                <c:pt idx="152">
                  <c:v>134.80000000000001</c:v>
                </c:pt>
                <c:pt idx="153">
                  <c:v>134.69999999999999</c:v>
                </c:pt>
                <c:pt idx="154">
                  <c:v>134.6</c:v>
                </c:pt>
                <c:pt idx="155">
                  <c:v>134.5</c:v>
                </c:pt>
                <c:pt idx="156">
                  <c:v>134.4</c:v>
                </c:pt>
                <c:pt idx="157">
                  <c:v>134.30000000000001</c:v>
                </c:pt>
                <c:pt idx="158">
                  <c:v>134.19999999999999</c:v>
                </c:pt>
                <c:pt idx="159">
                  <c:v>134.1</c:v>
                </c:pt>
                <c:pt idx="160">
                  <c:v>134</c:v>
                </c:pt>
                <c:pt idx="161">
                  <c:v>133.9</c:v>
                </c:pt>
                <c:pt idx="162">
                  <c:v>133.80000000000001</c:v>
                </c:pt>
                <c:pt idx="163">
                  <c:v>133.69999999999999</c:v>
                </c:pt>
                <c:pt idx="164">
                  <c:v>133.6</c:v>
                </c:pt>
                <c:pt idx="165">
                  <c:v>133.5</c:v>
                </c:pt>
                <c:pt idx="166">
                  <c:v>133.4</c:v>
                </c:pt>
                <c:pt idx="167">
                  <c:v>133.30000000000001</c:v>
                </c:pt>
                <c:pt idx="168">
                  <c:v>133.19999999999999</c:v>
                </c:pt>
                <c:pt idx="169">
                  <c:v>133.1</c:v>
                </c:pt>
                <c:pt idx="170">
                  <c:v>133</c:v>
                </c:pt>
                <c:pt idx="171">
                  <c:v>132.9</c:v>
                </c:pt>
                <c:pt idx="172">
                  <c:v>132.80000000000001</c:v>
                </c:pt>
                <c:pt idx="173">
                  <c:v>132.69999999999999</c:v>
                </c:pt>
                <c:pt idx="174">
                  <c:v>132.6</c:v>
                </c:pt>
                <c:pt idx="175">
                  <c:v>132.5</c:v>
                </c:pt>
                <c:pt idx="176">
                  <c:v>132.4</c:v>
                </c:pt>
                <c:pt idx="177">
                  <c:v>132.30000000000001</c:v>
                </c:pt>
                <c:pt idx="178">
                  <c:v>132.19999999999999</c:v>
                </c:pt>
                <c:pt idx="179">
                  <c:v>132.1</c:v>
                </c:pt>
                <c:pt idx="180">
                  <c:v>132</c:v>
                </c:pt>
                <c:pt idx="181">
                  <c:v>131.9</c:v>
                </c:pt>
                <c:pt idx="182">
                  <c:v>131.80000000000001</c:v>
                </c:pt>
                <c:pt idx="183">
                  <c:v>131.69999999999999</c:v>
                </c:pt>
                <c:pt idx="184">
                  <c:v>131.6</c:v>
                </c:pt>
                <c:pt idx="185">
                  <c:v>131.5</c:v>
                </c:pt>
                <c:pt idx="186">
                  <c:v>131.4</c:v>
                </c:pt>
                <c:pt idx="187">
                  <c:v>131.30000000000001</c:v>
                </c:pt>
                <c:pt idx="188">
                  <c:v>131.19999999999999</c:v>
                </c:pt>
                <c:pt idx="189">
                  <c:v>131.1</c:v>
                </c:pt>
                <c:pt idx="190">
                  <c:v>131</c:v>
                </c:pt>
                <c:pt idx="191">
                  <c:v>130.9</c:v>
                </c:pt>
                <c:pt idx="192">
                  <c:v>130.80000000000001</c:v>
                </c:pt>
                <c:pt idx="193">
                  <c:v>130.69999999999999</c:v>
                </c:pt>
                <c:pt idx="194">
                  <c:v>130.6</c:v>
                </c:pt>
                <c:pt idx="195">
                  <c:v>130.5</c:v>
                </c:pt>
                <c:pt idx="196">
                  <c:v>130.4</c:v>
                </c:pt>
                <c:pt idx="197">
                  <c:v>130.30000000000001</c:v>
                </c:pt>
                <c:pt idx="198">
                  <c:v>130.19999999999999</c:v>
                </c:pt>
                <c:pt idx="199">
                  <c:v>130.1</c:v>
                </c:pt>
                <c:pt idx="200">
                  <c:v>130</c:v>
                </c:pt>
                <c:pt idx="201">
                  <c:v>129.9</c:v>
                </c:pt>
                <c:pt idx="202">
                  <c:v>129.80000000000001</c:v>
                </c:pt>
                <c:pt idx="203">
                  <c:v>129.69999999999999</c:v>
                </c:pt>
                <c:pt idx="204">
                  <c:v>129.6</c:v>
                </c:pt>
                <c:pt idx="205">
                  <c:v>129.5</c:v>
                </c:pt>
                <c:pt idx="206">
                  <c:v>129.4</c:v>
                </c:pt>
                <c:pt idx="207">
                  <c:v>129.30000000000001</c:v>
                </c:pt>
                <c:pt idx="208">
                  <c:v>129.19999999999999</c:v>
                </c:pt>
                <c:pt idx="209">
                  <c:v>129.1</c:v>
                </c:pt>
                <c:pt idx="210">
                  <c:v>129</c:v>
                </c:pt>
                <c:pt idx="211">
                  <c:v>128.9</c:v>
                </c:pt>
                <c:pt idx="212">
                  <c:v>128.80000000000001</c:v>
                </c:pt>
                <c:pt idx="213">
                  <c:v>128.69999999999999</c:v>
                </c:pt>
                <c:pt idx="214">
                  <c:v>128.6</c:v>
                </c:pt>
                <c:pt idx="215">
                  <c:v>128.5</c:v>
                </c:pt>
                <c:pt idx="216">
                  <c:v>128.4</c:v>
                </c:pt>
                <c:pt idx="217">
                  <c:v>128.30000000000001</c:v>
                </c:pt>
                <c:pt idx="218">
                  <c:v>128.19999999999999</c:v>
                </c:pt>
                <c:pt idx="219">
                  <c:v>128.1</c:v>
                </c:pt>
                <c:pt idx="220">
                  <c:v>128</c:v>
                </c:pt>
                <c:pt idx="221">
                  <c:v>127.9</c:v>
                </c:pt>
                <c:pt idx="222">
                  <c:v>127.8</c:v>
                </c:pt>
                <c:pt idx="223">
                  <c:v>127.7</c:v>
                </c:pt>
                <c:pt idx="224">
                  <c:v>127.6</c:v>
                </c:pt>
                <c:pt idx="225">
                  <c:v>127.5</c:v>
                </c:pt>
                <c:pt idx="226">
                  <c:v>127.4</c:v>
                </c:pt>
                <c:pt idx="227">
                  <c:v>127.3</c:v>
                </c:pt>
                <c:pt idx="228">
                  <c:v>127.2</c:v>
                </c:pt>
                <c:pt idx="229">
                  <c:v>127.1</c:v>
                </c:pt>
                <c:pt idx="230">
                  <c:v>127</c:v>
                </c:pt>
                <c:pt idx="231">
                  <c:v>126.9</c:v>
                </c:pt>
                <c:pt idx="232">
                  <c:v>126.8</c:v>
                </c:pt>
                <c:pt idx="233">
                  <c:v>126.7</c:v>
                </c:pt>
                <c:pt idx="234">
                  <c:v>126.6</c:v>
                </c:pt>
                <c:pt idx="235">
                  <c:v>126.5</c:v>
                </c:pt>
                <c:pt idx="236">
                  <c:v>126.4</c:v>
                </c:pt>
                <c:pt idx="237">
                  <c:v>126.3</c:v>
                </c:pt>
                <c:pt idx="238">
                  <c:v>126.2</c:v>
                </c:pt>
                <c:pt idx="239">
                  <c:v>126.1</c:v>
                </c:pt>
                <c:pt idx="240">
                  <c:v>126</c:v>
                </c:pt>
                <c:pt idx="241">
                  <c:v>125.9</c:v>
                </c:pt>
                <c:pt idx="242">
                  <c:v>125.8</c:v>
                </c:pt>
                <c:pt idx="243">
                  <c:v>125.7</c:v>
                </c:pt>
                <c:pt idx="244">
                  <c:v>125.6</c:v>
                </c:pt>
                <c:pt idx="245">
                  <c:v>125.5</c:v>
                </c:pt>
                <c:pt idx="246">
                  <c:v>125.4</c:v>
                </c:pt>
                <c:pt idx="247">
                  <c:v>125.3</c:v>
                </c:pt>
                <c:pt idx="248">
                  <c:v>125.2</c:v>
                </c:pt>
                <c:pt idx="249">
                  <c:v>125.1</c:v>
                </c:pt>
                <c:pt idx="250">
                  <c:v>125</c:v>
                </c:pt>
                <c:pt idx="251">
                  <c:v>124.9</c:v>
                </c:pt>
                <c:pt idx="252">
                  <c:v>124.8</c:v>
                </c:pt>
                <c:pt idx="253">
                  <c:v>124.7</c:v>
                </c:pt>
                <c:pt idx="254">
                  <c:v>124.6</c:v>
                </c:pt>
                <c:pt idx="255">
                  <c:v>124.5</c:v>
                </c:pt>
                <c:pt idx="256">
                  <c:v>124.4</c:v>
                </c:pt>
                <c:pt idx="257">
                  <c:v>124.3</c:v>
                </c:pt>
                <c:pt idx="258">
                  <c:v>124.2</c:v>
                </c:pt>
              </c:numCache>
            </c:numRef>
          </c:cat>
          <c:val>
            <c:numRef>
              <c:f>'Fig 9f'!$E$4:$E$262</c:f>
              <c:numCache>
                <c:formatCode>General</c:formatCode>
                <c:ptCount val="259"/>
                <c:pt idx="0">
                  <c:v>2094.69</c:v>
                </c:pt>
                <c:pt idx="1">
                  <c:v>2093.7399999999998</c:v>
                </c:pt>
                <c:pt idx="2">
                  <c:v>2070.4299999999998</c:v>
                </c:pt>
                <c:pt idx="3">
                  <c:v>2057</c:v>
                </c:pt>
                <c:pt idx="4">
                  <c:v>2056.33</c:v>
                </c:pt>
                <c:pt idx="5">
                  <c:v>2049.7199999999998</c:v>
                </c:pt>
                <c:pt idx="6">
                  <c:v>2038.37</c:v>
                </c:pt>
                <c:pt idx="7">
                  <c:v>2025.47</c:v>
                </c:pt>
                <c:pt idx="8">
                  <c:v>2010.46</c:v>
                </c:pt>
                <c:pt idx="9">
                  <c:v>1999.78</c:v>
                </c:pt>
                <c:pt idx="10">
                  <c:v>1997.17</c:v>
                </c:pt>
                <c:pt idx="11">
                  <c:v>1996.47</c:v>
                </c:pt>
                <c:pt idx="12">
                  <c:v>1976.5</c:v>
                </c:pt>
                <c:pt idx="13">
                  <c:v>1965.6</c:v>
                </c:pt>
                <c:pt idx="14">
                  <c:v>1965.68</c:v>
                </c:pt>
                <c:pt idx="15">
                  <c:v>1964.62</c:v>
                </c:pt>
                <c:pt idx="16">
                  <c:v>1963.11</c:v>
                </c:pt>
                <c:pt idx="17">
                  <c:v>1963.17</c:v>
                </c:pt>
                <c:pt idx="18">
                  <c:v>1963.11</c:v>
                </c:pt>
                <c:pt idx="19">
                  <c:v>1961.75</c:v>
                </c:pt>
                <c:pt idx="20">
                  <c:v>1960.21</c:v>
                </c:pt>
                <c:pt idx="21">
                  <c:v>1958.73</c:v>
                </c:pt>
                <c:pt idx="22">
                  <c:v>1957.05</c:v>
                </c:pt>
                <c:pt idx="23">
                  <c:v>1955.15</c:v>
                </c:pt>
                <c:pt idx="24">
                  <c:v>1954.18</c:v>
                </c:pt>
                <c:pt idx="25">
                  <c:v>1953.71</c:v>
                </c:pt>
                <c:pt idx="26">
                  <c:v>1953.27</c:v>
                </c:pt>
                <c:pt idx="27">
                  <c:v>1952.87</c:v>
                </c:pt>
                <c:pt idx="28">
                  <c:v>1952.26</c:v>
                </c:pt>
                <c:pt idx="29">
                  <c:v>1951.62</c:v>
                </c:pt>
                <c:pt idx="30">
                  <c:v>1950.5</c:v>
                </c:pt>
                <c:pt idx="31">
                  <c:v>1949.68</c:v>
                </c:pt>
                <c:pt idx="32">
                  <c:v>1949.18</c:v>
                </c:pt>
                <c:pt idx="33">
                  <c:v>1949.23</c:v>
                </c:pt>
                <c:pt idx="34">
                  <c:v>1949.14</c:v>
                </c:pt>
                <c:pt idx="35">
                  <c:v>1949.04</c:v>
                </c:pt>
                <c:pt idx="36">
                  <c:v>1948.82</c:v>
                </c:pt>
                <c:pt idx="37">
                  <c:v>1948.5</c:v>
                </c:pt>
                <c:pt idx="38">
                  <c:v>1947.88</c:v>
                </c:pt>
                <c:pt idx="39">
                  <c:v>1946.82</c:v>
                </c:pt>
                <c:pt idx="40">
                  <c:v>1946.19</c:v>
                </c:pt>
                <c:pt idx="41">
                  <c:v>1945.38</c:v>
                </c:pt>
                <c:pt idx="42">
                  <c:v>1944.36</c:v>
                </c:pt>
                <c:pt idx="43">
                  <c:v>1943.17</c:v>
                </c:pt>
                <c:pt idx="44">
                  <c:v>1942.06</c:v>
                </c:pt>
                <c:pt idx="45">
                  <c:v>1941.21</c:v>
                </c:pt>
                <c:pt idx="46">
                  <c:v>1940.4</c:v>
                </c:pt>
                <c:pt idx="47">
                  <c:v>1939.6</c:v>
                </c:pt>
                <c:pt idx="48">
                  <c:v>1938.6</c:v>
                </c:pt>
                <c:pt idx="49">
                  <c:v>1938.19</c:v>
                </c:pt>
                <c:pt idx="50">
                  <c:v>1937.52</c:v>
                </c:pt>
                <c:pt idx="51">
                  <c:v>1936.92</c:v>
                </c:pt>
                <c:pt idx="52">
                  <c:v>1936.56</c:v>
                </c:pt>
                <c:pt idx="53">
                  <c:v>1936.53</c:v>
                </c:pt>
                <c:pt idx="54">
                  <c:v>1936.62</c:v>
                </c:pt>
                <c:pt idx="55">
                  <c:v>1936.83</c:v>
                </c:pt>
                <c:pt idx="56">
                  <c:v>1937.02</c:v>
                </c:pt>
                <c:pt idx="57">
                  <c:v>1936.55</c:v>
                </c:pt>
                <c:pt idx="58">
                  <c:v>1936.7</c:v>
                </c:pt>
                <c:pt idx="59">
                  <c:v>1936.6</c:v>
                </c:pt>
                <c:pt idx="60">
                  <c:v>1935.76</c:v>
                </c:pt>
                <c:pt idx="61">
                  <c:v>1934.57</c:v>
                </c:pt>
                <c:pt idx="62">
                  <c:v>1933.7</c:v>
                </c:pt>
                <c:pt idx="63">
                  <c:v>1933.08</c:v>
                </c:pt>
                <c:pt idx="64">
                  <c:v>1932.24</c:v>
                </c:pt>
                <c:pt idx="65">
                  <c:v>1931.12</c:v>
                </c:pt>
                <c:pt idx="66">
                  <c:v>1929.86</c:v>
                </c:pt>
                <c:pt idx="67">
                  <c:v>1928.51</c:v>
                </c:pt>
                <c:pt idx="68">
                  <c:v>1926.39</c:v>
                </c:pt>
                <c:pt idx="69">
                  <c:v>1924.83</c:v>
                </c:pt>
                <c:pt idx="70">
                  <c:v>1924.34</c:v>
                </c:pt>
                <c:pt idx="71">
                  <c:v>1923.99</c:v>
                </c:pt>
                <c:pt idx="72">
                  <c:v>1923.97</c:v>
                </c:pt>
                <c:pt idx="73">
                  <c:v>1924.22</c:v>
                </c:pt>
                <c:pt idx="74">
                  <c:v>1923.83</c:v>
                </c:pt>
                <c:pt idx="75">
                  <c:v>1922.56</c:v>
                </c:pt>
                <c:pt idx="76">
                  <c:v>1920.51</c:v>
                </c:pt>
                <c:pt idx="77">
                  <c:v>1917.81</c:v>
                </c:pt>
                <c:pt idx="78">
                  <c:v>1914.52</c:v>
                </c:pt>
                <c:pt idx="79">
                  <c:v>1911.1</c:v>
                </c:pt>
                <c:pt idx="80">
                  <c:v>1908.12</c:v>
                </c:pt>
                <c:pt idx="81">
                  <c:v>1906.37</c:v>
                </c:pt>
                <c:pt idx="82">
                  <c:v>1905.55</c:v>
                </c:pt>
                <c:pt idx="83">
                  <c:v>1905.43</c:v>
                </c:pt>
                <c:pt idx="84">
                  <c:v>1905.99</c:v>
                </c:pt>
                <c:pt idx="85">
                  <c:v>1906.6</c:v>
                </c:pt>
                <c:pt idx="86">
                  <c:v>1907.17</c:v>
                </c:pt>
                <c:pt idx="87">
                  <c:v>1907.7</c:v>
                </c:pt>
                <c:pt idx="88">
                  <c:v>1908.23</c:v>
                </c:pt>
                <c:pt idx="89">
                  <c:v>1908.63</c:v>
                </c:pt>
                <c:pt idx="90">
                  <c:v>1909.04</c:v>
                </c:pt>
                <c:pt idx="91">
                  <c:v>1909.51</c:v>
                </c:pt>
                <c:pt idx="92">
                  <c:v>1910.01</c:v>
                </c:pt>
                <c:pt idx="93">
                  <c:v>1910.61</c:v>
                </c:pt>
                <c:pt idx="94">
                  <c:v>1911.33</c:v>
                </c:pt>
                <c:pt idx="95">
                  <c:v>1912.1</c:v>
                </c:pt>
                <c:pt idx="96">
                  <c:v>1912.79</c:v>
                </c:pt>
                <c:pt idx="97">
                  <c:v>1913.49</c:v>
                </c:pt>
                <c:pt idx="98">
                  <c:v>1914.15</c:v>
                </c:pt>
                <c:pt idx="99">
                  <c:v>1914.89</c:v>
                </c:pt>
                <c:pt idx="100">
                  <c:v>1915.63</c:v>
                </c:pt>
                <c:pt idx="101">
                  <c:v>1916.45</c:v>
                </c:pt>
                <c:pt idx="102">
                  <c:v>1917.4</c:v>
                </c:pt>
                <c:pt idx="103">
                  <c:v>1918.41</c:v>
                </c:pt>
                <c:pt idx="104">
                  <c:v>1919.36</c:v>
                </c:pt>
                <c:pt idx="105">
                  <c:v>1920.37</c:v>
                </c:pt>
                <c:pt idx="106">
                  <c:v>1921.51</c:v>
                </c:pt>
                <c:pt idx="107">
                  <c:v>1922.62</c:v>
                </c:pt>
                <c:pt idx="108">
                  <c:v>1923.69</c:v>
                </c:pt>
                <c:pt idx="109">
                  <c:v>1924.84</c:v>
                </c:pt>
                <c:pt idx="110">
                  <c:v>1926.05</c:v>
                </c:pt>
                <c:pt idx="111">
                  <c:v>1927.25</c:v>
                </c:pt>
                <c:pt idx="112">
                  <c:v>1928.6</c:v>
                </c:pt>
                <c:pt idx="113">
                  <c:v>1930.21</c:v>
                </c:pt>
                <c:pt idx="114">
                  <c:v>1932.08</c:v>
                </c:pt>
                <c:pt idx="115">
                  <c:v>1934.27</c:v>
                </c:pt>
                <c:pt idx="116">
                  <c:v>1936.9</c:v>
                </c:pt>
                <c:pt idx="117">
                  <c:v>1940.01</c:v>
                </c:pt>
                <c:pt idx="118">
                  <c:v>1943.69</c:v>
                </c:pt>
                <c:pt idx="119">
                  <c:v>1948.21</c:v>
                </c:pt>
                <c:pt idx="120">
                  <c:v>1953.73</c:v>
                </c:pt>
                <c:pt idx="121">
                  <c:v>1960.4</c:v>
                </c:pt>
                <c:pt idx="122">
                  <c:v>1968.5</c:v>
                </c:pt>
                <c:pt idx="123">
                  <c:v>1978.37</c:v>
                </c:pt>
                <c:pt idx="124">
                  <c:v>1990.21</c:v>
                </c:pt>
                <c:pt idx="125">
                  <c:v>2004.36</c:v>
                </c:pt>
                <c:pt idx="126">
                  <c:v>2021.17</c:v>
                </c:pt>
                <c:pt idx="127">
                  <c:v>2041.01</c:v>
                </c:pt>
                <c:pt idx="128">
                  <c:v>2064.14</c:v>
                </c:pt>
                <c:pt idx="129">
                  <c:v>2091.06</c:v>
                </c:pt>
                <c:pt idx="130">
                  <c:v>2122.17</c:v>
                </c:pt>
                <c:pt idx="131">
                  <c:v>2157.89</c:v>
                </c:pt>
                <c:pt idx="132">
                  <c:v>2198.56</c:v>
                </c:pt>
                <c:pt idx="133">
                  <c:v>2244.63</c:v>
                </c:pt>
                <c:pt idx="134">
                  <c:v>2296.2399999999998</c:v>
                </c:pt>
                <c:pt idx="135">
                  <c:v>2353.58</c:v>
                </c:pt>
                <c:pt idx="136">
                  <c:v>2416.8000000000002</c:v>
                </c:pt>
                <c:pt idx="137">
                  <c:v>2485.87</c:v>
                </c:pt>
                <c:pt idx="138">
                  <c:v>2560.5700000000002</c:v>
                </c:pt>
                <c:pt idx="139">
                  <c:v>2640.58</c:v>
                </c:pt>
                <c:pt idx="140">
                  <c:v>2725.6</c:v>
                </c:pt>
                <c:pt idx="141">
                  <c:v>2814.97</c:v>
                </c:pt>
                <c:pt idx="142">
                  <c:v>2908</c:v>
                </c:pt>
                <c:pt idx="143">
                  <c:v>3003.91</c:v>
                </c:pt>
                <c:pt idx="144">
                  <c:v>3101.66</c:v>
                </c:pt>
                <c:pt idx="145">
                  <c:v>3199.94</c:v>
                </c:pt>
                <c:pt idx="146">
                  <c:v>3297.2</c:v>
                </c:pt>
                <c:pt idx="147">
                  <c:v>3391.96</c:v>
                </c:pt>
                <c:pt idx="148">
                  <c:v>3482.33</c:v>
                </c:pt>
                <c:pt idx="149">
                  <c:v>3566.34</c:v>
                </c:pt>
                <c:pt idx="150">
                  <c:v>3642.03</c:v>
                </c:pt>
                <c:pt idx="151">
                  <c:v>3707.38</c:v>
                </c:pt>
                <c:pt idx="152">
                  <c:v>3760.26</c:v>
                </c:pt>
                <c:pt idx="153">
                  <c:v>3798.87</c:v>
                </c:pt>
                <c:pt idx="154">
                  <c:v>3821.75</c:v>
                </c:pt>
                <c:pt idx="155">
                  <c:v>3827.83</c:v>
                </c:pt>
                <c:pt idx="156">
                  <c:v>3816.77</c:v>
                </c:pt>
                <c:pt idx="157">
                  <c:v>3788.73</c:v>
                </c:pt>
                <c:pt idx="158">
                  <c:v>3744.38</c:v>
                </c:pt>
                <c:pt idx="159">
                  <c:v>3684.94</c:v>
                </c:pt>
                <c:pt idx="160">
                  <c:v>3612.17</c:v>
                </c:pt>
                <c:pt idx="161">
                  <c:v>3527.89</c:v>
                </c:pt>
                <c:pt idx="162">
                  <c:v>3434.15</c:v>
                </c:pt>
                <c:pt idx="163">
                  <c:v>3333.13</c:v>
                </c:pt>
                <c:pt idx="164">
                  <c:v>3226.88</c:v>
                </c:pt>
                <c:pt idx="165">
                  <c:v>3117.16</c:v>
                </c:pt>
                <c:pt idx="166">
                  <c:v>3005.86</c:v>
                </c:pt>
                <c:pt idx="167">
                  <c:v>2894.42</c:v>
                </c:pt>
                <c:pt idx="168">
                  <c:v>2784.43</c:v>
                </c:pt>
                <c:pt idx="169">
                  <c:v>2677.01</c:v>
                </c:pt>
                <c:pt idx="170">
                  <c:v>2573.2800000000002</c:v>
                </c:pt>
                <c:pt idx="171">
                  <c:v>2474.11</c:v>
                </c:pt>
                <c:pt idx="172">
                  <c:v>2380.2199999999998</c:v>
                </c:pt>
                <c:pt idx="173">
                  <c:v>2291.9</c:v>
                </c:pt>
                <c:pt idx="174">
                  <c:v>2209.6</c:v>
                </c:pt>
                <c:pt idx="175">
                  <c:v>2133.56</c:v>
                </c:pt>
                <c:pt idx="176">
                  <c:v>2063.62</c:v>
                </c:pt>
                <c:pt idx="177">
                  <c:v>1999.85</c:v>
                </c:pt>
                <c:pt idx="178">
                  <c:v>1942.11</c:v>
                </c:pt>
                <c:pt idx="179">
                  <c:v>1890.22</c:v>
                </c:pt>
                <c:pt idx="180">
                  <c:v>1843.83</c:v>
                </c:pt>
                <c:pt idx="181">
                  <c:v>1802.75</c:v>
                </c:pt>
                <c:pt idx="182">
                  <c:v>1766.53</c:v>
                </c:pt>
                <c:pt idx="183">
                  <c:v>1734.78</c:v>
                </c:pt>
                <c:pt idx="184">
                  <c:v>1707.1</c:v>
                </c:pt>
                <c:pt idx="185">
                  <c:v>1682.93</c:v>
                </c:pt>
                <c:pt idx="186">
                  <c:v>1661.89</c:v>
                </c:pt>
                <c:pt idx="187">
                  <c:v>1643.64</c:v>
                </c:pt>
                <c:pt idx="188">
                  <c:v>1627.82</c:v>
                </c:pt>
                <c:pt idx="189">
                  <c:v>1614.1</c:v>
                </c:pt>
                <c:pt idx="190">
                  <c:v>1602.31</c:v>
                </c:pt>
                <c:pt idx="191">
                  <c:v>1592.19</c:v>
                </c:pt>
                <c:pt idx="192">
                  <c:v>1583.43</c:v>
                </c:pt>
                <c:pt idx="193">
                  <c:v>1575.86</c:v>
                </c:pt>
                <c:pt idx="194">
                  <c:v>1569.21</c:v>
                </c:pt>
                <c:pt idx="195">
                  <c:v>1563.34</c:v>
                </c:pt>
                <c:pt idx="196">
                  <c:v>1558.03</c:v>
                </c:pt>
                <c:pt idx="197">
                  <c:v>1553.29</c:v>
                </c:pt>
                <c:pt idx="198">
                  <c:v>1549.07</c:v>
                </c:pt>
                <c:pt idx="199">
                  <c:v>1545.23</c:v>
                </c:pt>
                <c:pt idx="200">
                  <c:v>1541.73</c:v>
                </c:pt>
                <c:pt idx="201">
                  <c:v>1538.59</c:v>
                </c:pt>
                <c:pt idx="202">
                  <c:v>1535.71</c:v>
                </c:pt>
                <c:pt idx="203">
                  <c:v>1533.06</c:v>
                </c:pt>
                <c:pt idx="204">
                  <c:v>1530.69</c:v>
                </c:pt>
                <c:pt idx="205">
                  <c:v>1528.52</c:v>
                </c:pt>
                <c:pt idx="206">
                  <c:v>1526.48</c:v>
                </c:pt>
                <c:pt idx="207">
                  <c:v>1524.6</c:v>
                </c:pt>
                <c:pt idx="208">
                  <c:v>1522.77</c:v>
                </c:pt>
                <c:pt idx="209">
                  <c:v>1520.86</c:v>
                </c:pt>
                <c:pt idx="210">
                  <c:v>1518.98</c:v>
                </c:pt>
                <c:pt idx="211">
                  <c:v>1517.22</c:v>
                </c:pt>
                <c:pt idx="212">
                  <c:v>1515.48</c:v>
                </c:pt>
                <c:pt idx="213">
                  <c:v>1513.81</c:v>
                </c:pt>
                <c:pt idx="214">
                  <c:v>1512.3</c:v>
                </c:pt>
                <c:pt idx="215">
                  <c:v>1510.9</c:v>
                </c:pt>
                <c:pt idx="216">
                  <c:v>1509.57</c:v>
                </c:pt>
                <c:pt idx="217">
                  <c:v>1508.33</c:v>
                </c:pt>
                <c:pt idx="218">
                  <c:v>1507.24</c:v>
                </c:pt>
                <c:pt idx="219">
                  <c:v>1511.82</c:v>
                </c:pt>
                <c:pt idx="220">
                  <c:v>1516.43</c:v>
                </c:pt>
                <c:pt idx="221">
                  <c:v>1521.08</c:v>
                </c:pt>
                <c:pt idx="222">
                  <c:v>1525.77</c:v>
                </c:pt>
                <c:pt idx="223">
                  <c:v>1530.5</c:v>
                </c:pt>
                <c:pt idx="224">
                  <c:v>1535.25</c:v>
                </c:pt>
                <c:pt idx="225">
                  <c:v>1540.04</c:v>
                </c:pt>
                <c:pt idx="226">
                  <c:v>1544.86</c:v>
                </c:pt>
                <c:pt idx="227">
                  <c:v>1549.71</c:v>
                </c:pt>
                <c:pt idx="228">
                  <c:v>1554.58</c:v>
                </c:pt>
                <c:pt idx="229">
                  <c:v>1559.48</c:v>
                </c:pt>
                <c:pt idx="230">
                  <c:v>1564.4</c:v>
                </c:pt>
                <c:pt idx="231">
                  <c:v>1569.35</c:v>
                </c:pt>
                <c:pt idx="232">
                  <c:v>1574.32</c:v>
                </c:pt>
                <c:pt idx="233">
                  <c:v>1579.88</c:v>
                </c:pt>
                <c:pt idx="234">
                  <c:v>1585.46</c:v>
                </c:pt>
                <c:pt idx="235">
                  <c:v>1591.05</c:v>
                </c:pt>
                <c:pt idx="236">
                  <c:v>1596.67</c:v>
                </c:pt>
                <c:pt idx="237">
                  <c:v>1602.3</c:v>
                </c:pt>
                <c:pt idx="238">
                  <c:v>1607.95</c:v>
                </c:pt>
                <c:pt idx="239">
                  <c:v>1613.62</c:v>
                </c:pt>
                <c:pt idx="240">
                  <c:v>1619.3</c:v>
                </c:pt>
                <c:pt idx="241">
                  <c:v>1637.22</c:v>
                </c:pt>
                <c:pt idx="242">
                  <c:v>1655.15</c:v>
                </c:pt>
                <c:pt idx="243">
                  <c:v>1673.1</c:v>
                </c:pt>
                <c:pt idx="244">
                  <c:v>1691.05</c:v>
                </c:pt>
                <c:pt idx="245">
                  <c:v>1709.03</c:v>
                </c:pt>
                <c:pt idx="246">
                  <c:v>1727.01</c:v>
                </c:pt>
                <c:pt idx="247">
                  <c:v>1745</c:v>
                </c:pt>
                <c:pt idx="248">
                  <c:v>1763</c:v>
                </c:pt>
                <c:pt idx="249">
                  <c:v>1781.02</c:v>
                </c:pt>
                <c:pt idx="250">
                  <c:v>1799.04</c:v>
                </c:pt>
                <c:pt idx="251">
                  <c:v>1817.07</c:v>
                </c:pt>
                <c:pt idx="252">
                  <c:v>1835.12</c:v>
                </c:pt>
                <c:pt idx="253">
                  <c:v>1853.17</c:v>
                </c:pt>
                <c:pt idx="254">
                  <c:v>1879.55</c:v>
                </c:pt>
                <c:pt idx="255">
                  <c:v>1906.53</c:v>
                </c:pt>
                <c:pt idx="256">
                  <c:v>1933.53</c:v>
                </c:pt>
                <c:pt idx="257">
                  <c:v>1960.53</c:v>
                </c:pt>
                <c:pt idx="258">
                  <c:v>2010.98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9-0241-A781-DE337A0320D6}"/>
            </c:ext>
          </c:extLst>
        </c:ser>
        <c:ser>
          <c:idx val="3"/>
          <c:order val="2"/>
          <c:tx>
            <c:strRef>
              <c:f>'Fig 9f'!$G$2</c:f>
              <c:strCache>
                <c:ptCount val="1"/>
                <c:pt idx="0">
                  <c:v>Backgnd.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'Fig 9f'!$A$4:$A$262</c:f>
              <c:numCache>
                <c:formatCode>General</c:formatCode>
                <c:ptCount val="259"/>
                <c:pt idx="0">
                  <c:v>150</c:v>
                </c:pt>
                <c:pt idx="1">
                  <c:v>149.9</c:v>
                </c:pt>
                <c:pt idx="2">
                  <c:v>149.80000000000001</c:v>
                </c:pt>
                <c:pt idx="3">
                  <c:v>149.69999999999999</c:v>
                </c:pt>
                <c:pt idx="4">
                  <c:v>149.6</c:v>
                </c:pt>
                <c:pt idx="5">
                  <c:v>149.5</c:v>
                </c:pt>
                <c:pt idx="6">
                  <c:v>149.4</c:v>
                </c:pt>
                <c:pt idx="7">
                  <c:v>149.30000000000001</c:v>
                </c:pt>
                <c:pt idx="8">
                  <c:v>149.19999999999999</c:v>
                </c:pt>
                <c:pt idx="9">
                  <c:v>149.1</c:v>
                </c:pt>
                <c:pt idx="10">
                  <c:v>149</c:v>
                </c:pt>
                <c:pt idx="11">
                  <c:v>148.9</c:v>
                </c:pt>
                <c:pt idx="12">
                  <c:v>148.80000000000001</c:v>
                </c:pt>
                <c:pt idx="13">
                  <c:v>148.69999999999999</c:v>
                </c:pt>
                <c:pt idx="14">
                  <c:v>148.6</c:v>
                </c:pt>
                <c:pt idx="15">
                  <c:v>148.5</c:v>
                </c:pt>
                <c:pt idx="16">
                  <c:v>148.4</c:v>
                </c:pt>
                <c:pt idx="17">
                  <c:v>148.30000000000001</c:v>
                </c:pt>
                <c:pt idx="18">
                  <c:v>148.19999999999999</c:v>
                </c:pt>
                <c:pt idx="19">
                  <c:v>148.1</c:v>
                </c:pt>
                <c:pt idx="20">
                  <c:v>148</c:v>
                </c:pt>
                <c:pt idx="21">
                  <c:v>147.9</c:v>
                </c:pt>
                <c:pt idx="22">
                  <c:v>147.80000000000001</c:v>
                </c:pt>
                <c:pt idx="23">
                  <c:v>147.69999999999999</c:v>
                </c:pt>
                <c:pt idx="24">
                  <c:v>147.6</c:v>
                </c:pt>
                <c:pt idx="25">
                  <c:v>147.5</c:v>
                </c:pt>
                <c:pt idx="26">
                  <c:v>147.4</c:v>
                </c:pt>
                <c:pt idx="27">
                  <c:v>147.30000000000001</c:v>
                </c:pt>
                <c:pt idx="28">
                  <c:v>147.19999999999999</c:v>
                </c:pt>
                <c:pt idx="29">
                  <c:v>147.1</c:v>
                </c:pt>
                <c:pt idx="30">
                  <c:v>147</c:v>
                </c:pt>
                <c:pt idx="31">
                  <c:v>146.9</c:v>
                </c:pt>
                <c:pt idx="32">
                  <c:v>146.80000000000001</c:v>
                </c:pt>
                <c:pt idx="33">
                  <c:v>146.69999999999999</c:v>
                </c:pt>
                <c:pt idx="34">
                  <c:v>146.6</c:v>
                </c:pt>
                <c:pt idx="35">
                  <c:v>146.5</c:v>
                </c:pt>
                <c:pt idx="36">
                  <c:v>146.4</c:v>
                </c:pt>
                <c:pt idx="37">
                  <c:v>146.30000000000001</c:v>
                </c:pt>
                <c:pt idx="38">
                  <c:v>146.19999999999999</c:v>
                </c:pt>
                <c:pt idx="39">
                  <c:v>146.1</c:v>
                </c:pt>
                <c:pt idx="40">
                  <c:v>146</c:v>
                </c:pt>
                <c:pt idx="41">
                  <c:v>145.9</c:v>
                </c:pt>
                <c:pt idx="42">
                  <c:v>145.80000000000001</c:v>
                </c:pt>
                <c:pt idx="43">
                  <c:v>145.69999999999999</c:v>
                </c:pt>
                <c:pt idx="44">
                  <c:v>145.6</c:v>
                </c:pt>
                <c:pt idx="45">
                  <c:v>145.5</c:v>
                </c:pt>
                <c:pt idx="46">
                  <c:v>145.4</c:v>
                </c:pt>
                <c:pt idx="47">
                  <c:v>145.30000000000001</c:v>
                </c:pt>
                <c:pt idx="48">
                  <c:v>145.19999999999999</c:v>
                </c:pt>
                <c:pt idx="49">
                  <c:v>145.1</c:v>
                </c:pt>
                <c:pt idx="50">
                  <c:v>145</c:v>
                </c:pt>
                <c:pt idx="51">
                  <c:v>144.9</c:v>
                </c:pt>
                <c:pt idx="52">
                  <c:v>144.80000000000001</c:v>
                </c:pt>
                <c:pt idx="53">
                  <c:v>144.69999999999999</c:v>
                </c:pt>
                <c:pt idx="54">
                  <c:v>144.6</c:v>
                </c:pt>
                <c:pt idx="55">
                  <c:v>144.5</c:v>
                </c:pt>
                <c:pt idx="56">
                  <c:v>144.4</c:v>
                </c:pt>
                <c:pt idx="57">
                  <c:v>144.30000000000001</c:v>
                </c:pt>
                <c:pt idx="58">
                  <c:v>144.19999999999999</c:v>
                </c:pt>
                <c:pt idx="59">
                  <c:v>144.1</c:v>
                </c:pt>
                <c:pt idx="60">
                  <c:v>144</c:v>
                </c:pt>
                <c:pt idx="61">
                  <c:v>143.9</c:v>
                </c:pt>
                <c:pt idx="62">
                  <c:v>143.80000000000001</c:v>
                </c:pt>
                <c:pt idx="63">
                  <c:v>143.69999999999999</c:v>
                </c:pt>
                <c:pt idx="64">
                  <c:v>143.6</c:v>
                </c:pt>
                <c:pt idx="65">
                  <c:v>143.5</c:v>
                </c:pt>
                <c:pt idx="66">
                  <c:v>143.4</c:v>
                </c:pt>
                <c:pt idx="67">
                  <c:v>143.30000000000001</c:v>
                </c:pt>
                <c:pt idx="68">
                  <c:v>143.19999999999999</c:v>
                </c:pt>
                <c:pt idx="69">
                  <c:v>143.1</c:v>
                </c:pt>
                <c:pt idx="70">
                  <c:v>143</c:v>
                </c:pt>
                <c:pt idx="71">
                  <c:v>142.9</c:v>
                </c:pt>
                <c:pt idx="72">
                  <c:v>142.80000000000001</c:v>
                </c:pt>
                <c:pt idx="73">
                  <c:v>142.69999999999999</c:v>
                </c:pt>
                <c:pt idx="74">
                  <c:v>142.6</c:v>
                </c:pt>
                <c:pt idx="75">
                  <c:v>142.5</c:v>
                </c:pt>
                <c:pt idx="76">
                  <c:v>142.4</c:v>
                </c:pt>
                <c:pt idx="77">
                  <c:v>142.30000000000001</c:v>
                </c:pt>
                <c:pt idx="78">
                  <c:v>142.19999999999999</c:v>
                </c:pt>
                <c:pt idx="79">
                  <c:v>142.1</c:v>
                </c:pt>
                <c:pt idx="80">
                  <c:v>142</c:v>
                </c:pt>
                <c:pt idx="81">
                  <c:v>141.9</c:v>
                </c:pt>
                <c:pt idx="82">
                  <c:v>141.80000000000001</c:v>
                </c:pt>
                <c:pt idx="83">
                  <c:v>141.69999999999999</c:v>
                </c:pt>
                <c:pt idx="84">
                  <c:v>141.6</c:v>
                </c:pt>
                <c:pt idx="85">
                  <c:v>141.5</c:v>
                </c:pt>
                <c:pt idx="86">
                  <c:v>141.4</c:v>
                </c:pt>
                <c:pt idx="87">
                  <c:v>141.30000000000001</c:v>
                </c:pt>
                <c:pt idx="88">
                  <c:v>141.19999999999999</c:v>
                </c:pt>
                <c:pt idx="89">
                  <c:v>141.1</c:v>
                </c:pt>
                <c:pt idx="90">
                  <c:v>141</c:v>
                </c:pt>
                <c:pt idx="91">
                  <c:v>140.9</c:v>
                </c:pt>
                <c:pt idx="92">
                  <c:v>140.80000000000001</c:v>
                </c:pt>
                <c:pt idx="93">
                  <c:v>140.69999999999999</c:v>
                </c:pt>
                <c:pt idx="94">
                  <c:v>140.6</c:v>
                </c:pt>
                <c:pt idx="95">
                  <c:v>140.5</c:v>
                </c:pt>
                <c:pt idx="96">
                  <c:v>140.4</c:v>
                </c:pt>
                <c:pt idx="97">
                  <c:v>140.30000000000001</c:v>
                </c:pt>
                <c:pt idx="98">
                  <c:v>140.19999999999999</c:v>
                </c:pt>
                <c:pt idx="99">
                  <c:v>140.1</c:v>
                </c:pt>
                <c:pt idx="100">
                  <c:v>140</c:v>
                </c:pt>
                <c:pt idx="101">
                  <c:v>139.9</c:v>
                </c:pt>
                <c:pt idx="102">
                  <c:v>139.80000000000001</c:v>
                </c:pt>
                <c:pt idx="103">
                  <c:v>139.69999999999999</c:v>
                </c:pt>
                <c:pt idx="104">
                  <c:v>139.6</c:v>
                </c:pt>
                <c:pt idx="105">
                  <c:v>139.5</c:v>
                </c:pt>
                <c:pt idx="106">
                  <c:v>139.4</c:v>
                </c:pt>
                <c:pt idx="107">
                  <c:v>139.30000000000001</c:v>
                </c:pt>
                <c:pt idx="108">
                  <c:v>139.19999999999999</c:v>
                </c:pt>
                <c:pt idx="109">
                  <c:v>139.1</c:v>
                </c:pt>
                <c:pt idx="110">
                  <c:v>139</c:v>
                </c:pt>
                <c:pt idx="111">
                  <c:v>138.9</c:v>
                </c:pt>
                <c:pt idx="112">
                  <c:v>138.80000000000001</c:v>
                </c:pt>
                <c:pt idx="113">
                  <c:v>138.69999999999999</c:v>
                </c:pt>
                <c:pt idx="114">
                  <c:v>138.6</c:v>
                </c:pt>
                <c:pt idx="115">
                  <c:v>138.5</c:v>
                </c:pt>
                <c:pt idx="116">
                  <c:v>138.4</c:v>
                </c:pt>
                <c:pt idx="117">
                  <c:v>138.30000000000001</c:v>
                </c:pt>
                <c:pt idx="118">
                  <c:v>138.19999999999999</c:v>
                </c:pt>
                <c:pt idx="119">
                  <c:v>138.1</c:v>
                </c:pt>
                <c:pt idx="120">
                  <c:v>138</c:v>
                </c:pt>
                <c:pt idx="121">
                  <c:v>137.9</c:v>
                </c:pt>
                <c:pt idx="122">
                  <c:v>137.80000000000001</c:v>
                </c:pt>
                <c:pt idx="123">
                  <c:v>137.69999999999999</c:v>
                </c:pt>
                <c:pt idx="124">
                  <c:v>137.6</c:v>
                </c:pt>
                <c:pt idx="125">
                  <c:v>137.5</c:v>
                </c:pt>
                <c:pt idx="126">
                  <c:v>137.4</c:v>
                </c:pt>
                <c:pt idx="127">
                  <c:v>137.30000000000001</c:v>
                </c:pt>
                <c:pt idx="128">
                  <c:v>137.19999999999999</c:v>
                </c:pt>
                <c:pt idx="129">
                  <c:v>137.1</c:v>
                </c:pt>
                <c:pt idx="130">
                  <c:v>137</c:v>
                </c:pt>
                <c:pt idx="131">
                  <c:v>136.9</c:v>
                </c:pt>
                <c:pt idx="132">
                  <c:v>136.80000000000001</c:v>
                </c:pt>
                <c:pt idx="133">
                  <c:v>136.69999999999999</c:v>
                </c:pt>
                <c:pt idx="134">
                  <c:v>136.6</c:v>
                </c:pt>
                <c:pt idx="135">
                  <c:v>136.5</c:v>
                </c:pt>
                <c:pt idx="136">
                  <c:v>136.4</c:v>
                </c:pt>
                <c:pt idx="137">
                  <c:v>136.30000000000001</c:v>
                </c:pt>
                <c:pt idx="138">
                  <c:v>136.19999999999999</c:v>
                </c:pt>
                <c:pt idx="139">
                  <c:v>136.1</c:v>
                </c:pt>
                <c:pt idx="140">
                  <c:v>136</c:v>
                </c:pt>
                <c:pt idx="141">
                  <c:v>135.9</c:v>
                </c:pt>
                <c:pt idx="142">
                  <c:v>135.80000000000001</c:v>
                </c:pt>
                <c:pt idx="143">
                  <c:v>135.69999999999999</c:v>
                </c:pt>
                <c:pt idx="144">
                  <c:v>135.6</c:v>
                </c:pt>
                <c:pt idx="145">
                  <c:v>135.5</c:v>
                </c:pt>
                <c:pt idx="146">
                  <c:v>135.4</c:v>
                </c:pt>
                <c:pt idx="147">
                  <c:v>135.30000000000001</c:v>
                </c:pt>
                <c:pt idx="148">
                  <c:v>135.19999999999999</c:v>
                </c:pt>
                <c:pt idx="149">
                  <c:v>135.1</c:v>
                </c:pt>
                <c:pt idx="150">
                  <c:v>135</c:v>
                </c:pt>
                <c:pt idx="151">
                  <c:v>134.9</c:v>
                </c:pt>
                <c:pt idx="152">
                  <c:v>134.80000000000001</c:v>
                </c:pt>
                <c:pt idx="153">
                  <c:v>134.69999999999999</c:v>
                </c:pt>
                <c:pt idx="154">
                  <c:v>134.6</c:v>
                </c:pt>
                <c:pt idx="155">
                  <c:v>134.5</c:v>
                </c:pt>
                <c:pt idx="156">
                  <c:v>134.4</c:v>
                </c:pt>
                <c:pt idx="157">
                  <c:v>134.30000000000001</c:v>
                </c:pt>
                <c:pt idx="158">
                  <c:v>134.19999999999999</c:v>
                </c:pt>
                <c:pt idx="159">
                  <c:v>134.1</c:v>
                </c:pt>
                <c:pt idx="160">
                  <c:v>134</c:v>
                </c:pt>
                <c:pt idx="161">
                  <c:v>133.9</c:v>
                </c:pt>
                <c:pt idx="162">
                  <c:v>133.80000000000001</c:v>
                </c:pt>
                <c:pt idx="163">
                  <c:v>133.69999999999999</c:v>
                </c:pt>
                <c:pt idx="164">
                  <c:v>133.6</c:v>
                </c:pt>
                <c:pt idx="165">
                  <c:v>133.5</c:v>
                </c:pt>
                <c:pt idx="166">
                  <c:v>133.4</c:v>
                </c:pt>
                <c:pt idx="167">
                  <c:v>133.30000000000001</c:v>
                </c:pt>
                <c:pt idx="168">
                  <c:v>133.19999999999999</c:v>
                </c:pt>
                <c:pt idx="169">
                  <c:v>133.1</c:v>
                </c:pt>
                <c:pt idx="170">
                  <c:v>133</c:v>
                </c:pt>
                <c:pt idx="171">
                  <c:v>132.9</c:v>
                </c:pt>
                <c:pt idx="172">
                  <c:v>132.80000000000001</c:v>
                </c:pt>
                <c:pt idx="173">
                  <c:v>132.69999999999999</c:v>
                </c:pt>
                <c:pt idx="174">
                  <c:v>132.6</c:v>
                </c:pt>
                <c:pt idx="175">
                  <c:v>132.5</c:v>
                </c:pt>
                <c:pt idx="176">
                  <c:v>132.4</c:v>
                </c:pt>
                <c:pt idx="177">
                  <c:v>132.30000000000001</c:v>
                </c:pt>
                <c:pt idx="178">
                  <c:v>132.19999999999999</c:v>
                </c:pt>
                <c:pt idx="179">
                  <c:v>132.1</c:v>
                </c:pt>
                <c:pt idx="180">
                  <c:v>132</c:v>
                </c:pt>
                <c:pt idx="181">
                  <c:v>131.9</c:v>
                </c:pt>
                <c:pt idx="182">
                  <c:v>131.80000000000001</c:v>
                </c:pt>
                <c:pt idx="183">
                  <c:v>131.69999999999999</c:v>
                </c:pt>
                <c:pt idx="184">
                  <c:v>131.6</c:v>
                </c:pt>
                <c:pt idx="185">
                  <c:v>131.5</c:v>
                </c:pt>
                <c:pt idx="186">
                  <c:v>131.4</c:v>
                </c:pt>
                <c:pt idx="187">
                  <c:v>131.30000000000001</c:v>
                </c:pt>
                <c:pt idx="188">
                  <c:v>131.19999999999999</c:v>
                </c:pt>
                <c:pt idx="189">
                  <c:v>131.1</c:v>
                </c:pt>
                <c:pt idx="190">
                  <c:v>131</c:v>
                </c:pt>
                <c:pt idx="191">
                  <c:v>130.9</c:v>
                </c:pt>
                <c:pt idx="192">
                  <c:v>130.80000000000001</c:v>
                </c:pt>
                <c:pt idx="193">
                  <c:v>130.69999999999999</c:v>
                </c:pt>
                <c:pt idx="194">
                  <c:v>130.6</c:v>
                </c:pt>
                <c:pt idx="195">
                  <c:v>130.5</c:v>
                </c:pt>
                <c:pt idx="196">
                  <c:v>130.4</c:v>
                </c:pt>
                <c:pt idx="197">
                  <c:v>130.30000000000001</c:v>
                </c:pt>
                <c:pt idx="198">
                  <c:v>130.19999999999999</c:v>
                </c:pt>
                <c:pt idx="199">
                  <c:v>130.1</c:v>
                </c:pt>
                <c:pt idx="200">
                  <c:v>130</c:v>
                </c:pt>
                <c:pt idx="201">
                  <c:v>129.9</c:v>
                </c:pt>
                <c:pt idx="202">
                  <c:v>129.80000000000001</c:v>
                </c:pt>
                <c:pt idx="203">
                  <c:v>129.69999999999999</c:v>
                </c:pt>
                <c:pt idx="204">
                  <c:v>129.6</c:v>
                </c:pt>
                <c:pt idx="205">
                  <c:v>129.5</c:v>
                </c:pt>
                <c:pt idx="206">
                  <c:v>129.4</c:v>
                </c:pt>
                <c:pt idx="207">
                  <c:v>129.30000000000001</c:v>
                </c:pt>
                <c:pt idx="208">
                  <c:v>129.19999999999999</c:v>
                </c:pt>
                <c:pt idx="209">
                  <c:v>129.1</c:v>
                </c:pt>
                <c:pt idx="210">
                  <c:v>129</c:v>
                </c:pt>
                <c:pt idx="211">
                  <c:v>128.9</c:v>
                </c:pt>
                <c:pt idx="212">
                  <c:v>128.80000000000001</c:v>
                </c:pt>
                <c:pt idx="213">
                  <c:v>128.69999999999999</c:v>
                </c:pt>
                <c:pt idx="214">
                  <c:v>128.6</c:v>
                </c:pt>
                <c:pt idx="215">
                  <c:v>128.5</c:v>
                </c:pt>
                <c:pt idx="216">
                  <c:v>128.4</c:v>
                </c:pt>
                <c:pt idx="217">
                  <c:v>128.30000000000001</c:v>
                </c:pt>
                <c:pt idx="218">
                  <c:v>128.19999999999999</c:v>
                </c:pt>
                <c:pt idx="219">
                  <c:v>128.1</c:v>
                </c:pt>
                <c:pt idx="220">
                  <c:v>128</c:v>
                </c:pt>
                <c:pt idx="221">
                  <c:v>127.9</c:v>
                </c:pt>
                <c:pt idx="222">
                  <c:v>127.8</c:v>
                </c:pt>
                <c:pt idx="223">
                  <c:v>127.7</c:v>
                </c:pt>
                <c:pt idx="224">
                  <c:v>127.6</c:v>
                </c:pt>
                <c:pt idx="225">
                  <c:v>127.5</c:v>
                </c:pt>
                <c:pt idx="226">
                  <c:v>127.4</c:v>
                </c:pt>
                <c:pt idx="227">
                  <c:v>127.3</c:v>
                </c:pt>
                <c:pt idx="228">
                  <c:v>127.2</c:v>
                </c:pt>
                <c:pt idx="229">
                  <c:v>127.1</c:v>
                </c:pt>
                <c:pt idx="230">
                  <c:v>127</c:v>
                </c:pt>
                <c:pt idx="231">
                  <c:v>126.9</c:v>
                </c:pt>
                <c:pt idx="232">
                  <c:v>126.8</c:v>
                </c:pt>
                <c:pt idx="233">
                  <c:v>126.7</c:v>
                </c:pt>
                <c:pt idx="234">
                  <c:v>126.6</c:v>
                </c:pt>
                <c:pt idx="235">
                  <c:v>126.5</c:v>
                </c:pt>
                <c:pt idx="236">
                  <c:v>126.4</c:v>
                </c:pt>
                <c:pt idx="237">
                  <c:v>126.3</c:v>
                </c:pt>
                <c:pt idx="238">
                  <c:v>126.2</c:v>
                </c:pt>
                <c:pt idx="239">
                  <c:v>126.1</c:v>
                </c:pt>
                <c:pt idx="240">
                  <c:v>126</c:v>
                </c:pt>
                <c:pt idx="241">
                  <c:v>125.9</c:v>
                </c:pt>
                <c:pt idx="242">
                  <c:v>125.8</c:v>
                </c:pt>
                <c:pt idx="243">
                  <c:v>125.7</c:v>
                </c:pt>
                <c:pt idx="244">
                  <c:v>125.6</c:v>
                </c:pt>
                <c:pt idx="245">
                  <c:v>125.5</c:v>
                </c:pt>
                <c:pt idx="246">
                  <c:v>125.4</c:v>
                </c:pt>
                <c:pt idx="247">
                  <c:v>125.3</c:v>
                </c:pt>
                <c:pt idx="248">
                  <c:v>125.2</c:v>
                </c:pt>
                <c:pt idx="249">
                  <c:v>125.1</c:v>
                </c:pt>
                <c:pt idx="250">
                  <c:v>125</c:v>
                </c:pt>
                <c:pt idx="251">
                  <c:v>124.9</c:v>
                </c:pt>
                <c:pt idx="252">
                  <c:v>124.8</c:v>
                </c:pt>
                <c:pt idx="253">
                  <c:v>124.7</c:v>
                </c:pt>
                <c:pt idx="254">
                  <c:v>124.6</c:v>
                </c:pt>
                <c:pt idx="255">
                  <c:v>124.5</c:v>
                </c:pt>
                <c:pt idx="256">
                  <c:v>124.4</c:v>
                </c:pt>
                <c:pt idx="257">
                  <c:v>124.3</c:v>
                </c:pt>
                <c:pt idx="258">
                  <c:v>124.2</c:v>
                </c:pt>
              </c:numCache>
            </c:numRef>
          </c:cat>
          <c:val>
            <c:numRef>
              <c:f>'Fig 9f'!$G$4:$G$262</c:f>
              <c:numCache>
                <c:formatCode>General</c:formatCode>
                <c:ptCount val="259"/>
                <c:pt idx="0">
                  <c:v>2089.2199999999998</c:v>
                </c:pt>
                <c:pt idx="1">
                  <c:v>2088.19</c:v>
                </c:pt>
                <c:pt idx="2">
                  <c:v>2064.8200000000002</c:v>
                </c:pt>
                <c:pt idx="3">
                  <c:v>2051.31</c:v>
                </c:pt>
                <c:pt idx="4">
                  <c:v>2050.5700000000002</c:v>
                </c:pt>
                <c:pt idx="5">
                  <c:v>2043.88</c:v>
                </c:pt>
                <c:pt idx="6">
                  <c:v>2032.46</c:v>
                </c:pt>
                <c:pt idx="7">
                  <c:v>2019.47</c:v>
                </c:pt>
                <c:pt idx="8">
                  <c:v>2004.39</c:v>
                </c:pt>
                <c:pt idx="9">
                  <c:v>1993.61</c:v>
                </c:pt>
                <c:pt idx="10">
                  <c:v>1990.93</c:v>
                </c:pt>
                <c:pt idx="11">
                  <c:v>1990.14</c:v>
                </c:pt>
                <c:pt idx="12">
                  <c:v>1970.08</c:v>
                </c:pt>
                <c:pt idx="13">
                  <c:v>1959.09</c:v>
                </c:pt>
                <c:pt idx="14">
                  <c:v>1959.08</c:v>
                </c:pt>
                <c:pt idx="15">
                  <c:v>1957.93</c:v>
                </c:pt>
                <c:pt idx="16">
                  <c:v>1956.32</c:v>
                </c:pt>
                <c:pt idx="17">
                  <c:v>1956.29</c:v>
                </c:pt>
                <c:pt idx="18">
                  <c:v>1956.12</c:v>
                </c:pt>
                <c:pt idx="19">
                  <c:v>1954.66</c:v>
                </c:pt>
                <c:pt idx="20">
                  <c:v>1953.01</c:v>
                </c:pt>
                <c:pt idx="21">
                  <c:v>1951.43</c:v>
                </c:pt>
                <c:pt idx="22">
                  <c:v>1949.65</c:v>
                </c:pt>
                <c:pt idx="23">
                  <c:v>1947.63</c:v>
                </c:pt>
                <c:pt idx="24">
                  <c:v>1946.55</c:v>
                </c:pt>
                <c:pt idx="25">
                  <c:v>1945.96</c:v>
                </c:pt>
                <c:pt idx="26">
                  <c:v>1945.41</c:v>
                </c:pt>
                <c:pt idx="27">
                  <c:v>1944.89</c:v>
                </c:pt>
                <c:pt idx="28">
                  <c:v>1944.15</c:v>
                </c:pt>
                <c:pt idx="29">
                  <c:v>1943.38</c:v>
                </c:pt>
                <c:pt idx="30">
                  <c:v>1942.13</c:v>
                </c:pt>
                <c:pt idx="31">
                  <c:v>1941.18</c:v>
                </c:pt>
                <c:pt idx="32">
                  <c:v>1940.54</c:v>
                </c:pt>
                <c:pt idx="33">
                  <c:v>1940.44</c:v>
                </c:pt>
                <c:pt idx="34">
                  <c:v>1940.21</c:v>
                </c:pt>
                <c:pt idx="35">
                  <c:v>1939.96</c:v>
                </c:pt>
                <c:pt idx="36">
                  <c:v>1939.6</c:v>
                </c:pt>
                <c:pt idx="37">
                  <c:v>1939.12</c:v>
                </c:pt>
                <c:pt idx="38">
                  <c:v>1938.35</c:v>
                </c:pt>
                <c:pt idx="39">
                  <c:v>1937.12</c:v>
                </c:pt>
                <c:pt idx="40">
                  <c:v>1936.32</c:v>
                </c:pt>
                <c:pt idx="41">
                  <c:v>1935.34</c:v>
                </c:pt>
                <c:pt idx="42">
                  <c:v>1934.15</c:v>
                </c:pt>
                <c:pt idx="43">
                  <c:v>1932.78</c:v>
                </c:pt>
                <c:pt idx="44">
                  <c:v>1931.49</c:v>
                </c:pt>
                <c:pt idx="45">
                  <c:v>1930.44</c:v>
                </c:pt>
                <c:pt idx="46">
                  <c:v>1929.44</c:v>
                </c:pt>
                <c:pt idx="47">
                  <c:v>1928.45</c:v>
                </c:pt>
                <c:pt idx="48">
                  <c:v>1927.24</c:v>
                </c:pt>
                <c:pt idx="49">
                  <c:v>1926.62</c:v>
                </c:pt>
                <c:pt idx="50">
                  <c:v>1925.73</c:v>
                </c:pt>
                <c:pt idx="51">
                  <c:v>1924.91</c:v>
                </c:pt>
                <c:pt idx="52">
                  <c:v>1924.32</c:v>
                </c:pt>
                <c:pt idx="53">
                  <c:v>1924.05</c:v>
                </c:pt>
                <c:pt idx="54">
                  <c:v>1923.9</c:v>
                </c:pt>
                <c:pt idx="55">
                  <c:v>1923.86</c:v>
                </c:pt>
                <c:pt idx="56">
                  <c:v>1923.79</c:v>
                </c:pt>
                <c:pt idx="57">
                  <c:v>1923.06</c:v>
                </c:pt>
                <c:pt idx="58">
                  <c:v>1922.94</c:v>
                </c:pt>
                <c:pt idx="59">
                  <c:v>1922.55</c:v>
                </c:pt>
                <c:pt idx="60">
                  <c:v>1921.43</c:v>
                </c:pt>
                <c:pt idx="61">
                  <c:v>1919.93</c:v>
                </c:pt>
                <c:pt idx="62">
                  <c:v>1918.76</c:v>
                </c:pt>
                <c:pt idx="63">
                  <c:v>1917.82</c:v>
                </c:pt>
                <c:pt idx="64">
                  <c:v>1916.65</c:v>
                </c:pt>
                <c:pt idx="65">
                  <c:v>1915.2</c:v>
                </c:pt>
                <c:pt idx="66">
                  <c:v>1913.59</c:v>
                </c:pt>
                <c:pt idx="67">
                  <c:v>1911.88</c:v>
                </c:pt>
                <c:pt idx="68">
                  <c:v>1909.38</c:v>
                </c:pt>
                <c:pt idx="69">
                  <c:v>1907.44</c:v>
                </c:pt>
                <c:pt idx="70">
                  <c:v>1906.55</c:v>
                </c:pt>
                <c:pt idx="71">
                  <c:v>1905.78</c:v>
                </c:pt>
                <c:pt idx="72">
                  <c:v>1905.33</c:v>
                </c:pt>
                <c:pt idx="73">
                  <c:v>1905.15</c:v>
                </c:pt>
                <c:pt idx="74">
                  <c:v>1904.29</c:v>
                </c:pt>
                <c:pt idx="75">
                  <c:v>1902.55</c:v>
                </c:pt>
                <c:pt idx="76">
                  <c:v>1900.01</c:v>
                </c:pt>
                <c:pt idx="77">
                  <c:v>1896.8</c:v>
                </c:pt>
                <c:pt idx="78">
                  <c:v>1892.97</c:v>
                </c:pt>
                <c:pt idx="79">
                  <c:v>1889.01</c:v>
                </c:pt>
                <c:pt idx="80">
                  <c:v>1885.45</c:v>
                </c:pt>
                <c:pt idx="81">
                  <c:v>1883.12</c:v>
                </c:pt>
                <c:pt idx="82">
                  <c:v>1881.68</c:v>
                </c:pt>
                <c:pt idx="83">
                  <c:v>1880.93</c:v>
                </c:pt>
                <c:pt idx="84">
                  <c:v>1880.82</c:v>
                </c:pt>
                <c:pt idx="85">
                  <c:v>1880.74</c:v>
                </c:pt>
                <c:pt idx="86">
                  <c:v>1880.58</c:v>
                </c:pt>
                <c:pt idx="87">
                  <c:v>1880.36</c:v>
                </c:pt>
                <c:pt idx="88">
                  <c:v>1880.11</c:v>
                </c:pt>
                <c:pt idx="89">
                  <c:v>1879.69</c:v>
                </c:pt>
                <c:pt idx="90">
                  <c:v>1879.25</c:v>
                </c:pt>
                <c:pt idx="91">
                  <c:v>1878.82</c:v>
                </c:pt>
                <c:pt idx="92">
                  <c:v>1878.4</c:v>
                </c:pt>
                <c:pt idx="93">
                  <c:v>1878.02</c:v>
                </c:pt>
                <c:pt idx="94">
                  <c:v>1877.72</c:v>
                </c:pt>
                <c:pt idx="95">
                  <c:v>1877.43</c:v>
                </c:pt>
                <c:pt idx="96">
                  <c:v>1877</c:v>
                </c:pt>
                <c:pt idx="97">
                  <c:v>1876.53</c:v>
                </c:pt>
                <c:pt idx="98">
                  <c:v>1875.96</c:v>
                </c:pt>
                <c:pt idx="99">
                  <c:v>1875.4</c:v>
                </c:pt>
                <c:pt idx="100">
                  <c:v>1874.78</c:v>
                </c:pt>
                <c:pt idx="101">
                  <c:v>1874.16</c:v>
                </c:pt>
                <c:pt idx="102">
                  <c:v>1873.6</c:v>
                </c:pt>
                <c:pt idx="103">
                  <c:v>1872.99</c:v>
                </c:pt>
                <c:pt idx="104">
                  <c:v>1872.24</c:v>
                </c:pt>
                <c:pt idx="105">
                  <c:v>1871.43</c:v>
                </c:pt>
                <c:pt idx="106">
                  <c:v>1870.63</c:v>
                </c:pt>
                <c:pt idx="107">
                  <c:v>1869.65</c:v>
                </c:pt>
                <c:pt idx="108">
                  <c:v>1868.47</c:v>
                </c:pt>
                <c:pt idx="109">
                  <c:v>1867.2</c:v>
                </c:pt>
                <c:pt idx="110">
                  <c:v>1865.75</c:v>
                </c:pt>
                <c:pt idx="111">
                  <c:v>1864.05</c:v>
                </c:pt>
                <c:pt idx="112">
                  <c:v>1862.18</c:v>
                </c:pt>
                <c:pt idx="113">
                  <c:v>1860.23</c:v>
                </c:pt>
                <c:pt idx="114">
                  <c:v>1858.11</c:v>
                </c:pt>
                <c:pt idx="115">
                  <c:v>1855.81</c:v>
                </c:pt>
                <c:pt idx="116">
                  <c:v>1853.35</c:v>
                </c:pt>
                <c:pt idx="117">
                  <c:v>1850.63</c:v>
                </c:pt>
                <c:pt idx="118">
                  <c:v>1847.64</c:v>
                </c:pt>
                <c:pt idx="119">
                  <c:v>1844.49</c:v>
                </c:pt>
                <c:pt idx="120">
                  <c:v>1841.13</c:v>
                </c:pt>
                <c:pt idx="121">
                  <c:v>1837.52</c:v>
                </c:pt>
                <c:pt idx="122">
                  <c:v>1833.7</c:v>
                </c:pt>
                <c:pt idx="123">
                  <c:v>1829.74</c:v>
                </c:pt>
                <c:pt idx="124">
                  <c:v>1825.55</c:v>
                </c:pt>
                <c:pt idx="125">
                  <c:v>1821.14</c:v>
                </c:pt>
                <c:pt idx="126">
                  <c:v>1816.53</c:v>
                </c:pt>
                <c:pt idx="127">
                  <c:v>1811.71</c:v>
                </c:pt>
                <c:pt idx="128">
                  <c:v>1806.57</c:v>
                </c:pt>
                <c:pt idx="129">
                  <c:v>1801.2</c:v>
                </c:pt>
                <c:pt idx="130">
                  <c:v>1795.63</c:v>
                </c:pt>
                <c:pt idx="131">
                  <c:v>1789.92</c:v>
                </c:pt>
                <c:pt idx="132">
                  <c:v>1784.05</c:v>
                </c:pt>
                <c:pt idx="133">
                  <c:v>1778.15</c:v>
                </c:pt>
                <c:pt idx="134">
                  <c:v>1772.13</c:v>
                </c:pt>
                <c:pt idx="135">
                  <c:v>1766</c:v>
                </c:pt>
                <c:pt idx="136">
                  <c:v>1759.79</c:v>
                </c:pt>
                <c:pt idx="137">
                  <c:v>1753.5</c:v>
                </c:pt>
                <c:pt idx="138">
                  <c:v>1747.04</c:v>
                </c:pt>
                <c:pt idx="139">
                  <c:v>1740.35</c:v>
                </c:pt>
                <c:pt idx="140">
                  <c:v>1733.53</c:v>
                </c:pt>
                <c:pt idx="141">
                  <c:v>1726.47</c:v>
                </c:pt>
                <c:pt idx="142">
                  <c:v>1719.24</c:v>
                </c:pt>
                <c:pt idx="143">
                  <c:v>1711.93</c:v>
                </c:pt>
                <c:pt idx="144">
                  <c:v>1704.61</c:v>
                </c:pt>
                <c:pt idx="145">
                  <c:v>1697.22</c:v>
                </c:pt>
                <c:pt idx="146">
                  <c:v>1689.66</c:v>
                </c:pt>
                <c:pt idx="147">
                  <c:v>1682.06</c:v>
                </c:pt>
                <c:pt idx="148">
                  <c:v>1674.35</c:v>
                </c:pt>
                <c:pt idx="149">
                  <c:v>1666.48</c:v>
                </c:pt>
                <c:pt idx="150">
                  <c:v>1658.54</c:v>
                </c:pt>
                <c:pt idx="151">
                  <c:v>1650.57</c:v>
                </c:pt>
                <c:pt idx="152">
                  <c:v>1642.46</c:v>
                </c:pt>
                <c:pt idx="153">
                  <c:v>1634.21</c:v>
                </c:pt>
                <c:pt idx="154">
                  <c:v>1625.89</c:v>
                </c:pt>
                <c:pt idx="155">
                  <c:v>1617.48</c:v>
                </c:pt>
                <c:pt idx="156">
                  <c:v>1609.12</c:v>
                </c:pt>
                <c:pt idx="157">
                  <c:v>1600.92</c:v>
                </c:pt>
                <c:pt idx="158">
                  <c:v>1592.81</c:v>
                </c:pt>
                <c:pt idx="159">
                  <c:v>1584.85</c:v>
                </c:pt>
                <c:pt idx="160">
                  <c:v>1577.15</c:v>
                </c:pt>
                <c:pt idx="161">
                  <c:v>1569.65</c:v>
                </c:pt>
                <c:pt idx="162">
                  <c:v>1562.36</c:v>
                </c:pt>
                <c:pt idx="163">
                  <c:v>1555.38</c:v>
                </c:pt>
                <c:pt idx="164">
                  <c:v>1548.75</c:v>
                </c:pt>
                <c:pt idx="165">
                  <c:v>1542.35</c:v>
                </c:pt>
                <c:pt idx="166">
                  <c:v>1536.3</c:v>
                </c:pt>
                <c:pt idx="167">
                  <c:v>1530.5</c:v>
                </c:pt>
                <c:pt idx="168">
                  <c:v>1525.12</c:v>
                </c:pt>
                <c:pt idx="169">
                  <c:v>1520.1</c:v>
                </c:pt>
                <c:pt idx="170">
                  <c:v>1515.51</c:v>
                </c:pt>
                <c:pt idx="171">
                  <c:v>1511.4</c:v>
                </c:pt>
                <c:pt idx="172">
                  <c:v>1507.79</c:v>
                </c:pt>
                <c:pt idx="173">
                  <c:v>1504.47</c:v>
                </c:pt>
                <c:pt idx="174">
                  <c:v>1501.54</c:v>
                </c:pt>
                <c:pt idx="175">
                  <c:v>1498.99</c:v>
                </c:pt>
                <c:pt idx="176">
                  <c:v>1496.6</c:v>
                </c:pt>
                <c:pt idx="177">
                  <c:v>1494.47</c:v>
                </c:pt>
                <c:pt idx="178">
                  <c:v>1492.56</c:v>
                </c:pt>
                <c:pt idx="179">
                  <c:v>1490.89</c:v>
                </c:pt>
                <c:pt idx="180">
                  <c:v>1489.41</c:v>
                </c:pt>
                <c:pt idx="181">
                  <c:v>1488.23</c:v>
                </c:pt>
                <c:pt idx="182">
                  <c:v>1487.27</c:v>
                </c:pt>
                <c:pt idx="183">
                  <c:v>1486.5</c:v>
                </c:pt>
                <c:pt idx="184">
                  <c:v>1485.91</c:v>
                </c:pt>
                <c:pt idx="185">
                  <c:v>1485.35</c:v>
                </c:pt>
                <c:pt idx="186">
                  <c:v>1484.8</c:v>
                </c:pt>
                <c:pt idx="187">
                  <c:v>1484.28</c:v>
                </c:pt>
                <c:pt idx="188">
                  <c:v>1483.76</c:v>
                </c:pt>
                <c:pt idx="189">
                  <c:v>1483.24</c:v>
                </c:pt>
                <c:pt idx="190">
                  <c:v>1482.83</c:v>
                </c:pt>
                <c:pt idx="191">
                  <c:v>1482.52</c:v>
                </c:pt>
                <c:pt idx="192">
                  <c:v>1482.24</c:v>
                </c:pt>
                <c:pt idx="193">
                  <c:v>1482.01</c:v>
                </c:pt>
                <c:pt idx="194">
                  <c:v>1481.75</c:v>
                </c:pt>
                <c:pt idx="195">
                  <c:v>1481.45</c:v>
                </c:pt>
                <c:pt idx="196">
                  <c:v>1481.04</c:v>
                </c:pt>
                <c:pt idx="197">
                  <c:v>1480.63</c:v>
                </c:pt>
                <c:pt idx="198">
                  <c:v>1480.25</c:v>
                </c:pt>
                <c:pt idx="199">
                  <c:v>1479.86</c:v>
                </c:pt>
                <c:pt idx="200">
                  <c:v>1479.46</c:v>
                </c:pt>
                <c:pt idx="201">
                  <c:v>1479.15</c:v>
                </c:pt>
                <c:pt idx="202">
                  <c:v>1478.85</c:v>
                </c:pt>
                <c:pt idx="203">
                  <c:v>1478.57</c:v>
                </c:pt>
                <c:pt idx="204">
                  <c:v>1478.4</c:v>
                </c:pt>
                <c:pt idx="205">
                  <c:v>1478.26</c:v>
                </c:pt>
                <c:pt idx="206">
                  <c:v>1478.13</c:v>
                </c:pt>
                <c:pt idx="207">
                  <c:v>1478.03</c:v>
                </c:pt>
                <c:pt idx="208">
                  <c:v>1477.87</c:v>
                </c:pt>
                <c:pt idx="209">
                  <c:v>1477.54</c:v>
                </c:pt>
                <c:pt idx="210">
                  <c:v>1477.16</c:v>
                </c:pt>
                <c:pt idx="211">
                  <c:v>1476.81</c:v>
                </c:pt>
                <c:pt idx="212">
                  <c:v>1476.41</c:v>
                </c:pt>
                <c:pt idx="213">
                  <c:v>1476.01</c:v>
                </c:pt>
                <c:pt idx="214">
                  <c:v>1475.72</c:v>
                </c:pt>
                <c:pt idx="215">
                  <c:v>1475.47</c:v>
                </c:pt>
                <c:pt idx="216">
                  <c:v>1475.24</c:v>
                </c:pt>
                <c:pt idx="217">
                  <c:v>1475.05</c:v>
                </c:pt>
                <c:pt idx="218">
                  <c:v>1474.97</c:v>
                </c:pt>
                <c:pt idx="219">
                  <c:v>1480.5</c:v>
                </c:pt>
                <c:pt idx="220">
                  <c:v>1486.03</c:v>
                </c:pt>
                <c:pt idx="221">
                  <c:v>1491.56</c:v>
                </c:pt>
                <c:pt idx="222">
                  <c:v>1497.09</c:v>
                </c:pt>
                <c:pt idx="223">
                  <c:v>1502.62</c:v>
                </c:pt>
                <c:pt idx="224">
                  <c:v>1508.15</c:v>
                </c:pt>
                <c:pt idx="225">
                  <c:v>1513.68</c:v>
                </c:pt>
                <c:pt idx="226">
                  <c:v>1519.21</c:v>
                </c:pt>
                <c:pt idx="227">
                  <c:v>1524.75</c:v>
                </c:pt>
                <c:pt idx="228">
                  <c:v>1530.28</c:v>
                </c:pt>
                <c:pt idx="229">
                  <c:v>1535.81</c:v>
                </c:pt>
                <c:pt idx="230">
                  <c:v>1541.34</c:v>
                </c:pt>
                <c:pt idx="231">
                  <c:v>1546.87</c:v>
                </c:pt>
                <c:pt idx="232">
                  <c:v>1552.4</c:v>
                </c:pt>
                <c:pt idx="233">
                  <c:v>1558.5</c:v>
                </c:pt>
                <c:pt idx="234">
                  <c:v>1564.6</c:v>
                </c:pt>
                <c:pt idx="235">
                  <c:v>1570.71</c:v>
                </c:pt>
                <c:pt idx="236">
                  <c:v>1576.81</c:v>
                </c:pt>
                <c:pt idx="237">
                  <c:v>1582.91</c:v>
                </c:pt>
                <c:pt idx="238">
                  <c:v>1589.01</c:v>
                </c:pt>
                <c:pt idx="239">
                  <c:v>1595.12</c:v>
                </c:pt>
                <c:pt idx="240">
                  <c:v>1601.22</c:v>
                </c:pt>
                <c:pt idx="241">
                  <c:v>1619.55</c:v>
                </c:pt>
                <c:pt idx="242">
                  <c:v>1637.88</c:v>
                </c:pt>
                <c:pt idx="243">
                  <c:v>1656.2</c:v>
                </c:pt>
                <c:pt idx="244">
                  <c:v>1674.53</c:v>
                </c:pt>
                <c:pt idx="245">
                  <c:v>1692.86</c:v>
                </c:pt>
                <c:pt idx="246">
                  <c:v>1711.19</c:v>
                </c:pt>
                <c:pt idx="247">
                  <c:v>1729.52</c:v>
                </c:pt>
                <c:pt idx="248">
                  <c:v>1747.85</c:v>
                </c:pt>
                <c:pt idx="249">
                  <c:v>1766.17</c:v>
                </c:pt>
                <c:pt idx="250">
                  <c:v>1784.5</c:v>
                </c:pt>
                <c:pt idx="251">
                  <c:v>1802.83</c:v>
                </c:pt>
                <c:pt idx="252">
                  <c:v>1821.16</c:v>
                </c:pt>
                <c:pt idx="253">
                  <c:v>1839.49</c:v>
                </c:pt>
                <c:pt idx="254">
                  <c:v>1866.14</c:v>
                </c:pt>
                <c:pt idx="255">
                  <c:v>1893.39</c:v>
                </c:pt>
                <c:pt idx="256">
                  <c:v>1920.64</c:v>
                </c:pt>
                <c:pt idx="257">
                  <c:v>1947.89</c:v>
                </c:pt>
                <c:pt idx="258">
                  <c:v>1998.58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79-0241-A781-DE337A032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7439"/>
        <c:axId val="1810940767"/>
      </c:areaChart>
      <c:lineChart>
        <c:grouping val="standard"/>
        <c:varyColors val="0"/>
        <c:ser>
          <c:idx val="5"/>
          <c:order val="3"/>
          <c:tx>
            <c:strRef>
              <c:f>'Fig 9f'!$C$3</c:f>
              <c:strCache>
                <c:ptCount val="1"/>
                <c:pt idx="0">
                  <c:v>Counts / s  (Residuals × 1)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 9f'!$C$4:$C$262</c:f>
              <c:numCache>
                <c:formatCode>General</c:formatCode>
                <c:ptCount val="259"/>
                <c:pt idx="0">
                  <c:v>2138.58</c:v>
                </c:pt>
                <c:pt idx="1">
                  <c:v>2012.74</c:v>
                </c:pt>
                <c:pt idx="2">
                  <c:v>2026.7</c:v>
                </c:pt>
                <c:pt idx="3">
                  <c:v>2102.5100000000002</c:v>
                </c:pt>
                <c:pt idx="4">
                  <c:v>2061.81</c:v>
                </c:pt>
                <c:pt idx="5">
                  <c:v>2052.7800000000002</c:v>
                </c:pt>
                <c:pt idx="6">
                  <c:v>2052.62</c:v>
                </c:pt>
                <c:pt idx="7">
                  <c:v>2029.53</c:v>
                </c:pt>
                <c:pt idx="8">
                  <c:v>2058.46</c:v>
                </c:pt>
                <c:pt idx="9">
                  <c:v>2018.18</c:v>
                </c:pt>
                <c:pt idx="10">
                  <c:v>1947.71</c:v>
                </c:pt>
                <c:pt idx="11">
                  <c:v>1935.63</c:v>
                </c:pt>
                <c:pt idx="12">
                  <c:v>1994.67</c:v>
                </c:pt>
                <c:pt idx="13">
                  <c:v>2105.9299999999998</c:v>
                </c:pt>
                <c:pt idx="14">
                  <c:v>1895.32</c:v>
                </c:pt>
                <c:pt idx="15">
                  <c:v>1863.9</c:v>
                </c:pt>
                <c:pt idx="16">
                  <c:v>2022.87</c:v>
                </c:pt>
                <c:pt idx="17">
                  <c:v>2025.07</c:v>
                </c:pt>
                <c:pt idx="18">
                  <c:v>1974.43</c:v>
                </c:pt>
                <c:pt idx="19">
                  <c:v>1928.93</c:v>
                </c:pt>
                <c:pt idx="20">
                  <c:v>2206.8200000000002</c:v>
                </c:pt>
                <c:pt idx="21">
                  <c:v>2064.11</c:v>
                </c:pt>
                <c:pt idx="22">
                  <c:v>2001.19</c:v>
                </c:pt>
                <c:pt idx="23">
                  <c:v>2018.96</c:v>
                </c:pt>
                <c:pt idx="24">
                  <c:v>1982.37</c:v>
                </c:pt>
                <c:pt idx="25">
                  <c:v>1949.97</c:v>
                </c:pt>
                <c:pt idx="26">
                  <c:v>1931.15</c:v>
                </c:pt>
                <c:pt idx="27">
                  <c:v>1985.98</c:v>
                </c:pt>
                <c:pt idx="28">
                  <c:v>2008.81</c:v>
                </c:pt>
                <c:pt idx="29">
                  <c:v>2037.3</c:v>
                </c:pt>
                <c:pt idx="30">
                  <c:v>1952.6</c:v>
                </c:pt>
                <c:pt idx="31">
                  <c:v>2057.4699999999998</c:v>
                </c:pt>
                <c:pt idx="32">
                  <c:v>1898.47</c:v>
                </c:pt>
                <c:pt idx="33">
                  <c:v>1923.57</c:v>
                </c:pt>
                <c:pt idx="34">
                  <c:v>1889.83</c:v>
                </c:pt>
                <c:pt idx="35">
                  <c:v>1988.34</c:v>
                </c:pt>
                <c:pt idx="36">
                  <c:v>2059.96</c:v>
                </c:pt>
                <c:pt idx="37">
                  <c:v>1927.34</c:v>
                </c:pt>
                <c:pt idx="38">
                  <c:v>1953.79</c:v>
                </c:pt>
                <c:pt idx="39">
                  <c:v>1964.22</c:v>
                </c:pt>
                <c:pt idx="40">
                  <c:v>2103.4299999999998</c:v>
                </c:pt>
                <c:pt idx="41">
                  <c:v>1942.22</c:v>
                </c:pt>
                <c:pt idx="42">
                  <c:v>1971.97</c:v>
                </c:pt>
                <c:pt idx="43">
                  <c:v>2005.25</c:v>
                </c:pt>
                <c:pt idx="44">
                  <c:v>2005.72</c:v>
                </c:pt>
                <c:pt idx="45">
                  <c:v>2076.06</c:v>
                </c:pt>
                <c:pt idx="46">
                  <c:v>1870</c:v>
                </c:pt>
                <c:pt idx="47">
                  <c:v>1957.3</c:v>
                </c:pt>
                <c:pt idx="48">
                  <c:v>1998.16</c:v>
                </c:pt>
                <c:pt idx="49">
                  <c:v>2057.9499999999998</c:v>
                </c:pt>
                <c:pt idx="50">
                  <c:v>1915.18</c:v>
                </c:pt>
                <c:pt idx="51">
                  <c:v>1937.29</c:v>
                </c:pt>
                <c:pt idx="52">
                  <c:v>1935.94</c:v>
                </c:pt>
                <c:pt idx="53">
                  <c:v>1934.01</c:v>
                </c:pt>
                <c:pt idx="54">
                  <c:v>1969.82</c:v>
                </c:pt>
                <c:pt idx="55">
                  <c:v>1883.98</c:v>
                </c:pt>
                <c:pt idx="56">
                  <c:v>1905.4</c:v>
                </c:pt>
                <c:pt idx="57">
                  <c:v>1926.1</c:v>
                </c:pt>
                <c:pt idx="58">
                  <c:v>2026.66</c:v>
                </c:pt>
                <c:pt idx="59">
                  <c:v>1879.51</c:v>
                </c:pt>
                <c:pt idx="60">
                  <c:v>1919.62</c:v>
                </c:pt>
                <c:pt idx="61">
                  <c:v>2007.86</c:v>
                </c:pt>
                <c:pt idx="62">
                  <c:v>1971.65</c:v>
                </c:pt>
                <c:pt idx="63">
                  <c:v>1974.69</c:v>
                </c:pt>
                <c:pt idx="64">
                  <c:v>1839.03</c:v>
                </c:pt>
                <c:pt idx="65">
                  <c:v>1948.35</c:v>
                </c:pt>
                <c:pt idx="66">
                  <c:v>2041.15</c:v>
                </c:pt>
                <c:pt idx="67">
                  <c:v>1987</c:v>
                </c:pt>
                <c:pt idx="68">
                  <c:v>1980.86</c:v>
                </c:pt>
                <c:pt idx="69">
                  <c:v>1941.95</c:v>
                </c:pt>
                <c:pt idx="70">
                  <c:v>1858.85</c:v>
                </c:pt>
                <c:pt idx="71">
                  <c:v>1882.57</c:v>
                </c:pt>
                <c:pt idx="72">
                  <c:v>1965.4</c:v>
                </c:pt>
                <c:pt idx="73">
                  <c:v>1931.08</c:v>
                </c:pt>
                <c:pt idx="74">
                  <c:v>1902.68</c:v>
                </c:pt>
                <c:pt idx="75">
                  <c:v>1951.53</c:v>
                </c:pt>
                <c:pt idx="76">
                  <c:v>2004.88</c:v>
                </c:pt>
                <c:pt idx="77">
                  <c:v>2068.79</c:v>
                </c:pt>
                <c:pt idx="78">
                  <c:v>2014.55</c:v>
                </c:pt>
                <c:pt idx="79">
                  <c:v>1975.87</c:v>
                </c:pt>
                <c:pt idx="80">
                  <c:v>1953.51</c:v>
                </c:pt>
                <c:pt idx="81">
                  <c:v>1930.8</c:v>
                </c:pt>
                <c:pt idx="82">
                  <c:v>1880.13</c:v>
                </c:pt>
                <c:pt idx="83">
                  <c:v>1876.49</c:v>
                </c:pt>
                <c:pt idx="84">
                  <c:v>1874.4</c:v>
                </c:pt>
                <c:pt idx="85">
                  <c:v>1857.58</c:v>
                </c:pt>
                <c:pt idx="86">
                  <c:v>1915.51</c:v>
                </c:pt>
                <c:pt idx="87">
                  <c:v>1979.3</c:v>
                </c:pt>
                <c:pt idx="88">
                  <c:v>1976.95</c:v>
                </c:pt>
                <c:pt idx="89">
                  <c:v>1901.84</c:v>
                </c:pt>
                <c:pt idx="90">
                  <c:v>2094.41</c:v>
                </c:pt>
                <c:pt idx="91">
                  <c:v>1956.17</c:v>
                </c:pt>
                <c:pt idx="92">
                  <c:v>1944.62</c:v>
                </c:pt>
                <c:pt idx="93">
                  <c:v>1970.68</c:v>
                </c:pt>
                <c:pt idx="94">
                  <c:v>1841.27</c:v>
                </c:pt>
                <c:pt idx="95">
                  <c:v>1967.79</c:v>
                </c:pt>
                <c:pt idx="96">
                  <c:v>1952.68</c:v>
                </c:pt>
                <c:pt idx="97">
                  <c:v>2132.9499999999998</c:v>
                </c:pt>
                <c:pt idx="98">
                  <c:v>2025.74</c:v>
                </c:pt>
                <c:pt idx="99">
                  <c:v>1983.48</c:v>
                </c:pt>
                <c:pt idx="100">
                  <c:v>1940.32</c:v>
                </c:pt>
                <c:pt idx="101">
                  <c:v>2049.33</c:v>
                </c:pt>
                <c:pt idx="102">
                  <c:v>2115.7600000000002</c:v>
                </c:pt>
                <c:pt idx="103">
                  <c:v>1943.39</c:v>
                </c:pt>
                <c:pt idx="104">
                  <c:v>2037.12</c:v>
                </c:pt>
                <c:pt idx="105">
                  <c:v>2156.36</c:v>
                </c:pt>
                <c:pt idx="106">
                  <c:v>2119.36</c:v>
                </c:pt>
                <c:pt idx="107">
                  <c:v>2096</c:v>
                </c:pt>
                <c:pt idx="108">
                  <c:v>2189</c:v>
                </c:pt>
                <c:pt idx="109">
                  <c:v>2315.52</c:v>
                </c:pt>
                <c:pt idx="110">
                  <c:v>2289.2600000000002</c:v>
                </c:pt>
                <c:pt idx="111">
                  <c:v>2360.25</c:v>
                </c:pt>
                <c:pt idx="112">
                  <c:v>2447.1799999999998</c:v>
                </c:pt>
                <c:pt idx="113">
                  <c:v>2405.2800000000002</c:v>
                </c:pt>
                <c:pt idx="114">
                  <c:v>2431.42</c:v>
                </c:pt>
                <c:pt idx="115">
                  <c:v>2522.42</c:v>
                </c:pt>
                <c:pt idx="116">
                  <c:v>2611.56</c:v>
                </c:pt>
                <c:pt idx="117">
                  <c:v>2656.78</c:v>
                </c:pt>
                <c:pt idx="118">
                  <c:v>2750.86</c:v>
                </c:pt>
                <c:pt idx="119">
                  <c:v>2803.6</c:v>
                </c:pt>
                <c:pt idx="120">
                  <c:v>2752.62</c:v>
                </c:pt>
                <c:pt idx="121">
                  <c:v>2874.8</c:v>
                </c:pt>
                <c:pt idx="122">
                  <c:v>3001.85</c:v>
                </c:pt>
                <c:pt idx="123">
                  <c:v>3027.62</c:v>
                </c:pt>
                <c:pt idx="124">
                  <c:v>2986.32</c:v>
                </c:pt>
                <c:pt idx="125">
                  <c:v>3060.67</c:v>
                </c:pt>
                <c:pt idx="126">
                  <c:v>3169.89</c:v>
                </c:pt>
                <c:pt idx="127">
                  <c:v>3264.78</c:v>
                </c:pt>
                <c:pt idx="128">
                  <c:v>3295.55</c:v>
                </c:pt>
                <c:pt idx="129">
                  <c:v>3436.58</c:v>
                </c:pt>
                <c:pt idx="130">
                  <c:v>3337.95</c:v>
                </c:pt>
                <c:pt idx="131">
                  <c:v>3438.82</c:v>
                </c:pt>
                <c:pt idx="132">
                  <c:v>3438.9</c:v>
                </c:pt>
                <c:pt idx="133">
                  <c:v>3504.98</c:v>
                </c:pt>
                <c:pt idx="134">
                  <c:v>3435.15</c:v>
                </c:pt>
                <c:pt idx="135">
                  <c:v>3482.72</c:v>
                </c:pt>
                <c:pt idx="136">
                  <c:v>3579.07</c:v>
                </c:pt>
                <c:pt idx="137">
                  <c:v>3515.46</c:v>
                </c:pt>
                <c:pt idx="138">
                  <c:v>3582.33</c:v>
                </c:pt>
                <c:pt idx="139">
                  <c:v>3660.72</c:v>
                </c:pt>
                <c:pt idx="140">
                  <c:v>3773.56</c:v>
                </c:pt>
                <c:pt idx="141">
                  <c:v>3732.09</c:v>
                </c:pt>
                <c:pt idx="142">
                  <c:v>3814.61</c:v>
                </c:pt>
                <c:pt idx="143">
                  <c:v>3808.21</c:v>
                </c:pt>
                <c:pt idx="144">
                  <c:v>3722.99</c:v>
                </c:pt>
                <c:pt idx="145">
                  <c:v>3762.51</c:v>
                </c:pt>
                <c:pt idx="146">
                  <c:v>3809.61</c:v>
                </c:pt>
                <c:pt idx="147">
                  <c:v>4009.03</c:v>
                </c:pt>
                <c:pt idx="148">
                  <c:v>3823.38</c:v>
                </c:pt>
                <c:pt idx="149">
                  <c:v>3864.43</c:v>
                </c:pt>
                <c:pt idx="150">
                  <c:v>3934.86</c:v>
                </c:pt>
                <c:pt idx="151">
                  <c:v>3884.95</c:v>
                </c:pt>
                <c:pt idx="152">
                  <c:v>4003.83</c:v>
                </c:pt>
                <c:pt idx="153">
                  <c:v>3994.42</c:v>
                </c:pt>
                <c:pt idx="154">
                  <c:v>4021</c:v>
                </c:pt>
                <c:pt idx="155">
                  <c:v>3998.35</c:v>
                </c:pt>
                <c:pt idx="156">
                  <c:v>3985.41</c:v>
                </c:pt>
                <c:pt idx="157">
                  <c:v>3872.66</c:v>
                </c:pt>
                <c:pt idx="158">
                  <c:v>3752.15</c:v>
                </c:pt>
                <c:pt idx="159">
                  <c:v>3832.44</c:v>
                </c:pt>
                <c:pt idx="160">
                  <c:v>3768.42</c:v>
                </c:pt>
                <c:pt idx="161">
                  <c:v>3566.42</c:v>
                </c:pt>
                <c:pt idx="162">
                  <c:v>3559.83</c:v>
                </c:pt>
                <c:pt idx="163">
                  <c:v>3426.09</c:v>
                </c:pt>
                <c:pt idx="164">
                  <c:v>3358.8</c:v>
                </c:pt>
                <c:pt idx="165">
                  <c:v>3226.7</c:v>
                </c:pt>
                <c:pt idx="166">
                  <c:v>3218.2</c:v>
                </c:pt>
                <c:pt idx="167">
                  <c:v>3032.38</c:v>
                </c:pt>
                <c:pt idx="168">
                  <c:v>3056.58</c:v>
                </c:pt>
                <c:pt idx="169">
                  <c:v>2715.39</c:v>
                </c:pt>
                <c:pt idx="170">
                  <c:v>2709.66</c:v>
                </c:pt>
                <c:pt idx="171">
                  <c:v>2570.61</c:v>
                </c:pt>
                <c:pt idx="172">
                  <c:v>2339.1999999999998</c:v>
                </c:pt>
                <c:pt idx="173">
                  <c:v>2333.3200000000002</c:v>
                </c:pt>
                <c:pt idx="174">
                  <c:v>2279.02</c:v>
                </c:pt>
                <c:pt idx="175">
                  <c:v>2147.94</c:v>
                </c:pt>
                <c:pt idx="176">
                  <c:v>2010.91</c:v>
                </c:pt>
                <c:pt idx="177">
                  <c:v>2097.0300000000002</c:v>
                </c:pt>
                <c:pt idx="178">
                  <c:v>1970.77</c:v>
                </c:pt>
                <c:pt idx="179">
                  <c:v>1947.86</c:v>
                </c:pt>
                <c:pt idx="180">
                  <c:v>1788.72</c:v>
                </c:pt>
                <c:pt idx="181">
                  <c:v>1749.23</c:v>
                </c:pt>
                <c:pt idx="182">
                  <c:v>1653.06</c:v>
                </c:pt>
                <c:pt idx="183">
                  <c:v>1665.77</c:v>
                </c:pt>
                <c:pt idx="184">
                  <c:v>1661.52</c:v>
                </c:pt>
                <c:pt idx="185">
                  <c:v>1530.31</c:v>
                </c:pt>
                <c:pt idx="186">
                  <c:v>1707.47</c:v>
                </c:pt>
                <c:pt idx="187">
                  <c:v>1647.11</c:v>
                </c:pt>
                <c:pt idx="188">
                  <c:v>1610.76</c:v>
                </c:pt>
                <c:pt idx="189">
                  <c:v>1655.61</c:v>
                </c:pt>
                <c:pt idx="190">
                  <c:v>1528.71</c:v>
                </c:pt>
                <c:pt idx="191">
                  <c:v>1555.33</c:v>
                </c:pt>
                <c:pt idx="192">
                  <c:v>1493.66</c:v>
                </c:pt>
                <c:pt idx="193">
                  <c:v>1581.97</c:v>
                </c:pt>
                <c:pt idx="194">
                  <c:v>1572.88</c:v>
                </c:pt>
                <c:pt idx="195">
                  <c:v>1576.01</c:v>
                </c:pt>
                <c:pt idx="196">
                  <c:v>1599.36</c:v>
                </c:pt>
                <c:pt idx="197">
                  <c:v>1660.56</c:v>
                </c:pt>
                <c:pt idx="198">
                  <c:v>1568.91</c:v>
                </c:pt>
                <c:pt idx="199">
                  <c:v>1533.31</c:v>
                </c:pt>
                <c:pt idx="200">
                  <c:v>1598.34</c:v>
                </c:pt>
                <c:pt idx="201">
                  <c:v>1592.12</c:v>
                </c:pt>
                <c:pt idx="202">
                  <c:v>1545.52</c:v>
                </c:pt>
                <c:pt idx="203">
                  <c:v>1548.93</c:v>
                </c:pt>
                <c:pt idx="204">
                  <c:v>1508.48</c:v>
                </c:pt>
                <c:pt idx="205">
                  <c:v>1441.21</c:v>
                </c:pt>
                <c:pt idx="206">
                  <c:v>1539.37</c:v>
                </c:pt>
                <c:pt idx="207">
                  <c:v>1544</c:v>
                </c:pt>
                <c:pt idx="208">
                  <c:v>1492.23</c:v>
                </c:pt>
                <c:pt idx="209">
                  <c:v>1597.16</c:v>
                </c:pt>
                <c:pt idx="210">
                  <c:v>1682.26</c:v>
                </c:pt>
                <c:pt idx="211">
                  <c:v>1617.64</c:v>
                </c:pt>
                <c:pt idx="212">
                  <c:v>1490.56</c:v>
                </c:pt>
                <c:pt idx="213">
                  <c:v>1558.82</c:v>
                </c:pt>
                <c:pt idx="214">
                  <c:v>1598.01</c:v>
                </c:pt>
                <c:pt idx="215">
                  <c:v>1532.07</c:v>
                </c:pt>
                <c:pt idx="216">
                  <c:v>1551.2</c:v>
                </c:pt>
                <c:pt idx="217">
                  <c:v>1462.61</c:v>
                </c:pt>
                <c:pt idx="218">
                  <c:v>1505.86</c:v>
                </c:pt>
                <c:pt idx="219">
                  <c:v>1437.09</c:v>
                </c:pt>
                <c:pt idx="220">
                  <c:v>1418.08</c:v>
                </c:pt>
                <c:pt idx="221">
                  <c:v>1596.64</c:v>
                </c:pt>
                <c:pt idx="222">
                  <c:v>1568.43</c:v>
                </c:pt>
                <c:pt idx="223">
                  <c:v>1521.64</c:v>
                </c:pt>
                <c:pt idx="224">
                  <c:v>1497.34</c:v>
                </c:pt>
                <c:pt idx="225">
                  <c:v>1586.97</c:v>
                </c:pt>
                <c:pt idx="226">
                  <c:v>1592.07</c:v>
                </c:pt>
                <c:pt idx="227">
                  <c:v>1534.86</c:v>
                </c:pt>
                <c:pt idx="228">
                  <c:v>1564.62</c:v>
                </c:pt>
                <c:pt idx="229">
                  <c:v>1570.24</c:v>
                </c:pt>
                <c:pt idx="230">
                  <c:v>1558.34</c:v>
                </c:pt>
                <c:pt idx="231">
                  <c:v>1544.41</c:v>
                </c:pt>
                <c:pt idx="232">
                  <c:v>1630.84</c:v>
                </c:pt>
                <c:pt idx="233">
                  <c:v>1446.42</c:v>
                </c:pt>
                <c:pt idx="234">
                  <c:v>1582</c:v>
                </c:pt>
                <c:pt idx="235">
                  <c:v>1608.07</c:v>
                </c:pt>
                <c:pt idx="236">
                  <c:v>1664.4</c:v>
                </c:pt>
                <c:pt idx="237">
                  <c:v>1583.25</c:v>
                </c:pt>
                <c:pt idx="238">
                  <c:v>1580.19</c:v>
                </c:pt>
                <c:pt idx="239">
                  <c:v>1575.98</c:v>
                </c:pt>
                <c:pt idx="240">
                  <c:v>1648.48</c:v>
                </c:pt>
                <c:pt idx="241">
                  <c:v>1637.91</c:v>
                </c:pt>
                <c:pt idx="242">
                  <c:v>1563.53</c:v>
                </c:pt>
                <c:pt idx="243">
                  <c:v>1714.49</c:v>
                </c:pt>
                <c:pt idx="244">
                  <c:v>1690.38</c:v>
                </c:pt>
                <c:pt idx="245">
                  <c:v>1686.85</c:v>
                </c:pt>
                <c:pt idx="246">
                  <c:v>1737.6</c:v>
                </c:pt>
                <c:pt idx="247">
                  <c:v>1790.26</c:v>
                </c:pt>
                <c:pt idx="248">
                  <c:v>1722.05</c:v>
                </c:pt>
                <c:pt idx="249">
                  <c:v>1781.36</c:v>
                </c:pt>
                <c:pt idx="250">
                  <c:v>1738.63</c:v>
                </c:pt>
                <c:pt idx="251">
                  <c:v>1859.87</c:v>
                </c:pt>
                <c:pt idx="252">
                  <c:v>1839.73</c:v>
                </c:pt>
                <c:pt idx="253">
                  <c:v>1825.36</c:v>
                </c:pt>
                <c:pt idx="254">
                  <c:v>1873.48</c:v>
                </c:pt>
                <c:pt idx="255">
                  <c:v>1799.01</c:v>
                </c:pt>
                <c:pt idx="256">
                  <c:v>1993.12</c:v>
                </c:pt>
                <c:pt idx="257">
                  <c:v>2051.54</c:v>
                </c:pt>
                <c:pt idx="258">
                  <c:v>1951.07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79-0241-A781-DE337A0320D6}"/>
            </c:ext>
          </c:extLst>
        </c:ser>
        <c:ser>
          <c:idx val="4"/>
          <c:order val="4"/>
          <c:tx>
            <c:strRef>
              <c:f>'Fig 9f'!$H$2</c:f>
              <c:strCache>
                <c:ptCount val="1"/>
                <c:pt idx="0">
                  <c:v>Envelope</c:v>
                </c:pt>
              </c:strCache>
            </c:strRef>
          </c:tx>
          <c:spPr>
            <a:ln w="1905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 9f'!$H$4:$H$262</c:f>
              <c:numCache>
                <c:formatCode>General</c:formatCode>
                <c:ptCount val="259"/>
                <c:pt idx="0">
                  <c:v>2099.14</c:v>
                </c:pt>
                <c:pt idx="1">
                  <c:v>2098.2600000000002</c:v>
                </c:pt>
                <c:pt idx="2">
                  <c:v>2075.02</c:v>
                </c:pt>
                <c:pt idx="3">
                  <c:v>2061.66</c:v>
                </c:pt>
                <c:pt idx="4">
                  <c:v>2061.0700000000002</c:v>
                </c:pt>
                <c:pt idx="5">
                  <c:v>2054.5300000000002</c:v>
                </c:pt>
                <c:pt idx="6">
                  <c:v>2043.26</c:v>
                </c:pt>
                <c:pt idx="7">
                  <c:v>2030.44</c:v>
                </c:pt>
                <c:pt idx="8">
                  <c:v>2015.51</c:v>
                </c:pt>
                <c:pt idx="9">
                  <c:v>2004.91</c:v>
                </c:pt>
                <c:pt idx="10">
                  <c:v>2002.39</c:v>
                </c:pt>
                <c:pt idx="11">
                  <c:v>2001.77</c:v>
                </c:pt>
                <c:pt idx="12">
                  <c:v>1981.89</c:v>
                </c:pt>
                <c:pt idx="13">
                  <c:v>1971.08</c:v>
                </c:pt>
                <c:pt idx="14">
                  <c:v>1971.25</c:v>
                </c:pt>
                <c:pt idx="15">
                  <c:v>1970.3</c:v>
                </c:pt>
                <c:pt idx="16">
                  <c:v>1968.88</c:v>
                </c:pt>
                <c:pt idx="17">
                  <c:v>1969.04</c:v>
                </c:pt>
                <c:pt idx="18">
                  <c:v>1969.08</c:v>
                </c:pt>
                <c:pt idx="19">
                  <c:v>1967.83</c:v>
                </c:pt>
                <c:pt idx="20">
                  <c:v>1966.4</c:v>
                </c:pt>
                <c:pt idx="21">
                  <c:v>1965.03</c:v>
                </c:pt>
                <c:pt idx="22">
                  <c:v>1963.47</c:v>
                </c:pt>
                <c:pt idx="23">
                  <c:v>1961.69</c:v>
                </c:pt>
                <c:pt idx="24">
                  <c:v>1960.84</c:v>
                </c:pt>
                <c:pt idx="25">
                  <c:v>1960.49</c:v>
                </c:pt>
                <c:pt idx="26">
                  <c:v>1960.19</c:v>
                </c:pt>
                <c:pt idx="27">
                  <c:v>1959.92</c:v>
                </c:pt>
                <c:pt idx="28">
                  <c:v>1959.44</c:v>
                </c:pt>
                <c:pt idx="29">
                  <c:v>1958.94</c:v>
                </c:pt>
                <c:pt idx="30">
                  <c:v>1957.96</c:v>
                </c:pt>
                <c:pt idx="31">
                  <c:v>1957.3</c:v>
                </c:pt>
                <c:pt idx="32">
                  <c:v>1956.95</c:v>
                </c:pt>
                <c:pt idx="33">
                  <c:v>1957.15</c:v>
                </c:pt>
                <c:pt idx="34">
                  <c:v>1957.22</c:v>
                </c:pt>
                <c:pt idx="35">
                  <c:v>1957.29</c:v>
                </c:pt>
                <c:pt idx="36">
                  <c:v>1957.25</c:v>
                </c:pt>
                <c:pt idx="37">
                  <c:v>1957.1</c:v>
                </c:pt>
                <c:pt idx="38">
                  <c:v>1956.67</c:v>
                </c:pt>
                <c:pt idx="39">
                  <c:v>1955.8</c:v>
                </c:pt>
                <c:pt idx="40">
                  <c:v>1955.36</c:v>
                </c:pt>
                <c:pt idx="41">
                  <c:v>1954.75</c:v>
                </c:pt>
                <c:pt idx="42">
                  <c:v>1953.94</c:v>
                </c:pt>
                <c:pt idx="43">
                  <c:v>1952.97</c:v>
                </c:pt>
                <c:pt idx="44">
                  <c:v>1952.08</c:v>
                </c:pt>
                <c:pt idx="45">
                  <c:v>1951.46</c:v>
                </c:pt>
                <c:pt idx="46">
                  <c:v>1950.89</c:v>
                </c:pt>
                <c:pt idx="47">
                  <c:v>1950.34</c:v>
                </c:pt>
                <c:pt idx="48">
                  <c:v>1949.6</c:v>
                </c:pt>
                <c:pt idx="49">
                  <c:v>1949.45</c:v>
                </c:pt>
                <c:pt idx="50">
                  <c:v>1949.06</c:v>
                </c:pt>
                <c:pt idx="51">
                  <c:v>1948.75</c:v>
                </c:pt>
                <c:pt idx="52">
                  <c:v>1948.68</c:v>
                </c:pt>
                <c:pt idx="53">
                  <c:v>1948.95</c:v>
                </c:pt>
                <c:pt idx="54">
                  <c:v>1949.36</c:v>
                </c:pt>
                <c:pt idx="55">
                  <c:v>1949.9</c:v>
                </c:pt>
                <c:pt idx="56">
                  <c:v>1950.44</c:v>
                </c:pt>
                <c:pt idx="57">
                  <c:v>1950.33</c:v>
                </c:pt>
                <c:pt idx="58">
                  <c:v>1950.85</c:v>
                </c:pt>
                <c:pt idx="59">
                  <c:v>1951.13</c:v>
                </c:pt>
                <c:pt idx="60">
                  <c:v>1950.69</c:v>
                </c:pt>
                <c:pt idx="61">
                  <c:v>1949.92</c:v>
                </c:pt>
                <c:pt idx="62">
                  <c:v>1949.48</c:v>
                </c:pt>
                <c:pt idx="63">
                  <c:v>1949.32</c:v>
                </c:pt>
                <c:pt idx="64">
                  <c:v>1948.95</c:v>
                </c:pt>
                <c:pt idx="65">
                  <c:v>1948.33</c:v>
                </c:pt>
                <c:pt idx="66">
                  <c:v>1947.59</c:v>
                </c:pt>
                <c:pt idx="67">
                  <c:v>1946.78</c:v>
                </c:pt>
                <c:pt idx="68">
                  <c:v>1945.22</c:v>
                </c:pt>
                <c:pt idx="69">
                  <c:v>1944.25</c:v>
                </c:pt>
                <c:pt idx="70">
                  <c:v>1944.38</c:v>
                </c:pt>
                <c:pt idx="71">
                  <c:v>1944.68</c:v>
                </c:pt>
                <c:pt idx="72">
                  <c:v>1945.34</c:v>
                </c:pt>
                <c:pt idx="73">
                  <c:v>1946.31</c:v>
                </c:pt>
                <c:pt idx="74">
                  <c:v>1946.67</c:v>
                </c:pt>
                <c:pt idx="75">
                  <c:v>1946.19</c:v>
                </c:pt>
                <c:pt idx="76">
                  <c:v>1944.99</c:v>
                </c:pt>
                <c:pt idx="77">
                  <c:v>1943.17</c:v>
                </c:pt>
                <c:pt idx="78">
                  <c:v>1940.81</c:v>
                </c:pt>
                <c:pt idx="79">
                  <c:v>1938.4</c:v>
                </c:pt>
                <c:pt idx="80">
                  <c:v>1936.47</c:v>
                </c:pt>
                <c:pt idx="81">
                  <c:v>1935.86</c:v>
                </c:pt>
                <c:pt idx="82">
                  <c:v>1936.26</c:v>
                </c:pt>
                <c:pt idx="83">
                  <c:v>1937.46</c:v>
                </c:pt>
                <c:pt idx="84">
                  <c:v>1939.45</c:v>
                </c:pt>
                <c:pt idx="85">
                  <c:v>1941.62</c:v>
                </c:pt>
                <c:pt idx="86">
                  <c:v>1943.9</c:v>
                </c:pt>
                <c:pt idx="87">
                  <c:v>1946.32</c:v>
                </c:pt>
                <c:pt idx="88">
                  <c:v>1948.96</c:v>
                </c:pt>
                <c:pt idx="89">
                  <c:v>1951.73</c:v>
                </c:pt>
                <c:pt idx="90">
                  <c:v>1954.8</c:v>
                </c:pt>
                <c:pt idx="91">
                  <c:v>1958.3</c:v>
                </c:pt>
                <c:pt idx="92">
                  <c:v>1962.27</c:v>
                </c:pt>
                <c:pt idx="93">
                  <c:v>1966.84</c:v>
                </c:pt>
                <c:pt idx="94">
                  <c:v>1972.15</c:v>
                </c:pt>
                <c:pt idx="95">
                  <c:v>1978.23</c:v>
                </c:pt>
                <c:pt idx="96">
                  <c:v>1985.07</c:v>
                </c:pt>
                <c:pt idx="97">
                  <c:v>1992.91</c:v>
                </c:pt>
                <c:pt idx="98">
                  <c:v>2001.85</c:v>
                </c:pt>
                <c:pt idx="99">
                  <c:v>2012.19</c:v>
                </c:pt>
                <c:pt idx="100">
                  <c:v>2024.03</c:v>
                </c:pt>
                <c:pt idx="101">
                  <c:v>2037.68</c:v>
                </c:pt>
                <c:pt idx="102">
                  <c:v>2053.38</c:v>
                </c:pt>
                <c:pt idx="103">
                  <c:v>2071.29</c:v>
                </c:pt>
                <c:pt idx="104">
                  <c:v>2091.5100000000002</c:v>
                </c:pt>
                <c:pt idx="105">
                  <c:v>2114.39</c:v>
                </c:pt>
                <c:pt idx="106">
                  <c:v>2140.1999999999998</c:v>
                </c:pt>
                <c:pt idx="107">
                  <c:v>2168.9899999999998</c:v>
                </c:pt>
                <c:pt idx="108">
                  <c:v>2200.91</c:v>
                </c:pt>
                <c:pt idx="109">
                  <c:v>2236.23</c:v>
                </c:pt>
                <c:pt idx="110">
                  <c:v>2274.98</c:v>
                </c:pt>
                <c:pt idx="111">
                  <c:v>2317.1799999999998</c:v>
                </c:pt>
                <c:pt idx="112">
                  <c:v>2362.9299999999998</c:v>
                </c:pt>
                <c:pt idx="113">
                  <c:v>2412.2600000000002</c:v>
                </c:pt>
                <c:pt idx="114">
                  <c:v>2464.98</c:v>
                </c:pt>
                <c:pt idx="115">
                  <c:v>2520.9</c:v>
                </c:pt>
                <c:pt idx="116">
                  <c:v>2579.7800000000002</c:v>
                </c:pt>
                <c:pt idx="117">
                  <c:v>2641.21</c:v>
                </c:pt>
                <c:pt idx="118">
                  <c:v>2704.73</c:v>
                </c:pt>
                <c:pt idx="119">
                  <c:v>2769.95</c:v>
                </c:pt>
                <c:pt idx="120">
                  <c:v>2836.25</c:v>
                </c:pt>
                <c:pt idx="121">
                  <c:v>2902.93</c:v>
                </c:pt>
                <c:pt idx="122">
                  <c:v>2969.3</c:v>
                </c:pt>
                <c:pt idx="123">
                  <c:v>3034.61</c:v>
                </c:pt>
                <c:pt idx="124">
                  <c:v>3097.93</c:v>
                </c:pt>
                <c:pt idx="125">
                  <c:v>3158.41</c:v>
                </c:pt>
                <c:pt idx="126">
                  <c:v>3215.21</c:v>
                </c:pt>
                <c:pt idx="127">
                  <c:v>3267.56</c:v>
                </c:pt>
                <c:pt idx="128">
                  <c:v>3314.71</c:v>
                </c:pt>
                <c:pt idx="129">
                  <c:v>3356.39</c:v>
                </c:pt>
                <c:pt idx="130">
                  <c:v>3392.47</c:v>
                </c:pt>
                <c:pt idx="131">
                  <c:v>3423.22</c:v>
                </c:pt>
                <c:pt idx="132">
                  <c:v>3449.13</c:v>
                </c:pt>
                <c:pt idx="133">
                  <c:v>3471.17</c:v>
                </c:pt>
                <c:pt idx="134">
                  <c:v>3490.28</c:v>
                </c:pt>
                <c:pt idx="135">
                  <c:v>3507.63</c:v>
                </c:pt>
                <c:pt idx="136">
                  <c:v>3524.52</c:v>
                </c:pt>
                <c:pt idx="137">
                  <c:v>3542.11</c:v>
                </c:pt>
                <c:pt idx="138">
                  <c:v>3561.36</c:v>
                </c:pt>
                <c:pt idx="139">
                  <c:v>3583.12</c:v>
                </c:pt>
                <c:pt idx="140">
                  <c:v>3608.13</c:v>
                </c:pt>
                <c:pt idx="141">
                  <c:v>3636.71</c:v>
                </c:pt>
                <c:pt idx="142">
                  <c:v>3669.04</c:v>
                </c:pt>
                <c:pt idx="143">
                  <c:v>3705.11</c:v>
                </c:pt>
                <c:pt idx="144">
                  <c:v>3744.54</c:v>
                </c:pt>
                <c:pt idx="145">
                  <c:v>3786.56</c:v>
                </c:pt>
                <c:pt idx="146">
                  <c:v>3830.1</c:v>
                </c:pt>
                <c:pt idx="147">
                  <c:v>3874.01</c:v>
                </c:pt>
                <c:pt idx="148">
                  <c:v>3916.66</c:v>
                </c:pt>
                <c:pt idx="149">
                  <c:v>3956.27</c:v>
                </c:pt>
                <c:pt idx="150">
                  <c:v>3990.97</c:v>
                </c:pt>
                <c:pt idx="151">
                  <c:v>4018.76</c:v>
                </c:pt>
                <c:pt idx="152">
                  <c:v>4037.49</c:v>
                </c:pt>
                <c:pt idx="153">
                  <c:v>4045.24</c:v>
                </c:pt>
                <c:pt idx="154">
                  <c:v>4040.45</c:v>
                </c:pt>
                <c:pt idx="155">
                  <c:v>4021.85</c:v>
                </c:pt>
                <c:pt idx="156">
                  <c:v>3988.92</c:v>
                </c:pt>
                <c:pt idx="157">
                  <c:v>3941.61</c:v>
                </c:pt>
                <c:pt idx="158">
                  <c:v>3880.36</c:v>
                </c:pt>
                <c:pt idx="159">
                  <c:v>3806.17</c:v>
                </c:pt>
                <c:pt idx="160">
                  <c:v>3720.58</c:v>
                </c:pt>
                <c:pt idx="161">
                  <c:v>3625.19</c:v>
                </c:pt>
                <c:pt idx="162">
                  <c:v>3521.85</c:v>
                </c:pt>
                <c:pt idx="163">
                  <c:v>3412.54</c:v>
                </c:pt>
                <c:pt idx="164">
                  <c:v>3299.16</c:v>
                </c:pt>
                <c:pt idx="165">
                  <c:v>3183.29</c:v>
                </c:pt>
                <c:pt idx="166">
                  <c:v>3066.68</c:v>
                </c:pt>
                <c:pt idx="167">
                  <c:v>2950.65</c:v>
                </c:pt>
                <c:pt idx="168">
                  <c:v>2836.68</c:v>
                </c:pt>
                <c:pt idx="169">
                  <c:v>2725.8</c:v>
                </c:pt>
                <c:pt idx="170">
                  <c:v>2619.04</c:v>
                </c:pt>
                <c:pt idx="171">
                  <c:v>2517.21</c:v>
                </c:pt>
                <c:pt idx="172">
                  <c:v>2420.94</c:v>
                </c:pt>
                <c:pt idx="173">
                  <c:v>2330.52</c:v>
                </c:pt>
                <c:pt idx="174">
                  <c:v>2246.33</c:v>
                </c:pt>
                <c:pt idx="175">
                  <c:v>2168.5700000000002</c:v>
                </c:pt>
                <c:pt idx="176">
                  <c:v>2097.0700000000002</c:v>
                </c:pt>
                <c:pt idx="177">
                  <c:v>2031.88</c:v>
                </c:pt>
                <c:pt idx="178">
                  <c:v>1972.82</c:v>
                </c:pt>
                <c:pt idx="179">
                  <c:v>1919.71</c:v>
                </c:pt>
                <c:pt idx="180">
                  <c:v>1872.18</c:v>
                </c:pt>
                <c:pt idx="181">
                  <c:v>1830.04</c:v>
                </c:pt>
                <c:pt idx="182">
                  <c:v>1792.83</c:v>
                </c:pt>
                <c:pt idx="183">
                  <c:v>1760.14</c:v>
                </c:pt>
                <c:pt idx="184">
                  <c:v>1731.57</c:v>
                </c:pt>
                <c:pt idx="185">
                  <c:v>1706.57</c:v>
                </c:pt>
                <c:pt idx="186">
                  <c:v>1684.73</c:v>
                </c:pt>
                <c:pt idx="187">
                  <c:v>1665.73</c:v>
                </c:pt>
                <c:pt idx="188">
                  <c:v>1649.19</c:v>
                </c:pt>
                <c:pt idx="189">
                  <c:v>1634.79</c:v>
                </c:pt>
                <c:pt idx="190">
                  <c:v>1622.35</c:v>
                </c:pt>
                <c:pt idx="191">
                  <c:v>1611.62</c:v>
                </c:pt>
                <c:pt idx="192">
                  <c:v>1602.26</c:v>
                </c:pt>
                <c:pt idx="193">
                  <c:v>1594.12</c:v>
                </c:pt>
                <c:pt idx="194">
                  <c:v>1586.93</c:v>
                </c:pt>
                <c:pt idx="195">
                  <c:v>1580.55</c:v>
                </c:pt>
                <c:pt idx="196">
                  <c:v>1574.74</c:v>
                </c:pt>
                <c:pt idx="197">
                  <c:v>1569.53</c:v>
                </c:pt>
                <c:pt idx="198">
                  <c:v>1564.85</c:v>
                </c:pt>
                <c:pt idx="199">
                  <c:v>1560.57</c:v>
                </c:pt>
                <c:pt idx="200">
                  <c:v>1556.66</c:v>
                </c:pt>
                <c:pt idx="201">
                  <c:v>1553.12</c:v>
                </c:pt>
                <c:pt idx="202">
                  <c:v>1549.86</c:v>
                </c:pt>
                <c:pt idx="203">
                  <c:v>1546.83</c:v>
                </c:pt>
                <c:pt idx="204">
                  <c:v>1544.11</c:v>
                </c:pt>
                <c:pt idx="205">
                  <c:v>1541.59</c:v>
                </c:pt>
                <c:pt idx="206">
                  <c:v>1539.22</c:v>
                </c:pt>
                <c:pt idx="207">
                  <c:v>1537.03</c:v>
                </c:pt>
                <c:pt idx="208">
                  <c:v>1534.89</c:v>
                </c:pt>
                <c:pt idx="209">
                  <c:v>1532.68</c:v>
                </c:pt>
                <c:pt idx="210">
                  <c:v>1530.52</c:v>
                </c:pt>
                <c:pt idx="211">
                  <c:v>1528.48</c:v>
                </c:pt>
                <c:pt idx="212">
                  <c:v>1526.48</c:v>
                </c:pt>
                <c:pt idx="213">
                  <c:v>1524.55</c:v>
                </c:pt>
                <c:pt idx="214">
                  <c:v>1522.8</c:v>
                </c:pt>
                <c:pt idx="215">
                  <c:v>1521.16</c:v>
                </c:pt>
                <c:pt idx="216">
                  <c:v>1519.6</c:v>
                </c:pt>
                <c:pt idx="217">
                  <c:v>1518.13</c:v>
                </c:pt>
                <c:pt idx="218">
                  <c:v>1516.83</c:v>
                </c:pt>
                <c:pt idx="219">
                  <c:v>1521.19</c:v>
                </c:pt>
                <c:pt idx="220">
                  <c:v>1525.6</c:v>
                </c:pt>
                <c:pt idx="221">
                  <c:v>1530.06</c:v>
                </c:pt>
                <c:pt idx="222">
                  <c:v>1534.56</c:v>
                </c:pt>
                <c:pt idx="223">
                  <c:v>1539.1</c:v>
                </c:pt>
                <c:pt idx="224">
                  <c:v>1543.68</c:v>
                </c:pt>
                <c:pt idx="225">
                  <c:v>1548.3</c:v>
                </c:pt>
                <c:pt idx="226">
                  <c:v>1552.95</c:v>
                </c:pt>
                <c:pt idx="227">
                  <c:v>1557.63</c:v>
                </c:pt>
                <c:pt idx="228">
                  <c:v>1562.35</c:v>
                </c:pt>
                <c:pt idx="229">
                  <c:v>1567.09</c:v>
                </c:pt>
                <c:pt idx="230">
                  <c:v>1571.87</c:v>
                </c:pt>
                <c:pt idx="231">
                  <c:v>1576.67</c:v>
                </c:pt>
                <c:pt idx="232">
                  <c:v>1581.5</c:v>
                </c:pt>
                <c:pt idx="233">
                  <c:v>1586.92</c:v>
                </c:pt>
                <c:pt idx="234">
                  <c:v>1592.37</c:v>
                </c:pt>
                <c:pt idx="235">
                  <c:v>1597.84</c:v>
                </c:pt>
                <c:pt idx="236">
                  <c:v>1603.33</c:v>
                </c:pt>
                <c:pt idx="237">
                  <c:v>1608.84</c:v>
                </c:pt>
                <c:pt idx="238">
                  <c:v>1614.37</c:v>
                </c:pt>
                <c:pt idx="239">
                  <c:v>1619.92</c:v>
                </c:pt>
                <c:pt idx="240">
                  <c:v>1625.49</c:v>
                </c:pt>
                <c:pt idx="241">
                  <c:v>1643.3</c:v>
                </c:pt>
                <c:pt idx="242">
                  <c:v>1661.12</c:v>
                </c:pt>
                <c:pt idx="243">
                  <c:v>1678.97</c:v>
                </c:pt>
                <c:pt idx="244">
                  <c:v>1696.83</c:v>
                </c:pt>
                <c:pt idx="245">
                  <c:v>1714.7</c:v>
                </c:pt>
                <c:pt idx="246">
                  <c:v>1732.58</c:v>
                </c:pt>
                <c:pt idx="247">
                  <c:v>1750.48</c:v>
                </c:pt>
                <c:pt idx="248">
                  <c:v>1768.4</c:v>
                </c:pt>
                <c:pt idx="249">
                  <c:v>1786.32</c:v>
                </c:pt>
                <c:pt idx="250">
                  <c:v>1804.26</c:v>
                </c:pt>
                <c:pt idx="251">
                  <c:v>1822.21</c:v>
                </c:pt>
                <c:pt idx="252">
                  <c:v>1840.16</c:v>
                </c:pt>
                <c:pt idx="253">
                  <c:v>1858.13</c:v>
                </c:pt>
                <c:pt idx="254">
                  <c:v>1884.43</c:v>
                </c:pt>
                <c:pt idx="255">
                  <c:v>1911.35</c:v>
                </c:pt>
                <c:pt idx="256">
                  <c:v>1938.27</c:v>
                </c:pt>
                <c:pt idx="257">
                  <c:v>1965.19</c:v>
                </c:pt>
                <c:pt idx="258">
                  <c:v>2015.57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79-0241-A781-DE337A032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810940767"/>
        <c:scaling>
          <c:orientation val="minMax"/>
          <c:min val="13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56658</xdr:colOff>
      <xdr:row>43</xdr:row>
      <xdr:rowOff>64273</xdr:rowOff>
    </xdr:from>
    <xdr:to>
      <xdr:col>28</xdr:col>
      <xdr:colOff>10656</xdr:colOff>
      <xdr:row>58</xdr:row>
      <xdr:rowOff>188235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6CB8ECB-B304-2ACA-A545-5E08E00BF466}"/>
            </a:ext>
          </a:extLst>
        </xdr:cNvPr>
        <xdr:cNvGrpSpPr/>
      </xdr:nvGrpSpPr>
      <xdr:grpSpPr>
        <a:xfrm>
          <a:off x="19851141" y="8852089"/>
          <a:ext cx="3253078" cy="3189479"/>
          <a:chOff x="21606569" y="9536850"/>
          <a:chExt cx="3253827" cy="321755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87C66AC7-F964-3C49-A6CF-A7A207936214}"/>
              </a:ext>
            </a:extLst>
          </xdr:cNvPr>
          <xdr:cNvGraphicFramePr>
            <a:graphicFrameLocks/>
          </xdr:cNvGraphicFramePr>
        </xdr:nvGraphicFramePr>
        <xdr:xfrm>
          <a:off x="21606569" y="11159600"/>
          <a:ext cx="3240000" cy="1594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7975725D-F870-8105-A392-F812251039C3}"/>
              </a:ext>
            </a:extLst>
          </xdr:cNvPr>
          <xdr:cNvGrpSpPr/>
        </xdr:nvGrpSpPr>
        <xdr:grpSpPr>
          <a:xfrm>
            <a:off x="21620396" y="9536850"/>
            <a:ext cx="3240000" cy="1594800"/>
            <a:chOff x="23386041" y="9353976"/>
            <a:chExt cx="3252254" cy="1556690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21556D2-B7B4-FF4B-94EB-5517228D9E1A}"/>
                </a:ext>
              </a:extLst>
            </xdr:cNvPr>
            <xdr:cNvGraphicFramePr>
              <a:graphicFrameLocks/>
            </xdr:cNvGraphicFramePr>
          </xdr:nvGraphicFramePr>
          <xdr:xfrm>
            <a:off x="23386041" y="9353976"/>
            <a:ext cx="3252254" cy="155669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053E84D-1C70-E864-AFE2-2CE71CCC00FE}"/>
                </a:ext>
              </a:extLst>
            </xdr:cNvPr>
            <xdr:cNvSpPr txBox="1"/>
          </xdr:nvSpPr>
          <xdr:spPr>
            <a:xfrm>
              <a:off x="23717864" y="9471308"/>
              <a:ext cx="1352625" cy="29903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800" b="1">
                  <a:latin typeface="Arial" panose="020B0604020202020204" pitchFamily="34" charset="0"/>
                  <a:cs typeface="Arial" panose="020B0604020202020204" pitchFamily="34" charset="0"/>
                </a:rPr>
                <a:t>30 s settling</a:t>
              </a:r>
            </a:p>
          </xdr:txBody>
        </xdr:sp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0.10543</cdr:x>
      <cdr:y>0.07543</cdr:y>
    </cdr:from>
    <cdr:to>
      <cdr:x>0.38351</cdr:x>
      <cdr:y>0.23761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2053E84D-1C70-E864-AFE2-2CE71CCC00FE}"/>
            </a:ext>
          </a:extLst>
        </cdr:cNvPr>
        <cdr:cNvSpPr txBox="1"/>
      </cdr:nvSpPr>
      <cdr:spPr>
        <a:xfrm xmlns:a="http://schemas.openxmlformats.org/drawingml/2006/main">
          <a:off x="341592" y="120296"/>
          <a:ext cx="900983" cy="2586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1">
              <a:latin typeface="Arial" panose="020B0604020202020204" pitchFamily="34" charset="0"/>
              <a:cs typeface="Arial" panose="020B0604020202020204" pitchFamily="34" charset="0"/>
            </a:rPr>
            <a:t>180 s settling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143235</xdr:colOff>
      <xdr:row>12</xdr:row>
      <xdr:rowOff>185322</xdr:rowOff>
    </xdr:from>
    <xdr:to>
      <xdr:col>11</xdr:col>
      <xdr:colOff>648362</xdr:colOff>
      <xdr:row>20</xdr:row>
      <xdr:rowOff>179722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C4DDBC9-B5E0-F374-39DE-0D26E5AD2635}"/>
            </a:ext>
          </a:extLst>
        </xdr:cNvPr>
        <xdr:cNvGrpSpPr/>
      </xdr:nvGrpSpPr>
      <xdr:grpSpPr>
        <a:xfrm>
          <a:off x="7572735" y="2623722"/>
          <a:ext cx="2156127" cy="1620000"/>
          <a:chOff x="5621747" y="2557762"/>
          <a:chExt cx="2160000" cy="1628526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B1AF978D-BC70-1446-88F3-12C4D8E4AFA3}"/>
              </a:ext>
            </a:extLst>
          </xdr:cNvPr>
          <xdr:cNvGrpSpPr/>
        </xdr:nvGrpSpPr>
        <xdr:grpSpPr>
          <a:xfrm>
            <a:off x="5621747" y="2557762"/>
            <a:ext cx="2160000" cy="1628526"/>
            <a:chOff x="5244872" y="428916"/>
            <a:chExt cx="2160000" cy="1628526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1F424720-C295-20D3-0E09-741CCEE86512}"/>
                </a:ext>
              </a:extLst>
            </xdr:cNvPr>
            <xdr:cNvGrpSpPr/>
          </xdr:nvGrpSpPr>
          <xdr:grpSpPr>
            <a:xfrm>
              <a:off x="5244872" y="428916"/>
              <a:ext cx="2160000" cy="1628526"/>
              <a:chOff x="5240727" y="425599"/>
              <a:chExt cx="2158086" cy="1615256"/>
            </a:xfrm>
          </xdr:grpSpPr>
          <xdr:graphicFrame macro="">
            <xdr:nvGraphicFramePr>
              <xdr:cNvPr id="35" name="Chart 34">
                <a:extLst>
                  <a:ext uri="{FF2B5EF4-FFF2-40B4-BE49-F238E27FC236}">
                    <a16:creationId xmlns:a16="http://schemas.microsoft.com/office/drawing/2014/main" id="{443A3050-B908-BE64-6D1A-5C2E1DB40868}"/>
                  </a:ext>
                </a:extLst>
              </xdr:cNvPr>
              <xdr:cNvGraphicFramePr/>
            </xdr:nvGraphicFramePr>
            <xdr:xfrm>
              <a:off x="5240727" y="425599"/>
              <a:ext cx="2158086" cy="161525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36" name="TextBox 35">
                <a:extLst>
                  <a:ext uri="{FF2B5EF4-FFF2-40B4-BE49-F238E27FC236}">
                    <a16:creationId xmlns:a16="http://schemas.microsoft.com/office/drawing/2014/main" id="{674F985F-C37C-CCE2-AF6E-8BCAED00F4D9}"/>
                  </a:ext>
                </a:extLst>
              </xdr:cNvPr>
              <xdr:cNvSpPr txBox="1"/>
            </xdr:nvSpPr>
            <xdr:spPr>
              <a:xfrm>
                <a:off x="5884610" y="539332"/>
                <a:ext cx="653946" cy="396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conventional</a:t>
                </a:r>
              </a:p>
              <a:p>
                <a:endParaRPr lang="en-US" sz="10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pristine</a:t>
                </a:r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(150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(150 mg/L)</a:t>
                </a:r>
                <a:endParaRPr lang="en-US" sz="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E6BFAF8-569C-17B4-EC6C-9822375454CC}"/>
                </a:ext>
              </a:extLst>
            </xdr:cNvPr>
            <xdr:cNvGrpSpPr/>
          </xdr:nvGrpSpPr>
          <xdr:grpSpPr>
            <a:xfrm>
              <a:off x="5655820" y="554581"/>
              <a:ext cx="182937" cy="384812"/>
              <a:chOff x="5729356" y="565150"/>
              <a:chExt cx="182493" cy="382680"/>
            </a:xfrm>
          </xdr:grpSpPr>
          <xdr:grpSp>
            <xdr:nvGrpSpPr>
              <xdr:cNvPr id="23" name="Group 22">
                <a:extLst>
                  <a:ext uri="{FF2B5EF4-FFF2-40B4-BE49-F238E27FC236}">
                    <a16:creationId xmlns:a16="http://schemas.microsoft.com/office/drawing/2014/main" id="{8A8DE5D3-DACD-2190-4B5D-4D20B6351F24}"/>
                  </a:ext>
                </a:extLst>
              </xdr:cNvPr>
              <xdr:cNvGrpSpPr/>
            </xdr:nvGrpSpPr>
            <xdr:grpSpPr>
              <a:xfrm>
                <a:off x="5729356" y="565150"/>
                <a:ext cx="182493" cy="77880"/>
                <a:chOff x="5729356" y="565150"/>
                <a:chExt cx="182493" cy="77880"/>
              </a:xfrm>
            </xdr:grpSpPr>
            <xdr:sp macro="" textlink="">
              <xdr:nvSpPr>
                <xdr:cNvPr id="33" name="Diamond 32">
                  <a:extLst>
                    <a:ext uri="{FF2B5EF4-FFF2-40B4-BE49-F238E27FC236}">
                      <a16:creationId xmlns:a16="http://schemas.microsoft.com/office/drawing/2014/main" id="{63454441-39BE-25F0-E3A7-174CA88AC3BF}"/>
                    </a:ext>
                  </a:extLst>
                </xdr:cNvPr>
                <xdr:cNvSpPr/>
              </xdr:nvSpPr>
              <xdr:spPr>
                <a:xfrm flipH="1">
                  <a:off x="5729356" y="565150"/>
                  <a:ext cx="77880" cy="77880"/>
                </a:xfrm>
                <a:prstGeom prst="diamond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4" name="Oval 33">
                  <a:extLst>
                    <a:ext uri="{FF2B5EF4-FFF2-40B4-BE49-F238E27FC236}">
                      <a16:creationId xmlns:a16="http://schemas.microsoft.com/office/drawing/2014/main" id="{FE9B3B18-447E-DCE8-F323-CE912C4368D0}"/>
                    </a:ext>
                  </a:extLst>
                </xdr:cNvPr>
                <xdr:cNvSpPr/>
              </xdr:nvSpPr>
              <xdr:spPr>
                <a:xfrm flipH="1" flipV="1">
                  <a:off x="5845173" y="570752"/>
                  <a:ext cx="66676" cy="66676"/>
                </a:xfrm>
                <a:prstGeom prst="ellipse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24" name="Group 23">
                <a:extLst>
                  <a:ext uri="{FF2B5EF4-FFF2-40B4-BE49-F238E27FC236}">
                    <a16:creationId xmlns:a16="http://schemas.microsoft.com/office/drawing/2014/main" id="{AD111A95-3752-133F-5C88-1C0FE0DF33DA}"/>
                  </a:ext>
                </a:extLst>
              </xdr:cNvPr>
              <xdr:cNvGrpSpPr/>
            </xdr:nvGrpSpPr>
            <xdr:grpSpPr>
              <a:xfrm>
                <a:off x="5729356" y="666750"/>
                <a:ext cx="182493" cy="77880"/>
                <a:chOff x="5729356" y="701675"/>
                <a:chExt cx="182493" cy="77880"/>
              </a:xfrm>
            </xdr:grpSpPr>
            <xdr:sp macro="" textlink="">
              <xdr:nvSpPr>
                <xdr:cNvPr id="31" name="Diamond 30">
                  <a:extLst>
                    <a:ext uri="{FF2B5EF4-FFF2-40B4-BE49-F238E27FC236}">
                      <a16:creationId xmlns:a16="http://schemas.microsoft.com/office/drawing/2014/main" id="{C4BFA1BD-B906-BAA2-4557-526892B89B18}"/>
                    </a:ext>
                  </a:extLst>
                </xdr:cNvPr>
                <xdr:cNvSpPr/>
              </xdr:nvSpPr>
              <xdr:spPr>
                <a:xfrm flipH="1">
                  <a:off x="5729356" y="701675"/>
                  <a:ext cx="77880" cy="77880"/>
                </a:xfrm>
                <a:prstGeom prst="diamond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2" name="Oval 31">
                  <a:extLst>
                    <a:ext uri="{FF2B5EF4-FFF2-40B4-BE49-F238E27FC236}">
                      <a16:creationId xmlns:a16="http://schemas.microsoft.com/office/drawing/2014/main" id="{BACC6DE5-0E70-B000-9C29-ADF13710D382}"/>
                    </a:ext>
                  </a:extLst>
                </xdr:cNvPr>
                <xdr:cNvSpPr/>
              </xdr:nvSpPr>
              <xdr:spPr>
                <a:xfrm flipH="1" flipV="1">
                  <a:off x="5845173" y="707277"/>
                  <a:ext cx="66676" cy="66676"/>
                </a:xfrm>
                <a:prstGeom prst="ellipse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25" name="Group 24">
                <a:extLst>
                  <a:ext uri="{FF2B5EF4-FFF2-40B4-BE49-F238E27FC236}">
                    <a16:creationId xmlns:a16="http://schemas.microsoft.com/office/drawing/2014/main" id="{6E981815-337B-EC7C-DA36-26B7B5DE7C94}"/>
                  </a:ext>
                </a:extLst>
              </xdr:cNvPr>
              <xdr:cNvGrpSpPr/>
            </xdr:nvGrpSpPr>
            <xdr:grpSpPr>
              <a:xfrm>
                <a:off x="5729356" y="768350"/>
                <a:ext cx="182493" cy="77880"/>
                <a:chOff x="5729356" y="777875"/>
                <a:chExt cx="182493" cy="77880"/>
              </a:xfrm>
            </xdr:grpSpPr>
            <xdr:sp macro="" textlink="">
              <xdr:nvSpPr>
                <xdr:cNvPr id="29" name="Diamond 28">
                  <a:extLst>
                    <a:ext uri="{FF2B5EF4-FFF2-40B4-BE49-F238E27FC236}">
                      <a16:creationId xmlns:a16="http://schemas.microsoft.com/office/drawing/2014/main" id="{5AAA9A02-E26D-82FB-1738-8148D66F25DE}"/>
                    </a:ext>
                  </a:extLst>
                </xdr:cNvPr>
                <xdr:cNvSpPr/>
              </xdr:nvSpPr>
              <xdr:spPr>
                <a:xfrm flipH="1">
                  <a:off x="5729356" y="777875"/>
                  <a:ext cx="77880" cy="77880"/>
                </a:xfrm>
                <a:prstGeom prst="diamond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0" name="Oval 29">
                  <a:extLst>
                    <a:ext uri="{FF2B5EF4-FFF2-40B4-BE49-F238E27FC236}">
                      <a16:creationId xmlns:a16="http://schemas.microsoft.com/office/drawing/2014/main" id="{1FE2994D-44FC-4C65-A95E-F98C3D39B6D7}"/>
                    </a:ext>
                  </a:extLst>
                </xdr:cNvPr>
                <xdr:cNvSpPr/>
              </xdr:nvSpPr>
              <xdr:spPr>
                <a:xfrm flipH="1" flipV="1">
                  <a:off x="5845173" y="783477"/>
                  <a:ext cx="66676" cy="66676"/>
                </a:xfrm>
                <a:prstGeom prst="ellipse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26" name="Group 25">
                <a:extLst>
                  <a:ext uri="{FF2B5EF4-FFF2-40B4-BE49-F238E27FC236}">
                    <a16:creationId xmlns:a16="http://schemas.microsoft.com/office/drawing/2014/main" id="{26149492-B5AD-3C39-779B-042DF3FBE2D4}"/>
                  </a:ext>
                </a:extLst>
              </xdr:cNvPr>
              <xdr:cNvGrpSpPr/>
            </xdr:nvGrpSpPr>
            <xdr:grpSpPr>
              <a:xfrm>
                <a:off x="5729356" y="869950"/>
                <a:ext cx="182493" cy="77880"/>
                <a:chOff x="5729356" y="873125"/>
                <a:chExt cx="182493" cy="77880"/>
              </a:xfrm>
            </xdr:grpSpPr>
            <xdr:sp macro="" textlink="">
              <xdr:nvSpPr>
                <xdr:cNvPr id="27" name="Diamond 26">
                  <a:extLst>
                    <a:ext uri="{FF2B5EF4-FFF2-40B4-BE49-F238E27FC236}">
                      <a16:creationId xmlns:a16="http://schemas.microsoft.com/office/drawing/2014/main" id="{991DCAFC-F8F1-EFF1-88FF-BC5562497752}"/>
                    </a:ext>
                  </a:extLst>
                </xdr:cNvPr>
                <xdr:cNvSpPr/>
              </xdr:nvSpPr>
              <xdr:spPr>
                <a:xfrm flipH="1">
                  <a:off x="5729356" y="873125"/>
                  <a:ext cx="77880" cy="77880"/>
                </a:xfrm>
                <a:prstGeom prst="diamond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28" name="Oval 27">
                  <a:extLst>
                    <a:ext uri="{FF2B5EF4-FFF2-40B4-BE49-F238E27FC236}">
                      <a16:creationId xmlns:a16="http://schemas.microsoft.com/office/drawing/2014/main" id="{7F417679-AC1D-BDC6-462C-BEF9515E0AFD}"/>
                    </a:ext>
                  </a:extLst>
                </xdr:cNvPr>
                <xdr:cNvSpPr/>
              </xdr:nvSpPr>
              <xdr:spPr>
                <a:xfrm flipH="1" flipV="1">
                  <a:off x="5845173" y="878727"/>
                  <a:ext cx="66676" cy="66676"/>
                </a:xfrm>
                <a:prstGeom prst="ellipse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7198E3E4-F019-4F50-0F6E-4604960AA79A}"/>
              </a:ext>
            </a:extLst>
          </xdr:cNvPr>
          <xdr:cNvSpPr txBox="1"/>
        </xdr:nvSpPr>
        <xdr:spPr>
          <a:xfrm>
            <a:off x="6624742" y="2637692"/>
            <a:ext cx="657202" cy="2486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800" b="1">
                <a:latin typeface="Arial" panose="020B0604020202020204" pitchFamily="34" charset="0"/>
                <a:cs typeface="Arial" panose="020B0604020202020204" pitchFamily="34" charset="0"/>
              </a:rPr>
              <a:t>Ni</a:t>
            </a:r>
          </a:p>
        </xdr:txBody>
      </xdr:sp>
    </xdr:grpSp>
    <xdr:clientData/>
  </xdr:twoCellAnchor>
  <xdr:twoCellAnchor>
    <xdr:from>
      <xdr:col>9</xdr:col>
      <xdr:colOff>122243</xdr:colOff>
      <xdr:row>2</xdr:row>
      <xdr:rowOff>85961</xdr:rowOff>
    </xdr:from>
    <xdr:to>
      <xdr:col>11</xdr:col>
      <xdr:colOff>627369</xdr:colOff>
      <xdr:row>10</xdr:row>
      <xdr:rowOff>80361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905CBC67-2A66-2CF5-E950-4846BA4C17A4}"/>
            </a:ext>
          </a:extLst>
        </xdr:cNvPr>
        <xdr:cNvGrpSpPr/>
      </xdr:nvGrpSpPr>
      <xdr:grpSpPr>
        <a:xfrm>
          <a:off x="7551743" y="492361"/>
          <a:ext cx="2156126" cy="1620000"/>
          <a:chOff x="5591239" y="322342"/>
          <a:chExt cx="2159999" cy="1628526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FD284139-99EB-FA40-D292-DF544E79B8BA}"/>
              </a:ext>
            </a:extLst>
          </xdr:cNvPr>
          <xdr:cNvGrpSpPr/>
        </xdr:nvGrpSpPr>
        <xdr:grpSpPr>
          <a:xfrm>
            <a:off x="5591239" y="322342"/>
            <a:ext cx="2159999" cy="1628526"/>
            <a:chOff x="5244875" y="428916"/>
            <a:chExt cx="2159999" cy="1628526"/>
          </a:xfrm>
        </xdr:grpSpPr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29780503-2F67-2D33-9DA7-19C82118072F}"/>
                </a:ext>
              </a:extLst>
            </xdr:cNvPr>
            <xdr:cNvGrpSpPr/>
          </xdr:nvGrpSpPr>
          <xdr:grpSpPr>
            <a:xfrm>
              <a:off x="5244875" y="428916"/>
              <a:ext cx="2159999" cy="1628526"/>
              <a:chOff x="5240727" y="425599"/>
              <a:chExt cx="2158084" cy="1615256"/>
            </a:xfrm>
          </xdr:grpSpPr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2BBA84DD-3464-2807-2C45-7F58EC16151A}"/>
                  </a:ext>
                </a:extLst>
              </xdr:cNvPr>
              <xdr:cNvGraphicFramePr/>
            </xdr:nvGraphicFramePr>
            <xdr:xfrm>
              <a:off x="5240727" y="425599"/>
              <a:ext cx="2158084" cy="161525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3" name="TextBox 2">
                <a:extLst>
                  <a:ext uri="{FF2B5EF4-FFF2-40B4-BE49-F238E27FC236}">
                    <a16:creationId xmlns:a16="http://schemas.microsoft.com/office/drawing/2014/main" id="{00CC89B4-41B9-31E5-6869-CDDFE6916196}"/>
                  </a:ext>
                </a:extLst>
              </xdr:cNvPr>
              <xdr:cNvSpPr txBox="1"/>
            </xdr:nvSpPr>
            <xdr:spPr>
              <a:xfrm>
                <a:off x="5884610" y="539332"/>
                <a:ext cx="653946" cy="396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conventional</a:t>
                </a:r>
              </a:p>
              <a:p>
                <a:endParaRPr lang="en-US" sz="10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pristine</a:t>
                </a:r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(150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(150 mg/L)</a:t>
                </a:r>
                <a:endParaRPr lang="en-US" sz="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FD01B429-2F16-256D-EF16-14DCB147E8B7}"/>
                </a:ext>
              </a:extLst>
            </xdr:cNvPr>
            <xdr:cNvGrpSpPr/>
          </xdr:nvGrpSpPr>
          <xdr:grpSpPr>
            <a:xfrm>
              <a:off x="5655820" y="554581"/>
              <a:ext cx="182937" cy="384812"/>
              <a:chOff x="5729356" y="565150"/>
              <a:chExt cx="182493" cy="382680"/>
            </a:xfrm>
          </xdr:grpSpPr>
          <xdr:grpSp>
            <xdr:nvGrpSpPr>
              <xdr:cNvPr id="13" name="Group 12">
                <a:extLst>
                  <a:ext uri="{FF2B5EF4-FFF2-40B4-BE49-F238E27FC236}">
                    <a16:creationId xmlns:a16="http://schemas.microsoft.com/office/drawing/2014/main" id="{ABD9DA08-0880-C4A8-2875-04560FB681FA}"/>
                  </a:ext>
                </a:extLst>
              </xdr:cNvPr>
              <xdr:cNvGrpSpPr/>
            </xdr:nvGrpSpPr>
            <xdr:grpSpPr>
              <a:xfrm>
                <a:off x="5729356" y="565150"/>
                <a:ext cx="182493" cy="77880"/>
                <a:chOff x="5729356" y="565150"/>
                <a:chExt cx="182493" cy="77880"/>
              </a:xfrm>
            </xdr:grpSpPr>
            <xdr:sp macro="" textlink="">
              <xdr:nvSpPr>
                <xdr:cNvPr id="5" name="Diamond 4">
                  <a:extLst>
                    <a:ext uri="{FF2B5EF4-FFF2-40B4-BE49-F238E27FC236}">
                      <a16:creationId xmlns:a16="http://schemas.microsoft.com/office/drawing/2014/main" id="{74166F64-210C-F0E6-AD23-1E4DF3902C4B}"/>
                    </a:ext>
                  </a:extLst>
                </xdr:cNvPr>
                <xdr:cNvSpPr/>
              </xdr:nvSpPr>
              <xdr:spPr>
                <a:xfrm flipH="1">
                  <a:off x="5729356" y="565150"/>
                  <a:ext cx="77880" cy="77880"/>
                </a:xfrm>
                <a:prstGeom prst="diamond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6" name="Oval 5">
                  <a:extLst>
                    <a:ext uri="{FF2B5EF4-FFF2-40B4-BE49-F238E27FC236}">
                      <a16:creationId xmlns:a16="http://schemas.microsoft.com/office/drawing/2014/main" id="{1ED5E188-2BBC-E88B-18B5-58B6381B0AD4}"/>
                    </a:ext>
                  </a:extLst>
                </xdr:cNvPr>
                <xdr:cNvSpPr/>
              </xdr:nvSpPr>
              <xdr:spPr>
                <a:xfrm flipH="1" flipV="1">
                  <a:off x="5845173" y="570752"/>
                  <a:ext cx="66676" cy="66676"/>
                </a:xfrm>
                <a:prstGeom prst="ellipse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4" name="Group 13">
                <a:extLst>
                  <a:ext uri="{FF2B5EF4-FFF2-40B4-BE49-F238E27FC236}">
                    <a16:creationId xmlns:a16="http://schemas.microsoft.com/office/drawing/2014/main" id="{79F78F2F-ADD8-EF18-BB0E-E01174581979}"/>
                  </a:ext>
                </a:extLst>
              </xdr:cNvPr>
              <xdr:cNvGrpSpPr/>
            </xdr:nvGrpSpPr>
            <xdr:grpSpPr>
              <a:xfrm>
                <a:off x="5729356" y="666750"/>
                <a:ext cx="182493" cy="77880"/>
                <a:chOff x="5729356" y="701675"/>
                <a:chExt cx="182493" cy="77880"/>
              </a:xfrm>
            </xdr:grpSpPr>
            <xdr:sp macro="" textlink="">
              <xdr:nvSpPr>
                <xdr:cNvPr id="7" name="Diamond 6">
                  <a:extLst>
                    <a:ext uri="{FF2B5EF4-FFF2-40B4-BE49-F238E27FC236}">
                      <a16:creationId xmlns:a16="http://schemas.microsoft.com/office/drawing/2014/main" id="{45C57D75-361E-014B-9129-2A25B8079251}"/>
                    </a:ext>
                  </a:extLst>
                </xdr:cNvPr>
                <xdr:cNvSpPr/>
              </xdr:nvSpPr>
              <xdr:spPr>
                <a:xfrm flipH="1">
                  <a:off x="5729356" y="701675"/>
                  <a:ext cx="77880" cy="77880"/>
                </a:xfrm>
                <a:prstGeom prst="diamond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" name="Oval 7">
                  <a:extLst>
                    <a:ext uri="{FF2B5EF4-FFF2-40B4-BE49-F238E27FC236}">
                      <a16:creationId xmlns:a16="http://schemas.microsoft.com/office/drawing/2014/main" id="{924B8424-9B48-8E44-991A-77D438C17557}"/>
                    </a:ext>
                  </a:extLst>
                </xdr:cNvPr>
                <xdr:cNvSpPr/>
              </xdr:nvSpPr>
              <xdr:spPr>
                <a:xfrm flipH="1" flipV="1">
                  <a:off x="5845173" y="707277"/>
                  <a:ext cx="66676" cy="66676"/>
                </a:xfrm>
                <a:prstGeom prst="ellipse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5" name="Group 14">
                <a:extLst>
                  <a:ext uri="{FF2B5EF4-FFF2-40B4-BE49-F238E27FC236}">
                    <a16:creationId xmlns:a16="http://schemas.microsoft.com/office/drawing/2014/main" id="{F5A5FF3F-CBA6-68D9-5DD1-D35B278B838A}"/>
                  </a:ext>
                </a:extLst>
              </xdr:cNvPr>
              <xdr:cNvGrpSpPr/>
            </xdr:nvGrpSpPr>
            <xdr:grpSpPr>
              <a:xfrm>
                <a:off x="5729356" y="768350"/>
                <a:ext cx="182493" cy="77880"/>
                <a:chOff x="5729356" y="777875"/>
                <a:chExt cx="182493" cy="77880"/>
              </a:xfrm>
            </xdr:grpSpPr>
            <xdr:sp macro="" textlink="">
              <xdr:nvSpPr>
                <xdr:cNvPr id="9" name="Diamond 8">
                  <a:extLst>
                    <a:ext uri="{FF2B5EF4-FFF2-40B4-BE49-F238E27FC236}">
                      <a16:creationId xmlns:a16="http://schemas.microsoft.com/office/drawing/2014/main" id="{014A99CB-ECCB-064B-99F8-C494A3A678D2}"/>
                    </a:ext>
                  </a:extLst>
                </xdr:cNvPr>
                <xdr:cNvSpPr/>
              </xdr:nvSpPr>
              <xdr:spPr>
                <a:xfrm flipH="1">
                  <a:off x="5729356" y="777875"/>
                  <a:ext cx="77880" cy="77880"/>
                </a:xfrm>
                <a:prstGeom prst="diamond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0" name="Oval 9">
                  <a:extLst>
                    <a:ext uri="{FF2B5EF4-FFF2-40B4-BE49-F238E27FC236}">
                      <a16:creationId xmlns:a16="http://schemas.microsoft.com/office/drawing/2014/main" id="{E07CCAEE-0CFF-A64E-8F89-F70905A54194}"/>
                    </a:ext>
                  </a:extLst>
                </xdr:cNvPr>
                <xdr:cNvSpPr/>
              </xdr:nvSpPr>
              <xdr:spPr>
                <a:xfrm flipH="1" flipV="1">
                  <a:off x="5845173" y="783477"/>
                  <a:ext cx="66676" cy="66676"/>
                </a:xfrm>
                <a:prstGeom prst="ellipse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6" name="Group 15">
                <a:extLst>
                  <a:ext uri="{FF2B5EF4-FFF2-40B4-BE49-F238E27FC236}">
                    <a16:creationId xmlns:a16="http://schemas.microsoft.com/office/drawing/2014/main" id="{48A96867-80E0-3AA0-A348-CA1EC78B798E}"/>
                  </a:ext>
                </a:extLst>
              </xdr:cNvPr>
              <xdr:cNvGrpSpPr/>
            </xdr:nvGrpSpPr>
            <xdr:grpSpPr>
              <a:xfrm>
                <a:off x="5729356" y="869950"/>
                <a:ext cx="182493" cy="77880"/>
                <a:chOff x="5729356" y="873125"/>
                <a:chExt cx="182493" cy="77880"/>
              </a:xfrm>
            </xdr:grpSpPr>
            <xdr:sp macro="" textlink="">
              <xdr:nvSpPr>
                <xdr:cNvPr id="11" name="Diamond 10">
                  <a:extLst>
                    <a:ext uri="{FF2B5EF4-FFF2-40B4-BE49-F238E27FC236}">
                      <a16:creationId xmlns:a16="http://schemas.microsoft.com/office/drawing/2014/main" id="{9705D23D-FBD8-6848-B7B8-23334049E27C}"/>
                    </a:ext>
                  </a:extLst>
                </xdr:cNvPr>
                <xdr:cNvSpPr/>
              </xdr:nvSpPr>
              <xdr:spPr>
                <a:xfrm flipH="1">
                  <a:off x="5729356" y="873125"/>
                  <a:ext cx="77880" cy="77880"/>
                </a:xfrm>
                <a:prstGeom prst="diamond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" name="Oval 11">
                  <a:extLst>
                    <a:ext uri="{FF2B5EF4-FFF2-40B4-BE49-F238E27FC236}">
                      <a16:creationId xmlns:a16="http://schemas.microsoft.com/office/drawing/2014/main" id="{1889F78C-F1B9-FF41-BE39-BA0CC977BCD6}"/>
                    </a:ext>
                  </a:extLst>
                </xdr:cNvPr>
                <xdr:cNvSpPr/>
              </xdr:nvSpPr>
              <xdr:spPr>
                <a:xfrm flipH="1" flipV="1">
                  <a:off x="5845173" y="878727"/>
                  <a:ext cx="66676" cy="66676"/>
                </a:xfrm>
                <a:prstGeom prst="ellipse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739B8AF1-BB75-E848-80DD-8357684416AB}"/>
              </a:ext>
            </a:extLst>
          </xdr:cNvPr>
          <xdr:cNvSpPr txBox="1"/>
        </xdr:nvSpPr>
        <xdr:spPr>
          <a:xfrm>
            <a:off x="6746724" y="402272"/>
            <a:ext cx="657202" cy="2486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800" b="1"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</a:p>
        </xdr:txBody>
      </xdr:sp>
    </xdr:grpSp>
    <xdr:clientData/>
  </xdr:twoCellAnchor>
  <xdr:twoCellAnchor>
    <xdr:from>
      <xdr:col>9</xdr:col>
      <xdr:colOff>113679</xdr:colOff>
      <xdr:row>23</xdr:row>
      <xdr:rowOff>694</xdr:rowOff>
    </xdr:from>
    <xdr:to>
      <xdr:col>11</xdr:col>
      <xdr:colOff>624107</xdr:colOff>
      <xdr:row>30</xdr:row>
      <xdr:rowOff>193877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FE4E9F62-770A-D04C-8655-BC35E9FA798E}"/>
            </a:ext>
          </a:extLst>
        </xdr:cNvPr>
        <xdr:cNvGrpSpPr/>
      </xdr:nvGrpSpPr>
      <xdr:grpSpPr>
        <a:xfrm>
          <a:off x="7543179" y="4674294"/>
          <a:ext cx="2161428" cy="1615583"/>
          <a:chOff x="5621747" y="2557762"/>
          <a:chExt cx="2160000" cy="1628526"/>
        </a:xfrm>
      </xdr:grpSpPr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85E933A0-D54A-45C2-0342-C60F9A572BD3}"/>
              </a:ext>
            </a:extLst>
          </xdr:cNvPr>
          <xdr:cNvGrpSpPr/>
        </xdr:nvGrpSpPr>
        <xdr:grpSpPr>
          <a:xfrm>
            <a:off x="5621747" y="2557762"/>
            <a:ext cx="2160000" cy="1628526"/>
            <a:chOff x="5244872" y="428916"/>
            <a:chExt cx="2160000" cy="1628526"/>
          </a:xfrm>
        </xdr:grpSpPr>
        <xdr:grpSp>
          <xdr:nvGrpSpPr>
            <xdr:cNvPr id="44" name="Group 43">
              <a:extLst>
                <a:ext uri="{FF2B5EF4-FFF2-40B4-BE49-F238E27FC236}">
                  <a16:creationId xmlns:a16="http://schemas.microsoft.com/office/drawing/2014/main" id="{82B49D84-C703-E6B2-1CAB-165F179D207B}"/>
                </a:ext>
              </a:extLst>
            </xdr:cNvPr>
            <xdr:cNvGrpSpPr/>
          </xdr:nvGrpSpPr>
          <xdr:grpSpPr>
            <a:xfrm>
              <a:off x="5244872" y="428916"/>
              <a:ext cx="2160000" cy="1628526"/>
              <a:chOff x="5240727" y="425599"/>
              <a:chExt cx="2158086" cy="1615256"/>
            </a:xfrm>
          </xdr:grpSpPr>
          <xdr:graphicFrame macro="">
            <xdr:nvGraphicFramePr>
              <xdr:cNvPr id="58" name="Chart 57">
                <a:extLst>
                  <a:ext uri="{FF2B5EF4-FFF2-40B4-BE49-F238E27FC236}">
                    <a16:creationId xmlns:a16="http://schemas.microsoft.com/office/drawing/2014/main" id="{A671CC69-817E-2617-B362-D9FC737606C8}"/>
                  </a:ext>
                </a:extLst>
              </xdr:cNvPr>
              <xdr:cNvGraphicFramePr/>
            </xdr:nvGraphicFramePr>
            <xdr:xfrm>
              <a:off x="5240727" y="425599"/>
              <a:ext cx="2158086" cy="161525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59" name="TextBox 58">
                <a:extLst>
                  <a:ext uri="{FF2B5EF4-FFF2-40B4-BE49-F238E27FC236}">
                    <a16:creationId xmlns:a16="http://schemas.microsoft.com/office/drawing/2014/main" id="{B94B78EC-03E8-5AD2-A014-ADCE21DC34D7}"/>
                  </a:ext>
                </a:extLst>
              </xdr:cNvPr>
              <xdr:cNvSpPr txBox="1"/>
            </xdr:nvSpPr>
            <xdr:spPr>
              <a:xfrm>
                <a:off x="5884610" y="539332"/>
                <a:ext cx="653946" cy="396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conventional</a:t>
                </a:r>
              </a:p>
              <a:p>
                <a:endParaRPr lang="en-US" sz="10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pristine</a:t>
                </a:r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(150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(150 mg/L)</a:t>
                </a:r>
                <a:endParaRPr lang="en-US" sz="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C746A3C6-C0A7-7623-8712-1710C8FED11B}"/>
                </a:ext>
              </a:extLst>
            </xdr:cNvPr>
            <xdr:cNvGrpSpPr/>
          </xdr:nvGrpSpPr>
          <xdr:grpSpPr>
            <a:xfrm>
              <a:off x="5655820" y="554581"/>
              <a:ext cx="182937" cy="384812"/>
              <a:chOff x="5729356" y="565150"/>
              <a:chExt cx="182493" cy="382680"/>
            </a:xfrm>
          </xdr:grpSpPr>
          <xdr:grpSp>
            <xdr:nvGrpSpPr>
              <xdr:cNvPr id="46" name="Group 45">
                <a:extLst>
                  <a:ext uri="{FF2B5EF4-FFF2-40B4-BE49-F238E27FC236}">
                    <a16:creationId xmlns:a16="http://schemas.microsoft.com/office/drawing/2014/main" id="{78BBF8FC-C1D0-EA89-038A-81D41A1C135A}"/>
                  </a:ext>
                </a:extLst>
              </xdr:cNvPr>
              <xdr:cNvGrpSpPr/>
            </xdr:nvGrpSpPr>
            <xdr:grpSpPr>
              <a:xfrm>
                <a:off x="5729356" y="565150"/>
                <a:ext cx="182493" cy="77880"/>
                <a:chOff x="5729356" y="565150"/>
                <a:chExt cx="182493" cy="77880"/>
              </a:xfrm>
            </xdr:grpSpPr>
            <xdr:sp macro="" textlink="">
              <xdr:nvSpPr>
                <xdr:cNvPr id="56" name="Diamond 55">
                  <a:extLst>
                    <a:ext uri="{FF2B5EF4-FFF2-40B4-BE49-F238E27FC236}">
                      <a16:creationId xmlns:a16="http://schemas.microsoft.com/office/drawing/2014/main" id="{C55BDF55-4054-74AF-1191-599C7FA48AB2}"/>
                    </a:ext>
                  </a:extLst>
                </xdr:cNvPr>
                <xdr:cNvSpPr/>
              </xdr:nvSpPr>
              <xdr:spPr>
                <a:xfrm flipH="1">
                  <a:off x="5729356" y="565150"/>
                  <a:ext cx="77880" cy="77880"/>
                </a:xfrm>
                <a:prstGeom prst="diamond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57" name="Oval 56">
                  <a:extLst>
                    <a:ext uri="{FF2B5EF4-FFF2-40B4-BE49-F238E27FC236}">
                      <a16:creationId xmlns:a16="http://schemas.microsoft.com/office/drawing/2014/main" id="{F26B95AA-E8FE-4D9B-E206-644B8BD17851}"/>
                    </a:ext>
                  </a:extLst>
                </xdr:cNvPr>
                <xdr:cNvSpPr/>
              </xdr:nvSpPr>
              <xdr:spPr>
                <a:xfrm flipH="1" flipV="1">
                  <a:off x="5845173" y="570752"/>
                  <a:ext cx="66676" cy="66676"/>
                </a:xfrm>
                <a:prstGeom prst="ellipse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47" name="Group 46">
                <a:extLst>
                  <a:ext uri="{FF2B5EF4-FFF2-40B4-BE49-F238E27FC236}">
                    <a16:creationId xmlns:a16="http://schemas.microsoft.com/office/drawing/2014/main" id="{14682CC8-D127-6DBA-FF19-F7738F8D1858}"/>
                  </a:ext>
                </a:extLst>
              </xdr:cNvPr>
              <xdr:cNvGrpSpPr/>
            </xdr:nvGrpSpPr>
            <xdr:grpSpPr>
              <a:xfrm>
                <a:off x="5729356" y="666750"/>
                <a:ext cx="182493" cy="77880"/>
                <a:chOff x="5729356" y="701675"/>
                <a:chExt cx="182493" cy="77880"/>
              </a:xfrm>
            </xdr:grpSpPr>
            <xdr:sp macro="" textlink="">
              <xdr:nvSpPr>
                <xdr:cNvPr id="54" name="Diamond 53">
                  <a:extLst>
                    <a:ext uri="{FF2B5EF4-FFF2-40B4-BE49-F238E27FC236}">
                      <a16:creationId xmlns:a16="http://schemas.microsoft.com/office/drawing/2014/main" id="{48379F8C-232C-7A02-4D55-E94BE9271F92}"/>
                    </a:ext>
                  </a:extLst>
                </xdr:cNvPr>
                <xdr:cNvSpPr/>
              </xdr:nvSpPr>
              <xdr:spPr>
                <a:xfrm flipH="1">
                  <a:off x="5729356" y="701675"/>
                  <a:ext cx="77880" cy="77880"/>
                </a:xfrm>
                <a:prstGeom prst="diamond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55" name="Oval 54">
                  <a:extLst>
                    <a:ext uri="{FF2B5EF4-FFF2-40B4-BE49-F238E27FC236}">
                      <a16:creationId xmlns:a16="http://schemas.microsoft.com/office/drawing/2014/main" id="{FB046B7E-F4D3-D2FF-3184-B5C4D82D2F0D}"/>
                    </a:ext>
                  </a:extLst>
                </xdr:cNvPr>
                <xdr:cNvSpPr/>
              </xdr:nvSpPr>
              <xdr:spPr>
                <a:xfrm flipH="1" flipV="1">
                  <a:off x="5845173" y="707277"/>
                  <a:ext cx="66676" cy="66676"/>
                </a:xfrm>
                <a:prstGeom prst="ellipse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48" name="Group 47">
                <a:extLst>
                  <a:ext uri="{FF2B5EF4-FFF2-40B4-BE49-F238E27FC236}">
                    <a16:creationId xmlns:a16="http://schemas.microsoft.com/office/drawing/2014/main" id="{2739CAB9-D721-FCB8-E542-DCF79F7106DD}"/>
                  </a:ext>
                </a:extLst>
              </xdr:cNvPr>
              <xdr:cNvGrpSpPr/>
            </xdr:nvGrpSpPr>
            <xdr:grpSpPr>
              <a:xfrm>
                <a:off x="5729356" y="768350"/>
                <a:ext cx="182493" cy="77880"/>
                <a:chOff x="5729356" y="777875"/>
                <a:chExt cx="182493" cy="77880"/>
              </a:xfrm>
            </xdr:grpSpPr>
            <xdr:sp macro="" textlink="">
              <xdr:nvSpPr>
                <xdr:cNvPr id="52" name="Diamond 51">
                  <a:extLst>
                    <a:ext uri="{FF2B5EF4-FFF2-40B4-BE49-F238E27FC236}">
                      <a16:creationId xmlns:a16="http://schemas.microsoft.com/office/drawing/2014/main" id="{EF0EEA3B-1ABA-14B7-432C-DDA736D13D62}"/>
                    </a:ext>
                  </a:extLst>
                </xdr:cNvPr>
                <xdr:cNvSpPr/>
              </xdr:nvSpPr>
              <xdr:spPr>
                <a:xfrm flipH="1">
                  <a:off x="5729356" y="777875"/>
                  <a:ext cx="77880" cy="77880"/>
                </a:xfrm>
                <a:prstGeom prst="diamond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53" name="Oval 52">
                  <a:extLst>
                    <a:ext uri="{FF2B5EF4-FFF2-40B4-BE49-F238E27FC236}">
                      <a16:creationId xmlns:a16="http://schemas.microsoft.com/office/drawing/2014/main" id="{0D06F4BD-CBBC-F97B-E6A9-D4E305BC6DFB}"/>
                    </a:ext>
                  </a:extLst>
                </xdr:cNvPr>
                <xdr:cNvSpPr/>
              </xdr:nvSpPr>
              <xdr:spPr>
                <a:xfrm flipH="1" flipV="1">
                  <a:off x="5845173" y="783477"/>
                  <a:ext cx="66676" cy="66676"/>
                </a:xfrm>
                <a:prstGeom prst="ellipse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49" name="Group 48">
                <a:extLst>
                  <a:ext uri="{FF2B5EF4-FFF2-40B4-BE49-F238E27FC236}">
                    <a16:creationId xmlns:a16="http://schemas.microsoft.com/office/drawing/2014/main" id="{99C93DC5-768D-67BA-51A3-BCAF4473B1D2}"/>
                  </a:ext>
                </a:extLst>
              </xdr:cNvPr>
              <xdr:cNvGrpSpPr/>
            </xdr:nvGrpSpPr>
            <xdr:grpSpPr>
              <a:xfrm>
                <a:off x="5729356" y="869950"/>
                <a:ext cx="182493" cy="77880"/>
                <a:chOff x="5729356" y="873125"/>
                <a:chExt cx="182493" cy="77880"/>
              </a:xfrm>
            </xdr:grpSpPr>
            <xdr:sp macro="" textlink="">
              <xdr:nvSpPr>
                <xdr:cNvPr id="50" name="Diamond 49">
                  <a:extLst>
                    <a:ext uri="{FF2B5EF4-FFF2-40B4-BE49-F238E27FC236}">
                      <a16:creationId xmlns:a16="http://schemas.microsoft.com/office/drawing/2014/main" id="{B553829D-77FE-58C2-E923-1F8F57A33631}"/>
                    </a:ext>
                  </a:extLst>
                </xdr:cNvPr>
                <xdr:cNvSpPr/>
              </xdr:nvSpPr>
              <xdr:spPr>
                <a:xfrm flipH="1">
                  <a:off x="5729356" y="873125"/>
                  <a:ext cx="77880" cy="77880"/>
                </a:xfrm>
                <a:prstGeom prst="diamond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51" name="Oval 50">
                  <a:extLst>
                    <a:ext uri="{FF2B5EF4-FFF2-40B4-BE49-F238E27FC236}">
                      <a16:creationId xmlns:a16="http://schemas.microsoft.com/office/drawing/2014/main" id="{B1E5ED62-4A57-08CE-83F7-CD748C99F476}"/>
                    </a:ext>
                  </a:extLst>
                </xdr:cNvPr>
                <xdr:cNvSpPr/>
              </xdr:nvSpPr>
              <xdr:spPr>
                <a:xfrm flipH="1" flipV="1">
                  <a:off x="5845173" y="878727"/>
                  <a:ext cx="66676" cy="66676"/>
                </a:xfrm>
                <a:prstGeom prst="ellipse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404A44BB-A5E9-4DEB-51E2-CD95BE197694}"/>
              </a:ext>
            </a:extLst>
          </xdr:cNvPr>
          <xdr:cNvSpPr txBox="1"/>
        </xdr:nvSpPr>
        <xdr:spPr>
          <a:xfrm>
            <a:off x="6624742" y="2637692"/>
            <a:ext cx="657202" cy="2486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800" b="1">
                <a:latin typeface="Arial" panose="020B0604020202020204" pitchFamily="34" charset="0"/>
                <a:cs typeface="Arial" panose="020B0604020202020204" pitchFamily="34" charset="0"/>
              </a:rPr>
              <a:t>Mn</a:t>
            </a:r>
          </a:p>
        </xdr:txBody>
      </xdr:sp>
    </xdr:grpSp>
    <xdr:clientData/>
  </xdr:twoCellAnchor>
  <xdr:twoCellAnchor>
    <xdr:from>
      <xdr:col>9</xdr:col>
      <xdr:colOff>94363</xdr:colOff>
      <xdr:row>34</xdr:row>
      <xdr:rowOff>48823</xdr:rowOff>
    </xdr:from>
    <xdr:to>
      <xdr:col>11</xdr:col>
      <xdr:colOff>604791</xdr:colOff>
      <xdr:row>42</xdr:row>
      <xdr:rowOff>43223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F7C8AD17-E0DF-444C-986A-CA31B919C933}"/>
            </a:ext>
          </a:extLst>
        </xdr:cNvPr>
        <xdr:cNvGrpSpPr/>
      </xdr:nvGrpSpPr>
      <xdr:grpSpPr>
        <a:xfrm>
          <a:off x="7523863" y="6957623"/>
          <a:ext cx="2161428" cy="1620000"/>
          <a:chOff x="5621747" y="2557762"/>
          <a:chExt cx="2160000" cy="1628526"/>
        </a:xfrm>
      </xdr:grpSpPr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EFF7FFF6-7F89-426A-3115-D05BBD2FCCFD}"/>
              </a:ext>
            </a:extLst>
          </xdr:cNvPr>
          <xdr:cNvGrpSpPr/>
        </xdr:nvGrpSpPr>
        <xdr:grpSpPr>
          <a:xfrm>
            <a:off x="5621747" y="2557762"/>
            <a:ext cx="2160000" cy="1628526"/>
            <a:chOff x="5244872" y="428916"/>
            <a:chExt cx="2160000" cy="1628526"/>
          </a:xfrm>
        </xdr:grpSpPr>
        <xdr:grpSp>
          <xdr:nvGrpSpPr>
            <xdr:cNvPr id="82" name="Group 81">
              <a:extLst>
                <a:ext uri="{FF2B5EF4-FFF2-40B4-BE49-F238E27FC236}">
                  <a16:creationId xmlns:a16="http://schemas.microsoft.com/office/drawing/2014/main" id="{3A9829F1-4367-356F-5D98-7116AE884F82}"/>
                </a:ext>
              </a:extLst>
            </xdr:cNvPr>
            <xdr:cNvGrpSpPr/>
          </xdr:nvGrpSpPr>
          <xdr:grpSpPr>
            <a:xfrm>
              <a:off x="5244872" y="428916"/>
              <a:ext cx="2160000" cy="1628526"/>
              <a:chOff x="5240727" y="425599"/>
              <a:chExt cx="2158086" cy="1615256"/>
            </a:xfrm>
          </xdr:grpSpPr>
          <xdr:graphicFrame macro="">
            <xdr:nvGraphicFramePr>
              <xdr:cNvPr id="96" name="Chart 95">
                <a:extLst>
                  <a:ext uri="{FF2B5EF4-FFF2-40B4-BE49-F238E27FC236}">
                    <a16:creationId xmlns:a16="http://schemas.microsoft.com/office/drawing/2014/main" id="{B02EA91F-0698-99D2-A6B9-B4AD68357237}"/>
                  </a:ext>
                </a:extLst>
              </xdr:cNvPr>
              <xdr:cNvGraphicFramePr/>
            </xdr:nvGraphicFramePr>
            <xdr:xfrm>
              <a:off x="5240727" y="425599"/>
              <a:ext cx="2158086" cy="161525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97" name="TextBox 96">
                <a:extLst>
                  <a:ext uri="{FF2B5EF4-FFF2-40B4-BE49-F238E27FC236}">
                    <a16:creationId xmlns:a16="http://schemas.microsoft.com/office/drawing/2014/main" id="{B65CD00F-F5B2-0315-3D6E-07FF8C952C7A}"/>
                  </a:ext>
                </a:extLst>
              </xdr:cNvPr>
              <xdr:cNvSpPr txBox="1"/>
            </xdr:nvSpPr>
            <xdr:spPr>
              <a:xfrm>
                <a:off x="5891262" y="532578"/>
                <a:ext cx="653946" cy="396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conventional</a:t>
                </a:r>
              </a:p>
              <a:p>
                <a:endParaRPr lang="en-US" sz="10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pristine</a:t>
                </a:r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(150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(150 mg/L)</a:t>
                </a:r>
                <a:endParaRPr lang="en-US" sz="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51C3C4D3-E8E8-C1F3-46A2-FF625DA3BA3E}"/>
                </a:ext>
              </a:extLst>
            </xdr:cNvPr>
            <xdr:cNvGrpSpPr/>
          </xdr:nvGrpSpPr>
          <xdr:grpSpPr>
            <a:xfrm>
              <a:off x="5655820" y="554581"/>
              <a:ext cx="182937" cy="384812"/>
              <a:chOff x="5729356" y="565150"/>
              <a:chExt cx="182493" cy="382680"/>
            </a:xfrm>
          </xdr:grpSpPr>
          <xdr:grpSp>
            <xdr:nvGrpSpPr>
              <xdr:cNvPr id="84" name="Group 83">
                <a:extLst>
                  <a:ext uri="{FF2B5EF4-FFF2-40B4-BE49-F238E27FC236}">
                    <a16:creationId xmlns:a16="http://schemas.microsoft.com/office/drawing/2014/main" id="{1EC674C2-B31F-99B9-CC88-9F66F5899ECC}"/>
                  </a:ext>
                </a:extLst>
              </xdr:cNvPr>
              <xdr:cNvGrpSpPr/>
            </xdr:nvGrpSpPr>
            <xdr:grpSpPr>
              <a:xfrm>
                <a:off x="5729356" y="565150"/>
                <a:ext cx="182493" cy="77880"/>
                <a:chOff x="5729356" y="565150"/>
                <a:chExt cx="182493" cy="77880"/>
              </a:xfrm>
            </xdr:grpSpPr>
            <xdr:sp macro="" textlink="">
              <xdr:nvSpPr>
                <xdr:cNvPr id="94" name="Diamond 93">
                  <a:extLst>
                    <a:ext uri="{FF2B5EF4-FFF2-40B4-BE49-F238E27FC236}">
                      <a16:creationId xmlns:a16="http://schemas.microsoft.com/office/drawing/2014/main" id="{44DE8411-B850-09C9-25A4-0FCC24CC3452}"/>
                    </a:ext>
                  </a:extLst>
                </xdr:cNvPr>
                <xdr:cNvSpPr/>
              </xdr:nvSpPr>
              <xdr:spPr>
                <a:xfrm flipH="1">
                  <a:off x="5729356" y="565150"/>
                  <a:ext cx="77880" cy="77880"/>
                </a:xfrm>
                <a:prstGeom prst="diamond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95" name="Oval 94">
                  <a:extLst>
                    <a:ext uri="{FF2B5EF4-FFF2-40B4-BE49-F238E27FC236}">
                      <a16:creationId xmlns:a16="http://schemas.microsoft.com/office/drawing/2014/main" id="{CCDE307C-2517-34AB-ABE1-71DD7D835EF7}"/>
                    </a:ext>
                  </a:extLst>
                </xdr:cNvPr>
                <xdr:cNvSpPr/>
              </xdr:nvSpPr>
              <xdr:spPr>
                <a:xfrm flipH="1" flipV="1">
                  <a:off x="5845173" y="570752"/>
                  <a:ext cx="66676" cy="66676"/>
                </a:xfrm>
                <a:prstGeom prst="ellipse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85" name="Group 84">
                <a:extLst>
                  <a:ext uri="{FF2B5EF4-FFF2-40B4-BE49-F238E27FC236}">
                    <a16:creationId xmlns:a16="http://schemas.microsoft.com/office/drawing/2014/main" id="{8656E014-B9F2-E1B0-1A36-CD33F1C52F47}"/>
                  </a:ext>
                </a:extLst>
              </xdr:cNvPr>
              <xdr:cNvGrpSpPr/>
            </xdr:nvGrpSpPr>
            <xdr:grpSpPr>
              <a:xfrm>
                <a:off x="5729356" y="666750"/>
                <a:ext cx="182493" cy="77880"/>
                <a:chOff x="5729356" y="701675"/>
                <a:chExt cx="182493" cy="77880"/>
              </a:xfrm>
            </xdr:grpSpPr>
            <xdr:sp macro="" textlink="">
              <xdr:nvSpPr>
                <xdr:cNvPr id="92" name="Diamond 91">
                  <a:extLst>
                    <a:ext uri="{FF2B5EF4-FFF2-40B4-BE49-F238E27FC236}">
                      <a16:creationId xmlns:a16="http://schemas.microsoft.com/office/drawing/2014/main" id="{8F8CD6D0-0D46-F94F-3B50-CFF820CA60BF}"/>
                    </a:ext>
                  </a:extLst>
                </xdr:cNvPr>
                <xdr:cNvSpPr/>
              </xdr:nvSpPr>
              <xdr:spPr>
                <a:xfrm flipH="1">
                  <a:off x="5729356" y="701675"/>
                  <a:ext cx="77880" cy="77880"/>
                </a:xfrm>
                <a:prstGeom prst="diamond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93" name="Oval 92">
                  <a:extLst>
                    <a:ext uri="{FF2B5EF4-FFF2-40B4-BE49-F238E27FC236}">
                      <a16:creationId xmlns:a16="http://schemas.microsoft.com/office/drawing/2014/main" id="{8FC86F07-048E-C785-D7F5-445B04741F89}"/>
                    </a:ext>
                  </a:extLst>
                </xdr:cNvPr>
                <xdr:cNvSpPr/>
              </xdr:nvSpPr>
              <xdr:spPr>
                <a:xfrm flipH="1" flipV="1">
                  <a:off x="5845173" y="707277"/>
                  <a:ext cx="66676" cy="66676"/>
                </a:xfrm>
                <a:prstGeom prst="ellipse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86" name="Group 85">
                <a:extLst>
                  <a:ext uri="{FF2B5EF4-FFF2-40B4-BE49-F238E27FC236}">
                    <a16:creationId xmlns:a16="http://schemas.microsoft.com/office/drawing/2014/main" id="{1A94D95F-5210-50E6-60CA-E4B3BE1500D1}"/>
                  </a:ext>
                </a:extLst>
              </xdr:cNvPr>
              <xdr:cNvGrpSpPr/>
            </xdr:nvGrpSpPr>
            <xdr:grpSpPr>
              <a:xfrm>
                <a:off x="5729356" y="768350"/>
                <a:ext cx="182493" cy="77880"/>
                <a:chOff x="5729356" y="777875"/>
                <a:chExt cx="182493" cy="77880"/>
              </a:xfrm>
            </xdr:grpSpPr>
            <xdr:sp macro="" textlink="">
              <xdr:nvSpPr>
                <xdr:cNvPr id="90" name="Diamond 89">
                  <a:extLst>
                    <a:ext uri="{FF2B5EF4-FFF2-40B4-BE49-F238E27FC236}">
                      <a16:creationId xmlns:a16="http://schemas.microsoft.com/office/drawing/2014/main" id="{37EA1331-D835-8BED-5E0E-C8973471C5D7}"/>
                    </a:ext>
                  </a:extLst>
                </xdr:cNvPr>
                <xdr:cNvSpPr/>
              </xdr:nvSpPr>
              <xdr:spPr>
                <a:xfrm flipH="1">
                  <a:off x="5729356" y="777875"/>
                  <a:ext cx="77880" cy="77880"/>
                </a:xfrm>
                <a:prstGeom prst="diamond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91" name="Oval 90">
                  <a:extLst>
                    <a:ext uri="{FF2B5EF4-FFF2-40B4-BE49-F238E27FC236}">
                      <a16:creationId xmlns:a16="http://schemas.microsoft.com/office/drawing/2014/main" id="{37A80BC5-D95E-85E4-FF4F-E4D3F62ED70A}"/>
                    </a:ext>
                  </a:extLst>
                </xdr:cNvPr>
                <xdr:cNvSpPr/>
              </xdr:nvSpPr>
              <xdr:spPr>
                <a:xfrm flipH="1" flipV="1">
                  <a:off x="5845173" y="783477"/>
                  <a:ext cx="66676" cy="66676"/>
                </a:xfrm>
                <a:prstGeom prst="ellipse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87" name="Group 86">
                <a:extLst>
                  <a:ext uri="{FF2B5EF4-FFF2-40B4-BE49-F238E27FC236}">
                    <a16:creationId xmlns:a16="http://schemas.microsoft.com/office/drawing/2014/main" id="{084F6448-D226-7742-5FF0-0592350E08A1}"/>
                  </a:ext>
                </a:extLst>
              </xdr:cNvPr>
              <xdr:cNvGrpSpPr/>
            </xdr:nvGrpSpPr>
            <xdr:grpSpPr>
              <a:xfrm>
                <a:off x="5729356" y="869950"/>
                <a:ext cx="182493" cy="77880"/>
                <a:chOff x="5729356" y="873125"/>
                <a:chExt cx="182493" cy="77880"/>
              </a:xfrm>
            </xdr:grpSpPr>
            <xdr:sp macro="" textlink="">
              <xdr:nvSpPr>
                <xdr:cNvPr id="88" name="Diamond 87">
                  <a:extLst>
                    <a:ext uri="{FF2B5EF4-FFF2-40B4-BE49-F238E27FC236}">
                      <a16:creationId xmlns:a16="http://schemas.microsoft.com/office/drawing/2014/main" id="{097DDF15-0AB7-B0F2-4A8F-5CDE404347C3}"/>
                    </a:ext>
                  </a:extLst>
                </xdr:cNvPr>
                <xdr:cNvSpPr/>
              </xdr:nvSpPr>
              <xdr:spPr>
                <a:xfrm flipH="1">
                  <a:off x="5729356" y="873125"/>
                  <a:ext cx="77880" cy="77880"/>
                </a:xfrm>
                <a:prstGeom prst="diamond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9" name="Oval 88">
                  <a:extLst>
                    <a:ext uri="{FF2B5EF4-FFF2-40B4-BE49-F238E27FC236}">
                      <a16:creationId xmlns:a16="http://schemas.microsoft.com/office/drawing/2014/main" id="{5191CABF-F21A-D334-1816-02D4C7556DFA}"/>
                    </a:ext>
                  </a:extLst>
                </xdr:cNvPr>
                <xdr:cNvSpPr/>
              </xdr:nvSpPr>
              <xdr:spPr>
                <a:xfrm flipH="1" flipV="1">
                  <a:off x="5845173" y="878727"/>
                  <a:ext cx="66676" cy="66676"/>
                </a:xfrm>
                <a:prstGeom prst="ellipse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2CC383B9-143C-7A59-1A65-77F90F530202}"/>
              </a:ext>
            </a:extLst>
          </xdr:cNvPr>
          <xdr:cNvSpPr txBox="1"/>
        </xdr:nvSpPr>
        <xdr:spPr>
          <a:xfrm>
            <a:off x="6634378" y="2637692"/>
            <a:ext cx="657202" cy="2486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800" b="1">
                <a:latin typeface="Arial" panose="020B0604020202020204" pitchFamily="34" charset="0"/>
                <a:cs typeface="Arial" panose="020B0604020202020204" pitchFamily="34" charset="0"/>
              </a:rPr>
              <a:t>Zn</a:t>
            </a:r>
          </a:p>
        </xdr:txBody>
      </xdr:sp>
    </xdr:grpSp>
    <xdr:clientData/>
  </xdr:twoCellAnchor>
  <xdr:twoCellAnchor>
    <xdr:from>
      <xdr:col>9</xdr:col>
      <xdr:colOff>120374</xdr:colOff>
      <xdr:row>44</xdr:row>
      <xdr:rowOff>111264</xdr:rowOff>
    </xdr:from>
    <xdr:to>
      <xdr:col>11</xdr:col>
      <xdr:colOff>627067</xdr:colOff>
      <xdr:row>52</xdr:row>
      <xdr:rowOff>107905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D2669A67-DC1C-3447-8D7C-26E2DC74CC03}"/>
            </a:ext>
          </a:extLst>
        </xdr:cNvPr>
        <xdr:cNvGrpSpPr/>
      </xdr:nvGrpSpPr>
      <xdr:grpSpPr>
        <a:xfrm>
          <a:off x="7549874" y="9052064"/>
          <a:ext cx="2157693" cy="1622241"/>
          <a:chOff x="5621747" y="2557762"/>
          <a:chExt cx="2160000" cy="1628526"/>
        </a:xfrm>
      </xdr:grpSpPr>
      <xdr:grpSp>
        <xdr:nvGrpSpPr>
          <xdr:cNvPr id="99" name="Group 98">
            <a:extLst>
              <a:ext uri="{FF2B5EF4-FFF2-40B4-BE49-F238E27FC236}">
                <a16:creationId xmlns:a16="http://schemas.microsoft.com/office/drawing/2014/main" id="{73A7290B-785D-8609-1CEE-09361EA6776E}"/>
              </a:ext>
            </a:extLst>
          </xdr:cNvPr>
          <xdr:cNvGrpSpPr/>
        </xdr:nvGrpSpPr>
        <xdr:grpSpPr>
          <a:xfrm>
            <a:off x="5621747" y="2557762"/>
            <a:ext cx="2160000" cy="1628526"/>
            <a:chOff x="5244872" y="428916"/>
            <a:chExt cx="2160000" cy="1628526"/>
          </a:xfrm>
        </xdr:grpSpPr>
        <xdr:grpSp>
          <xdr:nvGrpSpPr>
            <xdr:cNvPr id="101" name="Group 100">
              <a:extLst>
                <a:ext uri="{FF2B5EF4-FFF2-40B4-BE49-F238E27FC236}">
                  <a16:creationId xmlns:a16="http://schemas.microsoft.com/office/drawing/2014/main" id="{2031CA5A-35AF-4311-25CA-C69C7F644FE7}"/>
                </a:ext>
              </a:extLst>
            </xdr:cNvPr>
            <xdr:cNvGrpSpPr/>
          </xdr:nvGrpSpPr>
          <xdr:grpSpPr>
            <a:xfrm>
              <a:off x="5244872" y="428916"/>
              <a:ext cx="2160000" cy="1628526"/>
              <a:chOff x="5240727" y="425599"/>
              <a:chExt cx="2158086" cy="1615256"/>
            </a:xfrm>
          </xdr:grpSpPr>
          <xdr:graphicFrame macro="">
            <xdr:nvGraphicFramePr>
              <xdr:cNvPr id="115" name="Chart 114">
                <a:extLst>
                  <a:ext uri="{FF2B5EF4-FFF2-40B4-BE49-F238E27FC236}">
                    <a16:creationId xmlns:a16="http://schemas.microsoft.com/office/drawing/2014/main" id="{F3FD6853-993B-5FA4-D91D-9F9023ABE8BB}"/>
                  </a:ext>
                </a:extLst>
              </xdr:cNvPr>
              <xdr:cNvGraphicFramePr/>
            </xdr:nvGraphicFramePr>
            <xdr:xfrm>
              <a:off x="5240727" y="425599"/>
              <a:ext cx="2158086" cy="161525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sp macro="" textlink="">
            <xdr:nvSpPr>
              <xdr:cNvPr id="116" name="TextBox 115">
                <a:extLst>
                  <a:ext uri="{FF2B5EF4-FFF2-40B4-BE49-F238E27FC236}">
                    <a16:creationId xmlns:a16="http://schemas.microsoft.com/office/drawing/2014/main" id="{65B01BD2-5D50-76CA-226C-8516D0CF2A88}"/>
                  </a:ext>
                </a:extLst>
              </xdr:cNvPr>
              <xdr:cNvSpPr txBox="1"/>
            </xdr:nvSpPr>
            <xdr:spPr>
              <a:xfrm>
                <a:off x="5891262" y="532578"/>
                <a:ext cx="653946" cy="396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conventional</a:t>
                </a:r>
              </a:p>
              <a:p>
                <a:endParaRPr lang="en-US" sz="10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pristine</a:t>
                </a:r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(150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(150 mg/L)</a:t>
                </a:r>
                <a:endParaRPr lang="en-US" sz="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01C70639-9C74-8C3B-EBBC-5E2763AB004A}"/>
                </a:ext>
              </a:extLst>
            </xdr:cNvPr>
            <xdr:cNvGrpSpPr/>
          </xdr:nvGrpSpPr>
          <xdr:grpSpPr>
            <a:xfrm>
              <a:off x="5655820" y="554581"/>
              <a:ext cx="182937" cy="384812"/>
              <a:chOff x="5729356" y="565150"/>
              <a:chExt cx="182493" cy="382680"/>
            </a:xfrm>
          </xdr:grpSpPr>
          <xdr:grpSp>
            <xdr:nvGrpSpPr>
              <xdr:cNvPr id="103" name="Group 102">
                <a:extLst>
                  <a:ext uri="{FF2B5EF4-FFF2-40B4-BE49-F238E27FC236}">
                    <a16:creationId xmlns:a16="http://schemas.microsoft.com/office/drawing/2014/main" id="{4B4F6BB5-2FB6-10F2-820B-BC3B4C0E8262}"/>
                  </a:ext>
                </a:extLst>
              </xdr:cNvPr>
              <xdr:cNvGrpSpPr/>
            </xdr:nvGrpSpPr>
            <xdr:grpSpPr>
              <a:xfrm>
                <a:off x="5729356" y="565150"/>
                <a:ext cx="182493" cy="77880"/>
                <a:chOff x="5729356" y="565150"/>
                <a:chExt cx="182493" cy="77880"/>
              </a:xfrm>
            </xdr:grpSpPr>
            <xdr:sp macro="" textlink="">
              <xdr:nvSpPr>
                <xdr:cNvPr id="113" name="Diamond 112">
                  <a:extLst>
                    <a:ext uri="{FF2B5EF4-FFF2-40B4-BE49-F238E27FC236}">
                      <a16:creationId xmlns:a16="http://schemas.microsoft.com/office/drawing/2014/main" id="{8D72D0EF-1B25-4C58-65CF-D7E6A6A7A4E1}"/>
                    </a:ext>
                  </a:extLst>
                </xdr:cNvPr>
                <xdr:cNvSpPr/>
              </xdr:nvSpPr>
              <xdr:spPr>
                <a:xfrm flipH="1">
                  <a:off x="5729356" y="565150"/>
                  <a:ext cx="77880" cy="77880"/>
                </a:xfrm>
                <a:prstGeom prst="diamond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14" name="Oval 113">
                  <a:extLst>
                    <a:ext uri="{FF2B5EF4-FFF2-40B4-BE49-F238E27FC236}">
                      <a16:creationId xmlns:a16="http://schemas.microsoft.com/office/drawing/2014/main" id="{FCEFE928-53FF-D982-C42E-58FC5C283F65}"/>
                    </a:ext>
                  </a:extLst>
                </xdr:cNvPr>
                <xdr:cNvSpPr/>
              </xdr:nvSpPr>
              <xdr:spPr>
                <a:xfrm flipH="1" flipV="1">
                  <a:off x="5845173" y="570752"/>
                  <a:ext cx="66676" cy="66676"/>
                </a:xfrm>
                <a:prstGeom prst="ellipse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04" name="Group 103">
                <a:extLst>
                  <a:ext uri="{FF2B5EF4-FFF2-40B4-BE49-F238E27FC236}">
                    <a16:creationId xmlns:a16="http://schemas.microsoft.com/office/drawing/2014/main" id="{C79A68AD-134E-3228-D4D3-396370266340}"/>
                  </a:ext>
                </a:extLst>
              </xdr:cNvPr>
              <xdr:cNvGrpSpPr/>
            </xdr:nvGrpSpPr>
            <xdr:grpSpPr>
              <a:xfrm>
                <a:off x="5729356" y="666750"/>
                <a:ext cx="182493" cy="77880"/>
                <a:chOff x="5729356" y="701675"/>
                <a:chExt cx="182493" cy="77880"/>
              </a:xfrm>
            </xdr:grpSpPr>
            <xdr:sp macro="" textlink="">
              <xdr:nvSpPr>
                <xdr:cNvPr id="111" name="Diamond 110">
                  <a:extLst>
                    <a:ext uri="{FF2B5EF4-FFF2-40B4-BE49-F238E27FC236}">
                      <a16:creationId xmlns:a16="http://schemas.microsoft.com/office/drawing/2014/main" id="{080959C9-C0B1-1CFD-205A-C0E86976E4E0}"/>
                    </a:ext>
                  </a:extLst>
                </xdr:cNvPr>
                <xdr:cNvSpPr/>
              </xdr:nvSpPr>
              <xdr:spPr>
                <a:xfrm flipH="1">
                  <a:off x="5729356" y="701675"/>
                  <a:ext cx="77880" cy="77880"/>
                </a:xfrm>
                <a:prstGeom prst="diamond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12" name="Oval 111">
                  <a:extLst>
                    <a:ext uri="{FF2B5EF4-FFF2-40B4-BE49-F238E27FC236}">
                      <a16:creationId xmlns:a16="http://schemas.microsoft.com/office/drawing/2014/main" id="{B2400378-1CCA-62E4-9EFE-2D952B969A65}"/>
                    </a:ext>
                  </a:extLst>
                </xdr:cNvPr>
                <xdr:cNvSpPr/>
              </xdr:nvSpPr>
              <xdr:spPr>
                <a:xfrm flipH="1" flipV="1">
                  <a:off x="5845173" y="707277"/>
                  <a:ext cx="66676" cy="66676"/>
                </a:xfrm>
                <a:prstGeom prst="ellipse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05" name="Group 104">
                <a:extLst>
                  <a:ext uri="{FF2B5EF4-FFF2-40B4-BE49-F238E27FC236}">
                    <a16:creationId xmlns:a16="http://schemas.microsoft.com/office/drawing/2014/main" id="{32F6BEE9-F5F8-DEFB-965B-A411CC7B29F6}"/>
                  </a:ext>
                </a:extLst>
              </xdr:cNvPr>
              <xdr:cNvGrpSpPr/>
            </xdr:nvGrpSpPr>
            <xdr:grpSpPr>
              <a:xfrm>
                <a:off x="5729356" y="768350"/>
                <a:ext cx="182493" cy="77880"/>
                <a:chOff x="5729356" y="777875"/>
                <a:chExt cx="182493" cy="77880"/>
              </a:xfrm>
            </xdr:grpSpPr>
            <xdr:sp macro="" textlink="">
              <xdr:nvSpPr>
                <xdr:cNvPr id="109" name="Diamond 108">
                  <a:extLst>
                    <a:ext uri="{FF2B5EF4-FFF2-40B4-BE49-F238E27FC236}">
                      <a16:creationId xmlns:a16="http://schemas.microsoft.com/office/drawing/2014/main" id="{1130A9B5-C6D5-2D6C-3AC4-D9D040BF9A17}"/>
                    </a:ext>
                  </a:extLst>
                </xdr:cNvPr>
                <xdr:cNvSpPr/>
              </xdr:nvSpPr>
              <xdr:spPr>
                <a:xfrm flipH="1">
                  <a:off x="5729356" y="777875"/>
                  <a:ext cx="77880" cy="77880"/>
                </a:xfrm>
                <a:prstGeom prst="diamond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10" name="Oval 109">
                  <a:extLst>
                    <a:ext uri="{FF2B5EF4-FFF2-40B4-BE49-F238E27FC236}">
                      <a16:creationId xmlns:a16="http://schemas.microsoft.com/office/drawing/2014/main" id="{97C79E55-B473-5279-B9E9-F62FC3CE9BBA}"/>
                    </a:ext>
                  </a:extLst>
                </xdr:cNvPr>
                <xdr:cNvSpPr/>
              </xdr:nvSpPr>
              <xdr:spPr>
                <a:xfrm flipH="1" flipV="1">
                  <a:off x="5845173" y="783477"/>
                  <a:ext cx="66676" cy="66676"/>
                </a:xfrm>
                <a:prstGeom prst="ellipse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06" name="Group 105">
                <a:extLst>
                  <a:ext uri="{FF2B5EF4-FFF2-40B4-BE49-F238E27FC236}">
                    <a16:creationId xmlns:a16="http://schemas.microsoft.com/office/drawing/2014/main" id="{8DDADB5D-A5D0-CCA6-79BC-111A327CC9D9}"/>
                  </a:ext>
                </a:extLst>
              </xdr:cNvPr>
              <xdr:cNvGrpSpPr/>
            </xdr:nvGrpSpPr>
            <xdr:grpSpPr>
              <a:xfrm>
                <a:off x="5729356" y="869950"/>
                <a:ext cx="182493" cy="77880"/>
                <a:chOff x="5729356" y="873125"/>
                <a:chExt cx="182493" cy="77880"/>
              </a:xfrm>
            </xdr:grpSpPr>
            <xdr:sp macro="" textlink="">
              <xdr:nvSpPr>
                <xdr:cNvPr id="107" name="Diamond 106">
                  <a:extLst>
                    <a:ext uri="{FF2B5EF4-FFF2-40B4-BE49-F238E27FC236}">
                      <a16:creationId xmlns:a16="http://schemas.microsoft.com/office/drawing/2014/main" id="{E8F40211-8DBA-0016-7CC2-D1004CAA9798}"/>
                    </a:ext>
                  </a:extLst>
                </xdr:cNvPr>
                <xdr:cNvSpPr/>
              </xdr:nvSpPr>
              <xdr:spPr>
                <a:xfrm flipH="1">
                  <a:off x="5729356" y="873125"/>
                  <a:ext cx="77880" cy="77880"/>
                </a:xfrm>
                <a:prstGeom prst="diamond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08" name="Oval 107">
                  <a:extLst>
                    <a:ext uri="{FF2B5EF4-FFF2-40B4-BE49-F238E27FC236}">
                      <a16:creationId xmlns:a16="http://schemas.microsoft.com/office/drawing/2014/main" id="{F8DC3201-87EF-9EB7-39D2-4A1D15DB53DF}"/>
                    </a:ext>
                  </a:extLst>
                </xdr:cNvPr>
                <xdr:cNvSpPr/>
              </xdr:nvSpPr>
              <xdr:spPr>
                <a:xfrm flipH="1" flipV="1">
                  <a:off x="5845173" y="878727"/>
                  <a:ext cx="66676" cy="66676"/>
                </a:xfrm>
                <a:prstGeom prst="ellipse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D958AB3-C8FE-8B5F-DE45-BD7C24BF6C96}"/>
              </a:ext>
            </a:extLst>
          </xdr:cNvPr>
          <xdr:cNvSpPr txBox="1"/>
        </xdr:nvSpPr>
        <xdr:spPr>
          <a:xfrm>
            <a:off x="6634378" y="2637692"/>
            <a:ext cx="657202" cy="2486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800" b="1">
                <a:latin typeface="Arial" panose="020B0604020202020204" pitchFamily="34" charset="0"/>
                <a:cs typeface="Arial" panose="020B0604020202020204" pitchFamily="34" charset="0"/>
              </a:rPr>
              <a:t>Cr</a:t>
            </a:r>
          </a:p>
        </xdr:txBody>
      </xdr:sp>
    </xdr:grpSp>
    <xdr:clientData/>
  </xdr:twoCellAnchor>
  <xdr:twoCellAnchor>
    <xdr:from>
      <xdr:col>9</xdr:col>
      <xdr:colOff>174487</xdr:colOff>
      <xdr:row>54</xdr:row>
      <xdr:rowOff>61291</xdr:rowOff>
    </xdr:from>
    <xdr:to>
      <xdr:col>11</xdr:col>
      <xdr:colOff>678419</xdr:colOff>
      <xdr:row>62</xdr:row>
      <xdr:rowOff>62350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2C0B7E39-D093-7D42-84FF-72190ECF0E4A}"/>
            </a:ext>
          </a:extLst>
        </xdr:cNvPr>
        <xdr:cNvGrpSpPr/>
      </xdr:nvGrpSpPr>
      <xdr:grpSpPr>
        <a:xfrm>
          <a:off x="7603987" y="11034091"/>
          <a:ext cx="2154932" cy="1626659"/>
          <a:chOff x="5621747" y="2557762"/>
          <a:chExt cx="2160000" cy="1628526"/>
        </a:xfrm>
      </xdr:grpSpPr>
      <xdr:grpSp>
        <xdr:nvGrpSpPr>
          <xdr:cNvPr id="118" name="Group 117">
            <a:extLst>
              <a:ext uri="{FF2B5EF4-FFF2-40B4-BE49-F238E27FC236}">
                <a16:creationId xmlns:a16="http://schemas.microsoft.com/office/drawing/2014/main" id="{AF8ABCD5-13FB-21AC-EB0E-1A8DAC554B4B}"/>
              </a:ext>
            </a:extLst>
          </xdr:cNvPr>
          <xdr:cNvGrpSpPr/>
        </xdr:nvGrpSpPr>
        <xdr:grpSpPr>
          <a:xfrm>
            <a:off x="5621747" y="2557762"/>
            <a:ext cx="2160000" cy="1628526"/>
            <a:chOff x="5244872" y="428916"/>
            <a:chExt cx="2160000" cy="1628526"/>
          </a:xfrm>
        </xdr:grpSpPr>
        <xdr:grpSp>
          <xdr:nvGrpSpPr>
            <xdr:cNvPr id="120" name="Group 119">
              <a:extLst>
                <a:ext uri="{FF2B5EF4-FFF2-40B4-BE49-F238E27FC236}">
                  <a16:creationId xmlns:a16="http://schemas.microsoft.com/office/drawing/2014/main" id="{7C3BFA0E-6155-5DB1-2904-62C57731151A}"/>
                </a:ext>
              </a:extLst>
            </xdr:cNvPr>
            <xdr:cNvGrpSpPr/>
          </xdr:nvGrpSpPr>
          <xdr:grpSpPr>
            <a:xfrm>
              <a:off x="5244872" y="428916"/>
              <a:ext cx="2160000" cy="1628526"/>
              <a:chOff x="5240727" y="425599"/>
              <a:chExt cx="2158086" cy="1615256"/>
            </a:xfrm>
          </xdr:grpSpPr>
          <xdr:graphicFrame macro="">
            <xdr:nvGraphicFramePr>
              <xdr:cNvPr id="134" name="Chart 133">
                <a:extLst>
                  <a:ext uri="{FF2B5EF4-FFF2-40B4-BE49-F238E27FC236}">
                    <a16:creationId xmlns:a16="http://schemas.microsoft.com/office/drawing/2014/main" id="{736DB8DF-4EF4-8095-2FAA-EC89CFBB6930}"/>
                  </a:ext>
                </a:extLst>
              </xdr:cNvPr>
              <xdr:cNvGraphicFramePr/>
            </xdr:nvGraphicFramePr>
            <xdr:xfrm>
              <a:off x="5240727" y="425599"/>
              <a:ext cx="2158086" cy="161525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">
            <xdr:nvSpPr>
              <xdr:cNvPr id="135" name="TextBox 134">
                <a:extLst>
                  <a:ext uri="{FF2B5EF4-FFF2-40B4-BE49-F238E27FC236}">
                    <a16:creationId xmlns:a16="http://schemas.microsoft.com/office/drawing/2014/main" id="{D24DD9B3-2AE7-E2CC-DFB0-4F6A49F43A9E}"/>
                  </a:ext>
                </a:extLst>
              </xdr:cNvPr>
              <xdr:cNvSpPr txBox="1"/>
            </xdr:nvSpPr>
            <xdr:spPr>
              <a:xfrm>
                <a:off x="5891262" y="532578"/>
                <a:ext cx="653946" cy="396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conventional</a:t>
                </a:r>
              </a:p>
              <a:p>
                <a:endParaRPr lang="en-US" sz="10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pristine</a:t>
                </a:r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(150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(150 mg/L)</a:t>
                </a:r>
                <a:endParaRPr lang="en-US" sz="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121" name="Group 120">
              <a:extLst>
                <a:ext uri="{FF2B5EF4-FFF2-40B4-BE49-F238E27FC236}">
                  <a16:creationId xmlns:a16="http://schemas.microsoft.com/office/drawing/2014/main" id="{63EE5D87-099B-8D2A-0DF0-84B69E0694EA}"/>
                </a:ext>
              </a:extLst>
            </xdr:cNvPr>
            <xdr:cNvGrpSpPr/>
          </xdr:nvGrpSpPr>
          <xdr:grpSpPr>
            <a:xfrm>
              <a:off x="5655820" y="554581"/>
              <a:ext cx="182937" cy="384812"/>
              <a:chOff x="5729356" y="565150"/>
              <a:chExt cx="182493" cy="382680"/>
            </a:xfrm>
          </xdr:grpSpPr>
          <xdr:grpSp>
            <xdr:nvGrpSpPr>
              <xdr:cNvPr id="122" name="Group 121">
                <a:extLst>
                  <a:ext uri="{FF2B5EF4-FFF2-40B4-BE49-F238E27FC236}">
                    <a16:creationId xmlns:a16="http://schemas.microsoft.com/office/drawing/2014/main" id="{728A0442-5B43-F4E2-D8E9-0B3001A36D2C}"/>
                  </a:ext>
                </a:extLst>
              </xdr:cNvPr>
              <xdr:cNvGrpSpPr/>
            </xdr:nvGrpSpPr>
            <xdr:grpSpPr>
              <a:xfrm>
                <a:off x="5729356" y="565150"/>
                <a:ext cx="182493" cy="77880"/>
                <a:chOff x="5729356" y="565150"/>
                <a:chExt cx="182493" cy="77880"/>
              </a:xfrm>
            </xdr:grpSpPr>
            <xdr:sp macro="" textlink="">
              <xdr:nvSpPr>
                <xdr:cNvPr id="132" name="Diamond 131">
                  <a:extLst>
                    <a:ext uri="{FF2B5EF4-FFF2-40B4-BE49-F238E27FC236}">
                      <a16:creationId xmlns:a16="http://schemas.microsoft.com/office/drawing/2014/main" id="{41907D56-7EBD-BDAC-C46D-D38044290908}"/>
                    </a:ext>
                  </a:extLst>
                </xdr:cNvPr>
                <xdr:cNvSpPr/>
              </xdr:nvSpPr>
              <xdr:spPr>
                <a:xfrm flipH="1">
                  <a:off x="5729356" y="565150"/>
                  <a:ext cx="77880" cy="77880"/>
                </a:xfrm>
                <a:prstGeom prst="diamond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3" name="Oval 132">
                  <a:extLst>
                    <a:ext uri="{FF2B5EF4-FFF2-40B4-BE49-F238E27FC236}">
                      <a16:creationId xmlns:a16="http://schemas.microsoft.com/office/drawing/2014/main" id="{591AAE21-2A76-43CF-37F7-041156B21D4F}"/>
                    </a:ext>
                  </a:extLst>
                </xdr:cNvPr>
                <xdr:cNvSpPr/>
              </xdr:nvSpPr>
              <xdr:spPr>
                <a:xfrm flipH="1" flipV="1">
                  <a:off x="5845173" y="570752"/>
                  <a:ext cx="66676" cy="66676"/>
                </a:xfrm>
                <a:prstGeom prst="ellipse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23" name="Group 122">
                <a:extLst>
                  <a:ext uri="{FF2B5EF4-FFF2-40B4-BE49-F238E27FC236}">
                    <a16:creationId xmlns:a16="http://schemas.microsoft.com/office/drawing/2014/main" id="{8121DC07-F333-8892-0F4E-80026443D5A7}"/>
                  </a:ext>
                </a:extLst>
              </xdr:cNvPr>
              <xdr:cNvGrpSpPr/>
            </xdr:nvGrpSpPr>
            <xdr:grpSpPr>
              <a:xfrm>
                <a:off x="5729356" y="666750"/>
                <a:ext cx="182493" cy="77880"/>
                <a:chOff x="5729356" y="701675"/>
                <a:chExt cx="182493" cy="77880"/>
              </a:xfrm>
            </xdr:grpSpPr>
            <xdr:sp macro="" textlink="">
              <xdr:nvSpPr>
                <xdr:cNvPr id="130" name="Diamond 129">
                  <a:extLst>
                    <a:ext uri="{FF2B5EF4-FFF2-40B4-BE49-F238E27FC236}">
                      <a16:creationId xmlns:a16="http://schemas.microsoft.com/office/drawing/2014/main" id="{319C5CE5-C032-1CE8-11E0-B2EFCB60125B}"/>
                    </a:ext>
                  </a:extLst>
                </xdr:cNvPr>
                <xdr:cNvSpPr/>
              </xdr:nvSpPr>
              <xdr:spPr>
                <a:xfrm flipH="1">
                  <a:off x="5729356" y="701675"/>
                  <a:ext cx="77880" cy="77880"/>
                </a:xfrm>
                <a:prstGeom prst="diamond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1" name="Oval 130">
                  <a:extLst>
                    <a:ext uri="{FF2B5EF4-FFF2-40B4-BE49-F238E27FC236}">
                      <a16:creationId xmlns:a16="http://schemas.microsoft.com/office/drawing/2014/main" id="{1F30261D-8DC4-7E39-91B9-9ECD6005E499}"/>
                    </a:ext>
                  </a:extLst>
                </xdr:cNvPr>
                <xdr:cNvSpPr/>
              </xdr:nvSpPr>
              <xdr:spPr>
                <a:xfrm flipH="1" flipV="1">
                  <a:off x="5845173" y="707277"/>
                  <a:ext cx="66676" cy="66676"/>
                </a:xfrm>
                <a:prstGeom prst="ellipse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24" name="Group 123">
                <a:extLst>
                  <a:ext uri="{FF2B5EF4-FFF2-40B4-BE49-F238E27FC236}">
                    <a16:creationId xmlns:a16="http://schemas.microsoft.com/office/drawing/2014/main" id="{BD201C51-88D5-56EC-EE1F-3D21DEAE2D39}"/>
                  </a:ext>
                </a:extLst>
              </xdr:cNvPr>
              <xdr:cNvGrpSpPr/>
            </xdr:nvGrpSpPr>
            <xdr:grpSpPr>
              <a:xfrm>
                <a:off x="5729356" y="768350"/>
                <a:ext cx="182493" cy="77880"/>
                <a:chOff x="5729356" y="777875"/>
                <a:chExt cx="182493" cy="77880"/>
              </a:xfrm>
            </xdr:grpSpPr>
            <xdr:sp macro="" textlink="">
              <xdr:nvSpPr>
                <xdr:cNvPr id="128" name="Diamond 127">
                  <a:extLst>
                    <a:ext uri="{FF2B5EF4-FFF2-40B4-BE49-F238E27FC236}">
                      <a16:creationId xmlns:a16="http://schemas.microsoft.com/office/drawing/2014/main" id="{F8770216-D21B-92E8-2AFF-D3EB48DFCCDB}"/>
                    </a:ext>
                  </a:extLst>
                </xdr:cNvPr>
                <xdr:cNvSpPr/>
              </xdr:nvSpPr>
              <xdr:spPr>
                <a:xfrm flipH="1">
                  <a:off x="5729356" y="777875"/>
                  <a:ext cx="77880" cy="77880"/>
                </a:xfrm>
                <a:prstGeom prst="diamond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9" name="Oval 128">
                  <a:extLst>
                    <a:ext uri="{FF2B5EF4-FFF2-40B4-BE49-F238E27FC236}">
                      <a16:creationId xmlns:a16="http://schemas.microsoft.com/office/drawing/2014/main" id="{668B2F58-4E84-641A-D9D3-ED466EEB564C}"/>
                    </a:ext>
                  </a:extLst>
                </xdr:cNvPr>
                <xdr:cNvSpPr/>
              </xdr:nvSpPr>
              <xdr:spPr>
                <a:xfrm flipH="1" flipV="1">
                  <a:off x="5845173" y="783477"/>
                  <a:ext cx="66676" cy="66676"/>
                </a:xfrm>
                <a:prstGeom prst="ellipse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25" name="Group 124">
                <a:extLst>
                  <a:ext uri="{FF2B5EF4-FFF2-40B4-BE49-F238E27FC236}">
                    <a16:creationId xmlns:a16="http://schemas.microsoft.com/office/drawing/2014/main" id="{B18E7886-C5FC-FB2F-B290-DACD2A26AD23}"/>
                  </a:ext>
                </a:extLst>
              </xdr:cNvPr>
              <xdr:cNvGrpSpPr/>
            </xdr:nvGrpSpPr>
            <xdr:grpSpPr>
              <a:xfrm>
                <a:off x="5729356" y="869950"/>
                <a:ext cx="182493" cy="77880"/>
                <a:chOff x="5729356" y="873125"/>
                <a:chExt cx="182493" cy="77880"/>
              </a:xfrm>
            </xdr:grpSpPr>
            <xdr:sp macro="" textlink="">
              <xdr:nvSpPr>
                <xdr:cNvPr id="126" name="Diamond 125">
                  <a:extLst>
                    <a:ext uri="{FF2B5EF4-FFF2-40B4-BE49-F238E27FC236}">
                      <a16:creationId xmlns:a16="http://schemas.microsoft.com/office/drawing/2014/main" id="{B20EB979-469D-9500-48E4-AFF10187359F}"/>
                    </a:ext>
                  </a:extLst>
                </xdr:cNvPr>
                <xdr:cNvSpPr/>
              </xdr:nvSpPr>
              <xdr:spPr>
                <a:xfrm flipH="1">
                  <a:off x="5729356" y="873125"/>
                  <a:ext cx="77880" cy="77880"/>
                </a:xfrm>
                <a:prstGeom prst="diamond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7" name="Oval 126">
                  <a:extLst>
                    <a:ext uri="{FF2B5EF4-FFF2-40B4-BE49-F238E27FC236}">
                      <a16:creationId xmlns:a16="http://schemas.microsoft.com/office/drawing/2014/main" id="{DEA90BA4-E36F-FC34-233D-B6B337068380}"/>
                    </a:ext>
                  </a:extLst>
                </xdr:cNvPr>
                <xdr:cNvSpPr/>
              </xdr:nvSpPr>
              <xdr:spPr>
                <a:xfrm flipH="1" flipV="1">
                  <a:off x="5845173" y="878727"/>
                  <a:ext cx="66676" cy="66676"/>
                </a:xfrm>
                <a:prstGeom prst="ellipse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4D47570E-C7C8-312F-C931-3281F60B20A3}"/>
              </a:ext>
            </a:extLst>
          </xdr:cNvPr>
          <xdr:cNvSpPr txBox="1"/>
        </xdr:nvSpPr>
        <xdr:spPr>
          <a:xfrm>
            <a:off x="6634378" y="2637692"/>
            <a:ext cx="657202" cy="2486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800" b="1">
                <a:latin typeface="Arial" panose="020B0604020202020204" pitchFamily="34" charset="0"/>
                <a:cs typeface="Arial" panose="020B0604020202020204" pitchFamily="34" charset="0"/>
              </a:rPr>
              <a:t>Fe</a:t>
            </a:r>
          </a:p>
        </xdr:txBody>
      </xdr:sp>
    </xdr:grpSp>
    <xdr:clientData/>
  </xdr:twoCellAnchor>
  <xdr:twoCellAnchor>
    <xdr:from>
      <xdr:col>9</xdr:col>
      <xdr:colOff>175208</xdr:colOff>
      <xdr:row>64</xdr:row>
      <xdr:rowOff>200361</xdr:rowOff>
    </xdr:from>
    <xdr:to>
      <xdr:col>11</xdr:col>
      <xdr:colOff>680675</xdr:colOff>
      <xdr:row>72</xdr:row>
      <xdr:rowOff>201419</xdr:rowOff>
    </xdr:to>
    <xdr:grpSp>
      <xdr:nvGrpSpPr>
        <xdr:cNvPr id="155" name="Group 154">
          <a:extLst>
            <a:ext uri="{FF2B5EF4-FFF2-40B4-BE49-F238E27FC236}">
              <a16:creationId xmlns:a16="http://schemas.microsoft.com/office/drawing/2014/main" id="{D819A79D-1E2A-3649-BEA0-19F430298004}"/>
            </a:ext>
          </a:extLst>
        </xdr:cNvPr>
        <xdr:cNvGrpSpPr/>
      </xdr:nvGrpSpPr>
      <xdr:grpSpPr>
        <a:xfrm>
          <a:off x="7604708" y="13205161"/>
          <a:ext cx="2156467" cy="1626658"/>
          <a:chOff x="5621747" y="2557762"/>
          <a:chExt cx="2160000" cy="1628526"/>
        </a:xfrm>
      </xdr:grpSpPr>
      <xdr:grpSp>
        <xdr:nvGrpSpPr>
          <xdr:cNvPr id="156" name="Group 155">
            <a:extLst>
              <a:ext uri="{FF2B5EF4-FFF2-40B4-BE49-F238E27FC236}">
                <a16:creationId xmlns:a16="http://schemas.microsoft.com/office/drawing/2014/main" id="{0C3F3C1D-2F49-CE6F-FDE4-1AEBAD0AA485}"/>
              </a:ext>
            </a:extLst>
          </xdr:cNvPr>
          <xdr:cNvGrpSpPr/>
        </xdr:nvGrpSpPr>
        <xdr:grpSpPr>
          <a:xfrm>
            <a:off x="5621747" y="2557762"/>
            <a:ext cx="2160000" cy="1628526"/>
            <a:chOff x="5244872" y="428916"/>
            <a:chExt cx="2160000" cy="1628526"/>
          </a:xfrm>
        </xdr:grpSpPr>
        <xdr:grpSp>
          <xdr:nvGrpSpPr>
            <xdr:cNvPr id="158" name="Group 157">
              <a:extLst>
                <a:ext uri="{FF2B5EF4-FFF2-40B4-BE49-F238E27FC236}">
                  <a16:creationId xmlns:a16="http://schemas.microsoft.com/office/drawing/2014/main" id="{871483C1-994D-5D2E-16F2-CDA4AB3BE3F7}"/>
                </a:ext>
              </a:extLst>
            </xdr:cNvPr>
            <xdr:cNvGrpSpPr/>
          </xdr:nvGrpSpPr>
          <xdr:grpSpPr>
            <a:xfrm>
              <a:off x="5244872" y="428916"/>
              <a:ext cx="2160000" cy="1628526"/>
              <a:chOff x="5240727" y="425599"/>
              <a:chExt cx="2158086" cy="1615256"/>
            </a:xfrm>
          </xdr:grpSpPr>
          <xdr:graphicFrame macro="">
            <xdr:nvGraphicFramePr>
              <xdr:cNvPr id="172" name="Chart 171">
                <a:extLst>
                  <a:ext uri="{FF2B5EF4-FFF2-40B4-BE49-F238E27FC236}">
                    <a16:creationId xmlns:a16="http://schemas.microsoft.com/office/drawing/2014/main" id="{2076CBFC-536F-0D8D-8316-ECDD8AC2B9F2}"/>
                  </a:ext>
                </a:extLst>
              </xdr:cNvPr>
              <xdr:cNvGraphicFramePr/>
            </xdr:nvGraphicFramePr>
            <xdr:xfrm>
              <a:off x="5240727" y="425599"/>
              <a:ext cx="2158086" cy="161525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sp macro="" textlink="">
            <xdr:nvSpPr>
              <xdr:cNvPr id="173" name="TextBox 172">
                <a:extLst>
                  <a:ext uri="{FF2B5EF4-FFF2-40B4-BE49-F238E27FC236}">
                    <a16:creationId xmlns:a16="http://schemas.microsoft.com/office/drawing/2014/main" id="{7463319F-BB8A-F94F-2182-E8C79A7DDDB6}"/>
                  </a:ext>
                </a:extLst>
              </xdr:cNvPr>
              <xdr:cNvSpPr txBox="1"/>
            </xdr:nvSpPr>
            <xdr:spPr>
              <a:xfrm>
                <a:off x="5891262" y="532578"/>
                <a:ext cx="653946" cy="3965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conventional</a:t>
                </a:r>
              </a:p>
              <a:p>
                <a:endParaRPr lang="en-US" sz="10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pristine</a:t>
                </a:r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(150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(50 mg/L)</a:t>
                </a:r>
              </a:p>
              <a:p>
                <a:endParaRPr lang="en-US" sz="100" baseline="0"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r>
                  <a:rPr lang="en-US" sz="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cationic (150 mg/L)</a:t>
                </a:r>
                <a:endParaRPr lang="en-US" sz="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159" name="Group 158">
              <a:extLst>
                <a:ext uri="{FF2B5EF4-FFF2-40B4-BE49-F238E27FC236}">
                  <a16:creationId xmlns:a16="http://schemas.microsoft.com/office/drawing/2014/main" id="{F39D31E6-46D6-A825-8AA3-683E20EF44D9}"/>
                </a:ext>
              </a:extLst>
            </xdr:cNvPr>
            <xdr:cNvGrpSpPr/>
          </xdr:nvGrpSpPr>
          <xdr:grpSpPr>
            <a:xfrm>
              <a:off x="5655820" y="554581"/>
              <a:ext cx="182937" cy="384812"/>
              <a:chOff x="5729356" y="565150"/>
              <a:chExt cx="182493" cy="382680"/>
            </a:xfrm>
          </xdr:grpSpPr>
          <xdr:grpSp>
            <xdr:nvGrpSpPr>
              <xdr:cNvPr id="160" name="Group 159">
                <a:extLst>
                  <a:ext uri="{FF2B5EF4-FFF2-40B4-BE49-F238E27FC236}">
                    <a16:creationId xmlns:a16="http://schemas.microsoft.com/office/drawing/2014/main" id="{3720737A-7537-3583-A527-EE0D9DFE1A8E}"/>
                  </a:ext>
                </a:extLst>
              </xdr:cNvPr>
              <xdr:cNvGrpSpPr/>
            </xdr:nvGrpSpPr>
            <xdr:grpSpPr>
              <a:xfrm>
                <a:off x="5729356" y="565150"/>
                <a:ext cx="182493" cy="77880"/>
                <a:chOff x="5729356" y="565150"/>
                <a:chExt cx="182493" cy="77880"/>
              </a:xfrm>
            </xdr:grpSpPr>
            <xdr:sp macro="" textlink="">
              <xdr:nvSpPr>
                <xdr:cNvPr id="170" name="Diamond 169">
                  <a:extLst>
                    <a:ext uri="{FF2B5EF4-FFF2-40B4-BE49-F238E27FC236}">
                      <a16:creationId xmlns:a16="http://schemas.microsoft.com/office/drawing/2014/main" id="{E7D72E0B-07DA-B9E2-488D-6E725A730764}"/>
                    </a:ext>
                  </a:extLst>
                </xdr:cNvPr>
                <xdr:cNvSpPr/>
              </xdr:nvSpPr>
              <xdr:spPr>
                <a:xfrm flipH="1">
                  <a:off x="5729356" y="565150"/>
                  <a:ext cx="77880" cy="77880"/>
                </a:xfrm>
                <a:prstGeom prst="diamond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71" name="Oval 170">
                  <a:extLst>
                    <a:ext uri="{FF2B5EF4-FFF2-40B4-BE49-F238E27FC236}">
                      <a16:creationId xmlns:a16="http://schemas.microsoft.com/office/drawing/2014/main" id="{8DA41F84-95E3-90A0-7005-A422893D5C21}"/>
                    </a:ext>
                  </a:extLst>
                </xdr:cNvPr>
                <xdr:cNvSpPr/>
              </xdr:nvSpPr>
              <xdr:spPr>
                <a:xfrm flipH="1" flipV="1">
                  <a:off x="5845173" y="570752"/>
                  <a:ext cx="66676" cy="66676"/>
                </a:xfrm>
                <a:prstGeom prst="ellipse">
                  <a:avLst/>
                </a:prstGeom>
                <a:solidFill>
                  <a:srgbClr val="0C5A6D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61" name="Group 160">
                <a:extLst>
                  <a:ext uri="{FF2B5EF4-FFF2-40B4-BE49-F238E27FC236}">
                    <a16:creationId xmlns:a16="http://schemas.microsoft.com/office/drawing/2014/main" id="{1711AF86-9386-397E-AFD0-47E4BAD5CDBE}"/>
                  </a:ext>
                </a:extLst>
              </xdr:cNvPr>
              <xdr:cNvGrpSpPr/>
            </xdr:nvGrpSpPr>
            <xdr:grpSpPr>
              <a:xfrm>
                <a:off x="5729356" y="666750"/>
                <a:ext cx="182493" cy="77880"/>
                <a:chOff x="5729356" y="701675"/>
                <a:chExt cx="182493" cy="77880"/>
              </a:xfrm>
            </xdr:grpSpPr>
            <xdr:sp macro="" textlink="">
              <xdr:nvSpPr>
                <xdr:cNvPr id="168" name="Diamond 167">
                  <a:extLst>
                    <a:ext uri="{FF2B5EF4-FFF2-40B4-BE49-F238E27FC236}">
                      <a16:creationId xmlns:a16="http://schemas.microsoft.com/office/drawing/2014/main" id="{7E94C930-5028-F636-4FD2-34F933AB3F31}"/>
                    </a:ext>
                  </a:extLst>
                </xdr:cNvPr>
                <xdr:cNvSpPr/>
              </xdr:nvSpPr>
              <xdr:spPr>
                <a:xfrm flipH="1">
                  <a:off x="5729356" y="701675"/>
                  <a:ext cx="77880" cy="77880"/>
                </a:xfrm>
                <a:prstGeom prst="diamond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69" name="Oval 168">
                  <a:extLst>
                    <a:ext uri="{FF2B5EF4-FFF2-40B4-BE49-F238E27FC236}">
                      <a16:creationId xmlns:a16="http://schemas.microsoft.com/office/drawing/2014/main" id="{18AC32BF-7B92-38B4-373C-AB8FDD7544CB}"/>
                    </a:ext>
                  </a:extLst>
                </xdr:cNvPr>
                <xdr:cNvSpPr/>
              </xdr:nvSpPr>
              <xdr:spPr>
                <a:xfrm flipH="1" flipV="1">
                  <a:off x="5845173" y="707277"/>
                  <a:ext cx="66676" cy="66676"/>
                </a:xfrm>
                <a:prstGeom prst="ellipse">
                  <a:avLst/>
                </a:prstGeom>
                <a:solidFill>
                  <a:srgbClr val="85C6D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62" name="Group 161">
                <a:extLst>
                  <a:ext uri="{FF2B5EF4-FFF2-40B4-BE49-F238E27FC236}">
                    <a16:creationId xmlns:a16="http://schemas.microsoft.com/office/drawing/2014/main" id="{86180A66-212D-8A53-B9E8-F3A81F5CEE8C}"/>
                  </a:ext>
                </a:extLst>
              </xdr:cNvPr>
              <xdr:cNvGrpSpPr/>
            </xdr:nvGrpSpPr>
            <xdr:grpSpPr>
              <a:xfrm>
                <a:off x="5729356" y="768350"/>
                <a:ext cx="182493" cy="77880"/>
                <a:chOff x="5729356" y="777875"/>
                <a:chExt cx="182493" cy="77880"/>
              </a:xfrm>
            </xdr:grpSpPr>
            <xdr:sp macro="" textlink="">
              <xdr:nvSpPr>
                <xdr:cNvPr id="166" name="Diamond 165">
                  <a:extLst>
                    <a:ext uri="{FF2B5EF4-FFF2-40B4-BE49-F238E27FC236}">
                      <a16:creationId xmlns:a16="http://schemas.microsoft.com/office/drawing/2014/main" id="{6D753831-1B0F-C526-0673-B614AA5E4563}"/>
                    </a:ext>
                  </a:extLst>
                </xdr:cNvPr>
                <xdr:cNvSpPr/>
              </xdr:nvSpPr>
              <xdr:spPr>
                <a:xfrm flipH="1">
                  <a:off x="5729356" y="777875"/>
                  <a:ext cx="77880" cy="77880"/>
                </a:xfrm>
                <a:prstGeom prst="diamond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67" name="Oval 166">
                  <a:extLst>
                    <a:ext uri="{FF2B5EF4-FFF2-40B4-BE49-F238E27FC236}">
                      <a16:creationId xmlns:a16="http://schemas.microsoft.com/office/drawing/2014/main" id="{5328F74D-DD7F-8061-6A28-8D7A58E60317}"/>
                    </a:ext>
                  </a:extLst>
                </xdr:cNvPr>
                <xdr:cNvSpPr/>
              </xdr:nvSpPr>
              <xdr:spPr>
                <a:xfrm flipH="1" flipV="1">
                  <a:off x="5845173" y="783477"/>
                  <a:ext cx="66676" cy="66676"/>
                </a:xfrm>
                <a:prstGeom prst="ellipse">
                  <a:avLst/>
                </a:prstGeom>
                <a:solidFill>
                  <a:srgbClr val="DF9706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63" name="Group 162">
                <a:extLst>
                  <a:ext uri="{FF2B5EF4-FFF2-40B4-BE49-F238E27FC236}">
                    <a16:creationId xmlns:a16="http://schemas.microsoft.com/office/drawing/2014/main" id="{E17FBBC5-4BA9-AD3B-D282-45E60F4F0D46}"/>
                  </a:ext>
                </a:extLst>
              </xdr:cNvPr>
              <xdr:cNvGrpSpPr/>
            </xdr:nvGrpSpPr>
            <xdr:grpSpPr>
              <a:xfrm>
                <a:off x="5729356" y="869950"/>
                <a:ext cx="182493" cy="77880"/>
                <a:chOff x="5729356" y="873125"/>
                <a:chExt cx="182493" cy="77880"/>
              </a:xfrm>
            </xdr:grpSpPr>
            <xdr:sp macro="" textlink="">
              <xdr:nvSpPr>
                <xdr:cNvPr id="164" name="Diamond 163">
                  <a:extLst>
                    <a:ext uri="{FF2B5EF4-FFF2-40B4-BE49-F238E27FC236}">
                      <a16:creationId xmlns:a16="http://schemas.microsoft.com/office/drawing/2014/main" id="{6972792C-376D-1914-0EAF-13401051464A}"/>
                    </a:ext>
                  </a:extLst>
                </xdr:cNvPr>
                <xdr:cNvSpPr/>
              </xdr:nvSpPr>
              <xdr:spPr>
                <a:xfrm flipH="1">
                  <a:off x="5729356" y="873125"/>
                  <a:ext cx="77880" cy="77880"/>
                </a:xfrm>
                <a:prstGeom prst="diamond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65" name="Oval 164">
                  <a:extLst>
                    <a:ext uri="{FF2B5EF4-FFF2-40B4-BE49-F238E27FC236}">
                      <a16:creationId xmlns:a16="http://schemas.microsoft.com/office/drawing/2014/main" id="{1A1165A8-3140-3F84-BCC3-B8EDC6978690}"/>
                    </a:ext>
                  </a:extLst>
                </xdr:cNvPr>
                <xdr:cNvSpPr/>
              </xdr:nvSpPr>
              <xdr:spPr>
                <a:xfrm flipH="1" flipV="1">
                  <a:off x="5845173" y="878727"/>
                  <a:ext cx="66676" cy="66676"/>
                </a:xfrm>
                <a:prstGeom prst="ellipse">
                  <a:avLst/>
                </a:prstGeom>
                <a:solidFill>
                  <a:srgbClr val="CC283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BD927C04-D919-7932-A3E7-4C73D34024C2}"/>
              </a:ext>
            </a:extLst>
          </xdr:cNvPr>
          <xdr:cNvSpPr txBox="1"/>
        </xdr:nvSpPr>
        <xdr:spPr>
          <a:xfrm>
            <a:off x="6634378" y="2637692"/>
            <a:ext cx="657202" cy="1750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800" b="1">
                <a:latin typeface="Arial" panose="020B0604020202020204" pitchFamily="34" charset="0"/>
                <a:cs typeface="Arial" panose="020B0604020202020204" pitchFamily="34" charset="0"/>
              </a:rPr>
              <a:t>Pb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641727</xdr:colOff>
      <xdr:row>1</xdr:row>
      <xdr:rowOff>110731</xdr:rowOff>
    </xdr:from>
    <xdr:to>
      <xdr:col>11</xdr:col>
      <xdr:colOff>232750</xdr:colOff>
      <xdr:row>8</xdr:row>
      <xdr:rowOff>192360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512E487-E75F-884B-AAD4-DCAFEA3EC201}"/>
            </a:ext>
          </a:extLst>
        </xdr:cNvPr>
        <xdr:cNvGrpSpPr/>
      </xdr:nvGrpSpPr>
      <xdr:grpSpPr>
        <a:xfrm>
          <a:off x="11088501" y="305328"/>
          <a:ext cx="1618926" cy="1443806"/>
          <a:chOff x="11792925" y="253295"/>
          <a:chExt cx="1620000" cy="144000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CF01D8D-883E-7C18-F7F3-04D208109741}"/>
              </a:ext>
            </a:extLst>
          </xdr:cNvPr>
          <xdr:cNvGrpSpPr/>
        </xdr:nvGrpSpPr>
        <xdr:grpSpPr>
          <a:xfrm>
            <a:off x="11792925" y="253295"/>
            <a:ext cx="1620000" cy="1440000"/>
            <a:chOff x="11792925" y="253295"/>
            <a:chExt cx="1620000" cy="1440000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A592F38-0B40-8794-1B7A-5B22D6A5A8C5}"/>
                </a:ext>
              </a:extLst>
            </xdr:cNvPr>
            <xdr:cNvGraphicFramePr>
              <a:graphicFrameLocks/>
            </xdr:cNvGraphicFramePr>
          </xdr:nvGraphicFramePr>
          <xdr:xfrm>
            <a:off x="11792925" y="253295"/>
            <a:ext cx="1620000" cy="144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2E26BEE-54B7-BF5B-6410-3AD644B1E491}"/>
                </a:ext>
              </a:extLst>
            </xdr:cNvPr>
            <xdr:cNvSpPr txBox="1"/>
          </xdr:nvSpPr>
          <xdr:spPr>
            <a:xfrm>
              <a:off x="11932024" y="296918"/>
              <a:ext cx="590480" cy="2577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Zn 2p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5288FEDA-9E3C-8CB4-8C7C-0B0E140B5CFD}"/>
              </a:ext>
            </a:extLst>
          </xdr:cNvPr>
          <xdr:cNvSpPr txBox="1"/>
        </xdr:nvSpPr>
        <xdr:spPr>
          <a:xfrm>
            <a:off x="11991991" y="778752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1/2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569DA70-61AD-E031-54F0-33A1A5329A42}"/>
              </a:ext>
            </a:extLst>
          </xdr:cNvPr>
          <xdr:cNvSpPr txBox="1"/>
        </xdr:nvSpPr>
        <xdr:spPr>
          <a:xfrm>
            <a:off x="12646140" y="341000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3/2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553256</xdr:colOff>
      <xdr:row>3</xdr:row>
      <xdr:rowOff>79330</xdr:rowOff>
    </xdr:from>
    <xdr:to>
      <xdr:col>11</xdr:col>
      <xdr:colOff>147064</xdr:colOff>
      <xdr:row>10</xdr:row>
      <xdr:rowOff>180720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A5AB98-BCA2-B745-8F09-AFD1DBDB6979}"/>
            </a:ext>
          </a:extLst>
        </xdr:cNvPr>
        <xdr:cNvGrpSpPr/>
      </xdr:nvGrpSpPr>
      <xdr:grpSpPr>
        <a:xfrm>
          <a:off x="11431082" y="642547"/>
          <a:ext cx="1614765" cy="1415564"/>
          <a:chOff x="11792925" y="253295"/>
          <a:chExt cx="1620000" cy="144000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C4530190-43C9-0D71-4654-37B374925042}"/>
              </a:ext>
            </a:extLst>
          </xdr:cNvPr>
          <xdr:cNvGrpSpPr/>
        </xdr:nvGrpSpPr>
        <xdr:grpSpPr>
          <a:xfrm>
            <a:off x="11792925" y="253295"/>
            <a:ext cx="1620000" cy="1440000"/>
            <a:chOff x="11792925" y="253295"/>
            <a:chExt cx="1620000" cy="1440000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AA3AB4F-E86E-0B9D-C65A-8EFAD614398A}"/>
                </a:ext>
              </a:extLst>
            </xdr:cNvPr>
            <xdr:cNvGraphicFramePr>
              <a:graphicFrameLocks/>
            </xdr:cNvGraphicFramePr>
          </xdr:nvGraphicFramePr>
          <xdr:xfrm>
            <a:off x="11792925" y="253295"/>
            <a:ext cx="1620000" cy="144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31224EA-BAA8-7B44-EFC8-22FC091113B0}"/>
                </a:ext>
              </a:extLst>
            </xdr:cNvPr>
            <xdr:cNvSpPr txBox="1"/>
          </xdr:nvSpPr>
          <xdr:spPr>
            <a:xfrm>
              <a:off x="11936127" y="309300"/>
              <a:ext cx="590480" cy="2577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Cr 2p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48DA75EA-7B69-BEA0-8F06-56F2E66C5EBB}"/>
              </a:ext>
            </a:extLst>
          </xdr:cNvPr>
          <xdr:cNvSpPr txBox="1"/>
        </xdr:nvSpPr>
        <xdr:spPr>
          <a:xfrm>
            <a:off x="12241799" y="501656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1/2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FEABE84-2C22-A36B-835D-E151EFD3FFC0}"/>
              </a:ext>
            </a:extLst>
          </xdr:cNvPr>
          <xdr:cNvSpPr txBox="1"/>
        </xdr:nvSpPr>
        <xdr:spPr>
          <a:xfrm>
            <a:off x="12653077" y="341558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3/2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224492</xdr:colOff>
      <xdr:row>1</xdr:row>
      <xdr:rowOff>141137</xdr:rowOff>
    </xdr:from>
    <xdr:to>
      <xdr:col>11</xdr:col>
      <xdr:colOff>505617</xdr:colOff>
      <xdr:row>9</xdr:row>
      <xdr:rowOff>44015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5D1154A-8725-1443-8F68-080192BDFB81}"/>
            </a:ext>
          </a:extLst>
        </xdr:cNvPr>
        <xdr:cNvGrpSpPr/>
      </xdr:nvGrpSpPr>
      <xdr:grpSpPr>
        <a:xfrm>
          <a:off x="12548196" y="329285"/>
          <a:ext cx="1635791" cy="1408063"/>
          <a:chOff x="11792925" y="253295"/>
          <a:chExt cx="1620000" cy="144000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DBFC0F26-D510-49F7-5A29-F811C2CE82BE}"/>
              </a:ext>
            </a:extLst>
          </xdr:cNvPr>
          <xdr:cNvGrpSpPr/>
        </xdr:nvGrpSpPr>
        <xdr:grpSpPr>
          <a:xfrm>
            <a:off x="11792925" y="253295"/>
            <a:ext cx="1620000" cy="1440000"/>
            <a:chOff x="11792925" y="253295"/>
            <a:chExt cx="1620000" cy="1440000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3FA6F2DF-A223-15A0-FDEF-B44668442B53}"/>
                </a:ext>
              </a:extLst>
            </xdr:cNvPr>
            <xdr:cNvGraphicFramePr>
              <a:graphicFrameLocks/>
            </xdr:cNvGraphicFramePr>
          </xdr:nvGraphicFramePr>
          <xdr:xfrm>
            <a:off x="11792925" y="253295"/>
            <a:ext cx="1620000" cy="144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1957D24-7555-C69E-2BE8-CF6D5CB85275}"/>
                </a:ext>
              </a:extLst>
            </xdr:cNvPr>
            <xdr:cNvSpPr txBox="1"/>
          </xdr:nvSpPr>
          <xdr:spPr>
            <a:xfrm>
              <a:off x="11936127" y="309300"/>
              <a:ext cx="590480" cy="2577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Fe 2p</a:t>
              </a:r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BCB1463-DC5D-B8FD-D8E4-DBBBB03B4636}"/>
              </a:ext>
            </a:extLst>
          </xdr:cNvPr>
          <xdr:cNvSpPr txBox="1"/>
        </xdr:nvSpPr>
        <xdr:spPr>
          <a:xfrm>
            <a:off x="12217306" y="656088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1/2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DF78795-6B6F-CBB8-FE26-CD4E0FE363A0}"/>
              </a:ext>
            </a:extLst>
          </xdr:cNvPr>
          <xdr:cNvSpPr txBox="1"/>
        </xdr:nvSpPr>
        <xdr:spPr>
          <a:xfrm>
            <a:off x="12683693" y="353912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3/2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84DA3B9E-6748-FBDE-452F-F4DBE20DC115}"/>
              </a:ext>
            </a:extLst>
          </xdr:cNvPr>
          <xdr:cNvSpPr txBox="1"/>
        </xdr:nvSpPr>
        <xdr:spPr>
          <a:xfrm>
            <a:off x="12508049" y="1162405"/>
            <a:ext cx="445507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satellite</a:t>
            </a:r>
            <a:endParaRPr lang="en-US" sz="600" baseline="-25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515745</xdr:colOff>
      <xdr:row>3</xdr:row>
      <xdr:rowOff>136603</xdr:rowOff>
    </xdr:from>
    <xdr:to>
      <xdr:col>11</xdr:col>
      <xdr:colOff>116510</xdr:colOff>
      <xdr:row>11</xdr:row>
      <xdr:rowOff>24633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17A1B4F-195A-F14C-A168-61E6D1B8444E}"/>
            </a:ext>
          </a:extLst>
        </xdr:cNvPr>
        <xdr:cNvGrpSpPr/>
      </xdr:nvGrpSpPr>
      <xdr:grpSpPr>
        <a:xfrm>
          <a:off x="15678306" y="717396"/>
          <a:ext cx="1621924" cy="1436810"/>
          <a:chOff x="11792925" y="253295"/>
          <a:chExt cx="1620000" cy="144000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89675521-5501-DFAD-E655-7D82D4761AD0}"/>
              </a:ext>
            </a:extLst>
          </xdr:cNvPr>
          <xdr:cNvGrpSpPr/>
        </xdr:nvGrpSpPr>
        <xdr:grpSpPr>
          <a:xfrm>
            <a:off x="11792925" y="253295"/>
            <a:ext cx="1620000" cy="1440000"/>
            <a:chOff x="11792925" y="253295"/>
            <a:chExt cx="1620000" cy="1440000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ADD3972-DFE5-AE0B-DD0E-0184CAE9D3E2}"/>
                </a:ext>
              </a:extLst>
            </xdr:cNvPr>
            <xdr:cNvGraphicFramePr>
              <a:graphicFrameLocks/>
            </xdr:cNvGraphicFramePr>
          </xdr:nvGraphicFramePr>
          <xdr:xfrm>
            <a:off x="11792925" y="253295"/>
            <a:ext cx="1620000" cy="144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5407537-B13A-85AC-F1D6-F954D50630AE}"/>
                </a:ext>
              </a:extLst>
            </xdr:cNvPr>
            <xdr:cNvSpPr txBox="1"/>
          </xdr:nvSpPr>
          <xdr:spPr>
            <a:xfrm>
              <a:off x="11935519" y="302294"/>
              <a:ext cx="618222" cy="405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Pb 4f</a:t>
              </a:r>
            </a:p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</a:t>
              </a:r>
              <a:r>
                <a:rPr lang="en-US" sz="800" b="1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2p</a:t>
              </a:r>
              <a:endParaRPr lang="en-US" sz="8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DF442DA-2A47-7A16-27B8-E2D6521A4825}"/>
              </a:ext>
            </a:extLst>
          </xdr:cNvPr>
          <xdr:cNvSpPr txBox="1"/>
        </xdr:nvSpPr>
        <xdr:spPr>
          <a:xfrm>
            <a:off x="12245417" y="675009"/>
            <a:ext cx="364104" cy="1824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Pb 4f</a:t>
            </a:r>
            <a:endParaRPr lang="en-US" sz="600" baseline="-25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497BF28-7E21-7E2D-E85D-B65DBBE9A6CD}"/>
              </a:ext>
            </a:extLst>
          </xdr:cNvPr>
          <xdr:cNvSpPr txBox="1"/>
        </xdr:nvSpPr>
        <xdr:spPr>
          <a:xfrm>
            <a:off x="12730544" y="429597"/>
            <a:ext cx="342758" cy="1824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P 2p</a:t>
            </a:r>
            <a:endParaRPr lang="en-US" sz="600" baseline="-25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Fe_graph.xlsx" TargetMode="External"/><Relationship Id="rId1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Fe_grap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2p Scan"/>
      <sheetName val="Peak Table"/>
      <sheetName val="Experiment"/>
      <sheetName val="Titles"/>
      <sheetName val="Sheet1"/>
    </sheetNames>
    <sheetDataSet>
      <sheetData sheetId="0">
        <row r="15">
          <cell r="E15" t="str">
            <v>Fe2p3/2</v>
          </cell>
          <cell r="H15" t="str">
            <v>Backgnd.</v>
          </cell>
          <cell r="I15" t="str">
            <v>Envelope</v>
          </cell>
        </row>
        <row r="16">
          <cell r="C16" t="str">
            <v>Counts / s  (Residuals × 0.5)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EF29-2CA0-5E45-969C-8709575126CA}">
  <dimension ref="B2:AP58"/>
  <sheetViews>
    <sheetView topLeftCell="R38" zoomScale="174" zoomScaleNormal="174" workbookViewId="0">
      <selection activeCell="AB33" sqref="AB33"/>
    </sheetView>
  </sheetViews>
  <sheetFormatPr baseColWidth="10" defaultRowHeight="16" x14ac:dyDescent="0.2"/>
  <sheetData>
    <row r="2" spans="2:37" x14ac:dyDescent="0.2">
      <c r="D2" t="s">
        <v>159</v>
      </c>
      <c r="M2" t="s">
        <v>160</v>
      </c>
      <c r="S2" t="s">
        <v>180</v>
      </c>
      <c r="T2" t="s">
        <v>181</v>
      </c>
      <c r="U2" t="s">
        <v>182</v>
      </c>
      <c r="V2" t="s">
        <v>163</v>
      </c>
      <c r="X2" t="s">
        <v>161</v>
      </c>
    </row>
    <row r="3" spans="2:37" x14ac:dyDescent="0.2">
      <c r="C3" t="s">
        <v>205</v>
      </c>
      <c r="D3" t="s">
        <v>174</v>
      </c>
      <c r="E3" t="s">
        <v>175</v>
      </c>
      <c r="F3" t="s">
        <v>176</v>
      </c>
      <c r="G3" t="s">
        <v>177</v>
      </c>
      <c r="H3" t="s">
        <v>178</v>
      </c>
      <c r="I3" t="s">
        <v>179</v>
      </c>
      <c r="K3" t="s">
        <v>157</v>
      </c>
      <c r="M3" t="s">
        <v>174</v>
      </c>
      <c r="N3" t="s">
        <v>175</v>
      </c>
      <c r="O3" t="s">
        <v>176</v>
      </c>
      <c r="P3" t="s">
        <v>177</v>
      </c>
      <c r="Q3" t="s">
        <v>178</v>
      </c>
      <c r="R3" t="s">
        <v>179</v>
      </c>
      <c r="X3" t="s">
        <v>174</v>
      </c>
      <c r="Y3" t="s">
        <v>175</v>
      </c>
      <c r="Z3" t="s">
        <v>176</v>
      </c>
      <c r="AA3" t="s">
        <v>177</v>
      </c>
      <c r="AB3" t="s">
        <v>178</v>
      </c>
      <c r="AC3" t="s">
        <v>179</v>
      </c>
      <c r="AF3" t="s">
        <v>174</v>
      </c>
      <c r="AG3" t="s">
        <v>175</v>
      </c>
      <c r="AH3" t="s">
        <v>176</v>
      </c>
      <c r="AI3" t="s">
        <v>177</v>
      </c>
      <c r="AJ3" t="s">
        <v>178</v>
      </c>
      <c r="AK3" t="s">
        <v>179</v>
      </c>
    </row>
    <row r="4" spans="2:37" ht="16" customHeight="1" x14ac:dyDescent="0.2">
      <c r="B4" s="18" t="s">
        <v>211</v>
      </c>
      <c r="C4" s="1" t="s">
        <v>206</v>
      </c>
      <c r="D4" s="1" t="s">
        <v>24</v>
      </c>
      <c r="E4" s="1" t="s">
        <v>46</v>
      </c>
      <c r="F4" s="1" t="s">
        <v>69</v>
      </c>
      <c r="G4" s="1" t="s">
        <v>91</v>
      </c>
      <c r="H4" s="1" t="s">
        <v>111</v>
      </c>
      <c r="I4" s="1" t="s">
        <v>133</v>
      </c>
      <c r="K4" s="12">
        <v>0.77736002757151401</v>
      </c>
      <c r="M4" s="12">
        <f>D4/$K4</f>
        <v>6.4320261174479034E-3</v>
      </c>
      <c r="N4" s="12">
        <f t="shared" ref="N4:N27" si="0">E4/$K4</f>
        <v>5.7502313489984247E-2</v>
      </c>
      <c r="O4" s="12">
        <f t="shared" ref="O4:O27" si="1">F4/$K4</f>
        <v>4.0650405062270752E-2</v>
      </c>
      <c r="P4" s="12">
        <f t="shared" ref="P4:P27" si="2">G4/$K4</f>
        <v>0.44380980210390525</v>
      </c>
      <c r="Q4" s="12">
        <f t="shared" ref="Q4:Q27" si="3">H4/$K4</f>
        <v>4.6310588045624899E-3</v>
      </c>
      <c r="R4" s="12">
        <f t="shared" ref="R4:R27" si="4">I4/$K4</f>
        <v>9.17206924348071E-2</v>
      </c>
      <c r="S4" s="12">
        <f t="shared" ref="S4:S27" si="5">SUM(M4:R4)</f>
        <v>0.64474629801297778</v>
      </c>
      <c r="T4" s="13">
        <f>1-(S4/S$29)</f>
        <v>0.61282075097542665</v>
      </c>
      <c r="U4" s="12"/>
      <c r="V4" s="12"/>
      <c r="X4" s="4">
        <f>1-(M4/M$29)</f>
        <v>0.86068676319983128</v>
      </c>
      <c r="Y4" s="4">
        <f t="shared" ref="Y4:Y27" si="6">1-(N4/N$29)</f>
        <v>0.88533997487050886</v>
      </c>
      <c r="Z4" s="4">
        <f t="shared" ref="Z4:Z27" si="7">1-(O4/O$29)</f>
        <v>0.20224002292183629</v>
      </c>
      <c r="AA4" s="4">
        <f t="shared" ref="AA4:AA27" si="8">1-(P4/P$29)</f>
        <v>0.1289535035499273</v>
      </c>
      <c r="AB4" s="4">
        <f t="shared" ref="AB4:AB27" si="9">1-(Q4/Q$29)</f>
        <v>0.9068464548650379</v>
      </c>
      <c r="AC4" s="4">
        <f t="shared" ref="AC4:AC27" si="10">1-(R4/R$29)</f>
        <v>0.81922836023602918</v>
      </c>
      <c r="AE4" s="8" t="s">
        <v>217</v>
      </c>
      <c r="AF4" s="8"/>
      <c r="AG4" s="8"/>
      <c r="AH4" s="8"/>
      <c r="AI4" s="8"/>
      <c r="AJ4" s="8"/>
      <c r="AK4" s="8"/>
    </row>
    <row r="5" spans="2:37" ht="16" customHeight="1" x14ac:dyDescent="0.2">
      <c r="B5" s="19"/>
      <c r="C5" s="2" t="s">
        <v>207</v>
      </c>
      <c r="D5" s="2" t="s">
        <v>25</v>
      </c>
      <c r="E5" s="2">
        <v>-9.9299999999999999E-2</v>
      </c>
      <c r="F5" s="2" t="s">
        <v>70</v>
      </c>
      <c r="G5" s="2" t="s">
        <v>92</v>
      </c>
      <c r="H5" s="2" t="s">
        <v>112</v>
      </c>
      <c r="I5" s="2" t="s">
        <v>134</v>
      </c>
      <c r="K5" s="14">
        <v>0.77616401909382604</v>
      </c>
      <c r="M5" s="14">
        <f t="shared" ref="M4:M27" si="11">D5/$K5</f>
        <v>5.5400661383662999E-3</v>
      </c>
      <c r="N5" s="14">
        <f t="shared" si="0"/>
        <v>-0.12793687617204036</v>
      </c>
      <c r="O5" s="14">
        <f t="shared" si="1"/>
        <v>4.3676335369911064E-2</v>
      </c>
      <c r="P5" s="14">
        <f t="shared" si="2"/>
        <v>0.43921128989978409</v>
      </c>
      <c r="Q5" s="14">
        <f t="shared" si="3"/>
        <v>6.9572923598088419E-3</v>
      </c>
      <c r="R5" s="14">
        <f t="shared" si="4"/>
        <v>8.90275744560724E-2</v>
      </c>
      <c r="S5" s="14">
        <f t="shared" si="5"/>
        <v>0.45647568205190237</v>
      </c>
      <c r="T5" s="5">
        <f t="shared" ref="T5:T27" si="12">1-(S5/S$29)</f>
        <v>0.72587991227011583</v>
      </c>
      <c r="U5" s="14"/>
      <c r="V5" s="14"/>
      <c r="X5" s="4">
        <f t="shared" ref="X4:X27" si="13">1-(M5/M$29)</f>
        <v>0.88000599939587043</v>
      </c>
      <c r="Y5" s="11">
        <f t="shared" si="6"/>
        <v>1.2551070478134732</v>
      </c>
      <c r="Z5" s="11">
        <f t="shared" si="7"/>
        <v>0.14285645493117549</v>
      </c>
      <c r="AA5" s="11">
        <f t="shared" si="8"/>
        <v>0.13797880656327732</v>
      </c>
      <c r="AB5" s="11">
        <f t="shared" si="9"/>
        <v>0.86005436872922469</v>
      </c>
      <c r="AC5" s="11">
        <f t="shared" si="10"/>
        <v>0.82453620670087935</v>
      </c>
      <c r="AE5" t="s">
        <v>162</v>
      </c>
      <c r="AF5" s="5">
        <f>AVERAGE(X4:X6)</f>
        <v>0.86644404607084713</v>
      </c>
      <c r="AG5" s="5">
        <f>AVERAGE(Y4:Y6)</f>
        <v>0.9908469962517108</v>
      </c>
      <c r="AH5" s="5">
        <f t="shared" ref="AF5:AK5" si="14">AVERAGE(Z4:Z6)</f>
        <v>0.12355389107471393</v>
      </c>
      <c r="AI5" s="5">
        <f t="shared" si="14"/>
        <v>0.13665308574191395</v>
      </c>
      <c r="AJ5" s="5">
        <f t="shared" si="14"/>
        <v>0.89312664596621694</v>
      </c>
      <c r="AK5" s="5">
        <f t="shared" si="14"/>
        <v>0.82307649122970872</v>
      </c>
    </row>
    <row r="6" spans="2:37" ht="16" customHeight="1" x14ac:dyDescent="0.2">
      <c r="B6" s="20"/>
      <c r="C6" s="3" t="s">
        <v>208</v>
      </c>
      <c r="D6" s="2" t="s">
        <v>26</v>
      </c>
      <c r="E6" s="2" t="s">
        <v>47</v>
      </c>
      <c r="F6" s="2" t="s">
        <v>71</v>
      </c>
      <c r="G6" s="2" t="s">
        <v>93</v>
      </c>
      <c r="H6" s="2" t="s">
        <v>113</v>
      </c>
      <c r="I6" s="2" t="s">
        <v>135</v>
      </c>
      <c r="K6" s="15">
        <v>0.78142320688006139</v>
      </c>
      <c r="M6" s="15">
        <f t="shared" si="11"/>
        <v>6.5265530318231076E-3</v>
      </c>
      <c r="N6" s="15">
        <f t="shared" si="0"/>
        <v>8.4205331273325579E-2</v>
      </c>
      <c r="O6" s="15">
        <f t="shared" si="1"/>
        <v>4.9652991693085603E-2</v>
      </c>
      <c r="P6" s="15">
        <f t="shared" si="2"/>
        <v>0.43663919499177339</v>
      </c>
      <c r="Q6" s="15">
        <f t="shared" si="3"/>
        <v>4.3510353545487381E-3</v>
      </c>
      <c r="R6" s="15">
        <f t="shared" si="4"/>
        <v>8.8556366627874319E-2</v>
      </c>
      <c r="S6" s="15">
        <f t="shared" si="5"/>
        <v>0.66993147297243072</v>
      </c>
      <c r="T6" s="7">
        <f t="shared" si="12"/>
        <v>0.59769669806127212</v>
      </c>
      <c r="U6" s="15">
        <f>AVERAGE(T4:T6)</f>
        <v>0.64546578710227154</v>
      </c>
      <c r="V6" s="15">
        <f>STDEV(T4:T6)</f>
        <v>7.0050038465512873E-2</v>
      </c>
      <c r="X6" s="4">
        <f t="shared" si="13"/>
        <v>0.85863937561683945</v>
      </c>
      <c r="Y6" s="11">
        <f t="shared" si="6"/>
        <v>0.8320939660711506</v>
      </c>
      <c r="Z6" s="11">
        <f t="shared" si="7"/>
        <v>2.5565195371130001E-2</v>
      </c>
      <c r="AA6" s="11">
        <f t="shared" si="8"/>
        <v>0.14302694711253727</v>
      </c>
      <c r="AB6" s="11">
        <f t="shared" si="9"/>
        <v>0.91247911430438788</v>
      </c>
      <c r="AC6" s="11">
        <f t="shared" si="10"/>
        <v>0.82546490675221762</v>
      </c>
      <c r="AE6" s="6" t="s">
        <v>163</v>
      </c>
      <c r="AF6" s="7">
        <f t="shared" ref="AF6:AK6" si="15">STDEV(X4:X6)</f>
        <v>1.178952426823626E-2</v>
      </c>
      <c r="AG6" s="7">
        <f t="shared" si="15"/>
        <v>0.23039925238992143</v>
      </c>
      <c r="AH6" s="7">
        <f t="shared" si="15"/>
        <v>8.9905174495645876E-2</v>
      </c>
      <c r="AI6" s="7">
        <f t="shared" si="15"/>
        <v>7.1297689443374892E-3</v>
      </c>
      <c r="AJ6" s="7">
        <f t="shared" si="15"/>
        <v>2.8779564873713352E-2</v>
      </c>
      <c r="AK6" s="7">
        <f t="shared" si="15"/>
        <v>3.3647741461689069E-3</v>
      </c>
    </row>
    <row r="7" spans="2:37" ht="16" customHeight="1" x14ac:dyDescent="0.2">
      <c r="B7" s="18" t="s">
        <v>210</v>
      </c>
      <c r="C7" s="1" t="s">
        <v>206</v>
      </c>
      <c r="D7" s="1" t="s">
        <v>26</v>
      </c>
      <c r="E7" s="1" t="s">
        <v>48</v>
      </c>
      <c r="F7" s="1" t="s">
        <v>72</v>
      </c>
      <c r="G7" s="1" t="s">
        <v>92</v>
      </c>
      <c r="H7" s="1" t="s">
        <v>114</v>
      </c>
      <c r="I7" s="1" t="s">
        <v>136</v>
      </c>
      <c r="K7" s="12">
        <v>0.78153870346345866</v>
      </c>
      <c r="M7" s="12">
        <f t="shared" si="11"/>
        <v>6.5255885311871235E-3</v>
      </c>
      <c r="N7" s="12">
        <f t="shared" si="0"/>
        <v>6.2696830985915497E-2</v>
      </c>
      <c r="O7" s="12">
        <f t="shared" si="1"/>
        <v>3.8897625754527168E-2</v>
      </c>
      <c r="P7" s="12">
        <f t="shared" si="2"/>
        <v>0.43619080985915493</v>
      </c>
      <c r="Q7" s="12">
        <f t="shared" si="3"/>
        <v>5.3740140845070427E-3</v>
      </c>
      <c r="R7" s="12">
        <f t="shared" si="4"/>
        <v>9.6092489939637843E-2</v>
      </c>
      <c r="S7" s="12">
        <f t="shared" si="5"/>
        <v>0.64577735915492951</v>
      </c>
      <c r="T7" s="13">
        <f t="shared" si="12"/>
        <v>0.61220158421189552</v>
      </c>
      <c r="U7" s="12"/>
      <c r="V7" s="12"/>
      <c r="X7" s="4">
        <f t="shared" si="13"/>
        <v>0.85866026603348911</v>
      </c>
      <c r="Y7" s="11">
        <f t="shared" si="6"/>
        <v>0.87498206976252058</v>
      </c>
      <c r="Z7" s="11">
        <f t="shared" si="7"/>
        <v>0.23663813477894091</v>
      </c>
      <c r="AA7" s="11">
        <f t="shared" si="8"/>
        <v>0.14390697341429115</v>
      </c>
      <c r="AB7" s="11">
        <f t="shared" si="9"/>
        <v>0.89190194193089223</v>
      </c>
      <c r="AC7" s="11">
        <f t="shared" si="10"/>
        <v>0.81061201660968762</v>
      </c>
      <c r="AE7" s="8" t="s">
        <v>216</v>
      </c>
      <c r="AF7" s="8"/>
      <c r="AG7" s="8"/>
      <c r="AH7" s="8"/>
      <c r="AI7" s="8"/>
      <c r="AJ7" s="8"/>
      <c r="AK7" s="8"/>
    </row>
    <row r="8" spans="2:37" ht="16" customHeight="1" x14ac:dyDescent="0.2">
      <c r="B8" s="19"/>
      <c r="C8" s="2" t="s">
        <v>207</v>
      </c>
      <c r="D8" s="2" t="s">
        <v>27</v>
      </c>
      <c r="E8" s="2" t="s">
        <v>49</v>
      </c>
      <c r="F8" s="2" t="s">
        <v>73</v>
      </c>
      <c r="G8" s="2" t="s">
        <v>94</v>
      </c>
      <c r="H8" s="2" t="s">
        <v>115</v>
      </c>
      <c r="I8" s="2" t="s">
        <v>137</v>
      </c>
      <c r="K8" s="14">
        <v>0.77962783896606214</v>
      </c>
      <c r="M8" s="14">
        <f t="shared" si="11"/>
        <v>1.3083165441510119E-2</v>
      </c>
      <c r="N8" s="14">
        <f t="shared" si="0"/>
        <v>0.10171519799134827</v>
      </c>
      <c r="O8" s="14">
        <f t="shared" si="1"/>
        <v>4.5406280061711587E-2</v>
      </c>
      <c r="P8" s="14">
        <f t="shared" si="2"/>
        <v>0.43379672081556098</v>
      </c>
      <c r="Q8" s="14">
        <f t="shared" si="3"/>
        <v>9.2351756057718476E-3</v>
      </c>
      <c r="R8" s="14">
        <f t="shared" si="4"/>
        <v>0.1326273830051124</v>
      </c>
      <c r="S8" s="14">
        <f t="shared" si="5"/>
        <v>0.7358639229210151</v>
      </c>
      <c r="T8" s="5">
        <f t="shared" si="12"/>
        <v>0.55810333159121084</v>
      </c>
      <c r="U8" s="14"/>
      <c r="V8" s="14"/>
      <c r="X8" s="4">
        <f t="shared" si="13"/>
        <v>0.71662768590061687</v>
      </c>
      <c r="Y8" s="11">
        <f t="shared" si="6"/>
        <v>0.7971791663691834</v>
      </c>
      <c r="Z8" s="11">
        <f t="shared" si="7"/>
        <v>0.10890647004017162</v>
      </c>
      <c r="AA8" s="11">
        <f t="shared" si="8"/>
        <v>0.14860574947495109</v>
      </c>
      <c r="AB8" s="11">
        <f t="shared" si="9"/>
        <v>0.81423484694817161</v>
      </c>
      <c r="AC8" s="11">
        <f t="shared" si="10"/>
        <v>0.7386056639238805</v>
      </c>
      <c r="AE8" t="s">
        <v>162</v>
      </c>
      <c r="AF8" s="5">
        <f t="shared" ref="AF8:AK8" si="16">AVERAGE(X7:X9)</f>
        <v>0.78615296054504846</v>
      </c>
      <c r="AG8" s="5">
        <f t="shared" si="16"/>
        <v>0.83023787270923799</v>
      </c>
      <c r="AH8" s="5">
        <f t="shared" si="16"/>
        <v>0.19412075226372286</v>
      </c>
      <c r="AI8" s="5">
        <f t="shared" si="16"/>
        <v>0.14233169340240226</v>
      </c>
      <c r="AJ8" s="5">
        <f t="shared" si="16"/>
        <v>0.84610983990184885</v>
      </c>
      <c r="AK8" s="5">
        <f t="shared" si="16"/>
        <v>0.77090194352075603</v>
      </c>
    </row>
    <row r="9" spans="2:37" ht="16" customHeight="1" x14ac:dyDescent="0.2">
      <c r="B9" s="20"/>
      <c r="C9" s="3" t="s">
        <v>208</v>
      </c>
      <c r="D9" s="2" t="s">
        <v>28</v>
      </c>
      <c r="E9" s="2" t="s">
        <v>50</v>
      </c>
      <c r="F9" s="2" t="s">
        <v>74</v>
      </c>
      <c r="G9" s="2" t="s">
        <v>95</v>
      </c>
      <c r="H9" s="2" t="s">
        <v>116</v>
      </c>
      <c r="I9" s="2" t="s">
        <v>138</v>
      </c>
      <c r="K9" s="15">
        <v>0.77915108275450229</v>
      </c>
      <c r="M9" s="15">
        <f t="shared" si="11"/>
        <v>1.0010895412510967E-2</v>
      </c>
      <c r="N9" s="15">
        <f t="shared" si="0"/>
        <v>9.0996472403465076E-2</v>
      </c>
      <c r="O9" s="15">
        <f t="shared" si="1"/>
        <v>3.8888478333215681E-2</v>
      </c>
      <c r="P9" s="15">
        <f t="shared" si="2"/>
        <v>0.44099277740240622</v>
      </c>
      <c r="Q9" s="15">
        <f t="shared" si="3"/>
        <v>8.3424128437591394E-3</v>
      </c>
      <c r="R9" s="15">
        <f t="shared" si="4"/>
        <v>0.1200024001371507</v>
      </c>
      <c r="S9" s="15">
        <f t="shared" si="5"/>
        <v>0.70923343653250781</v>
      </c>
      <c r="T9" s="7">
        <f t="shared" si="12"/>
        <v>0.57409531441117867</v>
      </c>
      <c r="U9" s="15">
        <f>AVERAGE(T7:T9)</f>
        <v>0.58146674340476168</v>
      </c>
      <c r="V9" s="15">
        <f>STDEV(T7:T9)</f>
        <v>2.7792241870860858E-2</v>
      </c>
      <c r="X9" s="4">
        <f t="shared" si="13"/>
        <v>0.7831709297010393</v>
      </c>
      <c r="Y9" s="11">
        <f t="shared" si="6"/>
        <v>0.81855238199600988</v>
      </c>
      <c r="Z9" s="11">
        <f t="shared" si="7"/>
        <v>0.23681765197205606</v>
      </c>
      <c r="AA9" s="11">
        <f t="shared" si="8"/>
        <v>0.13448235731796454</v>
      </c>
      <c r="AB9" s="11">
        <f t="shared" si="9"/>
        <v>0.83219273082648282</v>
      </c>
      <c r="AC9" s="11">
        <f t="shared" si="10"/>
        <v>0.76348815002869963</v>
      </c>
      <c r="AE9" s="6" t="s">
        <v>163</v>
      </c>
      <c r="AF9" s="7">
        <f t="shared" ref="AF9:AK9" si="17">STDEV(X7:X9)</f>
        <v>7.1063231250528977E-2</v>
      </c>
      <c r="AG9" s="7">
        <f t="shared" si="17"/>
        <v>4.0196218280019132E-2</v>
      </c>
      <c r="AH9" s="7">
        <f t="shared" si="17"/>
        <v>7.3797787756557792E-2</v>
      </c>
      <c r="AI9" s="7">
        <f t="shared" si="17"/>
        <v>7.1922654179263834E-3</v>
      </c>
      <c r="AJ9" s="7">
        <f t="shared" si="17"/>
        <v>4.06609008080916E-2</v>
      </c>
      <c r="AK9" s="7">
        <f t="shared" si="17"/>
        <v>3.6571190262764938E-2</v>
      </c>
    </row>
    <row r="10" spans="2:37" ht="16" customHeight="1" x14ac:dyDescent="0.2">
      <c r="B10" s="18" t="s">
        <v>209</v>
      </c>
      <c r="C10" s="1" t="s">
        <v>206</v>
      </c>
      <c r="D10" s="1" t="s">
        <v>29</v>
      </c>
      <c r="E10" s="1" t="s">
        <v>51</v>
      </c>
      <c r="F10" s="1" t="s">
        <v>75</v>
      </c>
      <c r="G10" s="1" t="s">
        <v>96</v>
      </c>
      <c r="H10" s="1" t="s">
        <v>117</v>
      </c>
      <c r="I10" s="1" t="s">
        <v>139</v>
      </c>
      <c r="K10" s="12">
        <v>0.78813800518626276</v>
      </c>
      <c r="M10" s="12">
        <f t="shared" si="11"/>
        <v>1.0784913231016151E-2</v>
      </c>
      <c r="N10" s="12">
        <f t="shared" si="0"/>
        <v>8.1330933895074731E-2</v>
      </c>
      <c r="O10" s="12">
        <f t="shared" si="1"/>
        <v>4.1870839602768585E-2</v>
      </c>
      <c r="P10" s="12">
        <f t="shared" si="2"/>
        <v>0.46920716621526731</v>
      </c>
      <c r="Q10" s="12">
        <f t="shared" si="3"/>
        <v>9.7698625739793352E-3</v>
      </c>
      <c r="R10" s="12">
        <f t="shared" si="4"/>
        <v>0.11241686026682715</v>
      </c>
      <c r="S10" s="12">
        <f t="shared" si="5"/>
        <v>0.72538057578493331</v>
      </c>
      <c r="T10" s="13">
        <f t="shared" si="12"/>
        <v>0.5643987294615378</v>
      </c>
      <c r="U10" s="12"/>
      <c r="V10" s="12"/>
      <c r="X10" s="4">
        <f t="shared" si="13"/>
        <v>0.76640623912485306</v>
      </c>
      <c r="Y10" s="11">
        <f t="shared" si="6"/>
        <v>0.83782553503975898</v>
      </c>
      <c r="Z10" s="11">
        <f t="shared" si="7"/>
        <v>0.17828912182843981</v>
      </c>
      <c r="AA10" s="11">
        <f t="shared" si="8"/>
        <v>7.9107184420884158E-2</v>
      </c>
      <c r="AB10" s="11">
        <f t="shared" si="9"/>
        <v>0.80347964198793187</v>
      </c>
      <c r="AC10" s="11">
        <f t="shared" si="10"/>
        <v>0.77843843490392572</v>
      </c>
      <c r="AE10" s="8" t="s">
        <v>215</v>
      </c>
      <c r="AF10" s="8"/>
      <c r="AG10" s="8"/>
      <c r="AH10" s="8"/>
      <c r="AI10" s="8"/>
      <c r="AJ10" s="8"/>
      <c r="AK10" s="8"/>
    </row>
    <row r="11" spans="2:37" ht="16" customHeight="1" x14ac:dyDescent="0.2">
      <c r="B11" s="19"/>
      <c r="C11" s="2" t="s">
        <v>207</v>
      </c>
      <c r="D11" s="2" t="s">
        <v>30</v>
      </c>
      <c r="E11" s="2" t="s">
        <v>52</v>
      </c>
      <c r="F11" s="2" t="s">
        <v>74</v>
      </c>
      <c r="G11" s="2" t="s">
        <v>97</v>
      </c>
      <c r="H11" s="2" t="s">
        <v>112</v>
      </c>
      <c r="I11" s="2" t="s">
        <v>140</v>
      </c>
      <c r="K11" s="14">
        <v>0.78827632015941529</v>
      </c>
      <c r="M11" s="14">
        <f t="shared" si="11"/>
        <v>8.7532757531072272E-3</v>
      </c>
      <c r="N11" s="14">
        <f t="shared" si="0"/>
        <v>7.1294796713713943E-2</v>
      </c>
      <c r="O11" s="14">
        <f t="shared" si="1"/>
        <v>3.8438297872340432E-2</v>
      </c>
      <c r="P11" s="14">
        <f t="shared" si="2"/>
        <v>0.45237943964609234</v>
      </c>
      <c r="Q11" s="14">
        <f t="shared" si="3"/>
        <v>6.8503897198230485E-3</v>
      </c>
      <c r="R11" s="14">
        <f t="shared" si="4"/>
        <v>0.11379258479039396</v>
      </c>
      <c r="S11" s="14">
        <f t="shared" si="5"/>
        <v>0.69150878449547104</v>
      </c>
      <c r="T11" s="5">
        <f t="shared" si="12"/>
        <v>0.58473921804594386</v>
      </c>
      <c r="U11" s="14"/>
      <c r="V11" s="14"/>
      <c r="X11" s="4">
        <f t="shared" si="13"/>
        <v>0.81041010165337235</v>
      </c>
      <c r="Y11" s="11">
        <f t="shared" si="6"/>
        <v>0.85783766449292065</v>
      </c>
      <c r="Z11" s="11">
        <f t="shared" si="7"/>
        <v>0.24565239675747041</v>
      </c>
      <c r="AA11" s="11">
        <f t="shared" si="8"/>
        <v>0.11213424286306783</v>
      </c>
      <c r="AB11" s="11">
        <f t="shared" si="9"/>
        <v>0.86220471065300941</v>
      </c>
      <c r="AC11" s="11">
        <f t="shared" si="10"/>
        <v>0.77572702953413475</v>
      </c>
      <c r="AE11" t="s">
        <v>162</v>
      </c>
      <c r="AF11" s="5">
        <f>AVERAGE(X10:X12)</f>
        <v>0.80244421794375864</v>
      </c>
      <c r="AG11" s="5">
        <f t="shared" ref="AF11:AK11" si="18">AVERAGE(Y10:Y12)</f>
        <v>0.84453086998040428</v>
      </c>
      <c r="AH11" s="5">
        <f t="shared" si="18"/>
        <v>0.2162295782235639</v>
      </c>
      <c r="AI11" s="5">
        <f t="shared" si="18"/>
        <v>9.9503308022783399E-2</v>
      </c>
      <c r="AJ11" s="5">
        <f t="shared" si="18"/>
        <v>0.83947999226690817</v>
      </c>
      <c r="AK11" s="5">
        <f t="shared" si="18"/>
        <v>0.77643328620229024</v>
      </c>
    </row>
    <row r="12" spans="2:37" ht="16" customHeight="1" x14ac:dyDescent="0.2">
      <c r="B12" s="20"/>
      <c r="C12" s="3" t="s">
        <v>208</v>
      </c>
      <c r="D12" s="2" t="s">
        <v>31</v>
      </c>
      <c r="E12" s="2" t="s">
        <v>53</v>
      </c>
      <c r="F12" s="2" t="s">
        <v>76</v>
      </c>
      <c r="G12" s="2" t="s">
        <v>98</v>
      </c>
      <c r="H12" s="2" t="s">
        <v>118</v>
      </c>
      <c r="I12" s="2" t="s">
        <v>141</v>
      </c>
      <c r="K12" s="15">
        <v>0.79233414143334768</v>
      </c>
      <c r="M12" s="15">
        <f t="shared" si="11"/>
        <v>7.8249815018498134E-3</v>
      </c>
      <c r="N12" s="15">
        <f t="shared" si="0"/>
        <v>8.1278840115988391E-2</v>
      </c>
      <c r="O12" s="15">
        <f t="shared" si="1"/>
        <v>3.9503535646435356E-2</v>
      </c>
      <c r="P12" s="15">
        <f t="shared" si="2"/>
        <v>0.45485860213978596</v>
      </c>
      <c r="Q12" s="15">
        <f t="shared" si="3"/>
        <v>7.3201439856014384E-3</v>
      </c>
      <c r="R12" s="15">
        <f t="shared" si="4"/>
        <v>0.11409327867213277</v>
      </c>
      <c r="S12" s="15">
        <f t="shared" si="5"/>
        <v>0.70487938206179379</v>
      </c>
      <c r="T12" s="7">
        <f t="shared" si="12"/>
        <v>0.57670998555450825</v>
      </c>
      <c r="U12" s="15">
        <f>AVERAGE(T10:T12)</f>
        <v>0.57528264435399656</v>
      </c>
      <c r="V12" s="15">
        <f>STDEV(T10:T12)</f>
        <v>1.024508887907259E-2</v>
      </c>
      <c r="X12" s="4">
        <f t="shared" si="13"/>
        <v>0.83051631305305063</v>
      </c>
      <c r="Y12" s="11">
        <f t="shared" si="6"/>
        <v>0.83792941040853297</v>
      </c>
      <c r="Z12" s="11">
        <f t="shared" si="7"/>
        <v>0.22474721608478143</v>
      </c>
      <c r="AA12" s="11">
        <f t="shared" si="8"/>
        <v>0.1072684967843982</v>
      </c>
      <c r="AB12" s="11">
        <f t="shared" si="9"/>
        <v>0.85275562415978312</v>
      </c>
      <c r="AC12" s="11">
        <f t="shared" si="10"/>
        <v>0.77513439416881025</v>
      </c>
      <c r="AE12" s="6" t="s">
        <v>163</v>
      </c>
      <c r="AF12" s="7">
        <f t="shared" ref="AF12:AK12" si="19">STDEV(X10:X12)</f>
        <v>3.2788974857809378E-2</v>
      </c>
      <c r="AG12" s="7">
        <f t="shared" si="19"/>
        <v>1.1524139129315164E-2</v>
      </c>
      <c r="AH12" s="7">
        <f t="shared" si="19"/>
        <v>3.4479926309987717E-2</v>
      </c>
      <c r="AI12" s="7">
        <f t="shared" si="19"/>
        <v>1.7830318693547932E-2</v>
      </c>
      <c r="AJ12" s="7">
        <f t="shared" si="19"/>
        <v>3.1533160704976242E-2</v>
      </c>
      <c r="AK12" s="7">
        <f t="shared" si="19"/>
        <v>1.7616101032326015E-3</v>
      </c>
    </row>
    <row r="13" spans="2:37" x14ac:dyDescent="0.2">
      <c r="B13" s="18" t="s">
        <v>209</v>
      </c>
      <c r="C13" s="1" t="s">
        <v>206</v>
      </c>
      <c r="D13" s="1" t="s">
        <v>32</v>
      </c>
      <c r="E13" s="1" t="s">
        <v>54</v>
      </c>
      <c r="F13" s="1" t="s">
        <v>77</v>
      </c>
      <c r="G13" s="1" t="s">
        <v>99</v>
      </c>
      <c r="H13" s="1" t="s">
        <v>119</v>
      </c>
      <c r="I13" s="1" t="s">
        <v>142</v>
      </c>
      <c r="K13" s="12">
        <v>0.79004620106958645</v>
      </c>
      <c r="M13" s="12">
        <f t="shared" si="11"/>
        <v>1.4935835377759974E-2</v>
      </c>
      <c r="N13" s="12">
        <f t="shared" si="0"/>
        <v>0.1161957362439293</v>
      </c>
      <c r="O13" s="12">
        <f t="shared" si="1"/>
        <v>4.0630535222550439E-2</v>
      </c>
      <c r="P13" s="12">
        <f t="shared" si="2"/>
        <v>0.45554297902167923</v>
      </c>
      <c r="Q13" s="12">
        <f t="shared" si="3"/>
        <v>1.7847057527662344E-2</v>
      </c>
      <c r="R13" s="12">
        <f t="shared" si="4"/>
        <v>0.14353590947779502</v>
      </c>
      <c r="S13" s="12">
        <f t="shared" si="5"/>
        <v>0.78868805287137633</v>
      </c>
      <c r="T13" s="13">
        <f t="shared" si="12"/>
        <v>0.52638169623232789</v>
      </c>
      <c r="U13" s="12"/>
      <c r="V13" s="12"/>
      <c r="X13" s="4">
        <f t="shared" si="13"/>
        <v>0.67650013653616581</v>
      </c>
      <c r="Y13" s="11">
        <f t="shared" si="6"/>
        <v>0.76830486933383557</v>
      </c>
      <c r="Z13" s="11">
        <f t="shared" si="7"/>
        <v>0.20262996646251052</v>
      </c>
      <c r="AA13" s="11">
        <f t="shared" si="8"/>
        <v>0.10592529958055408</v>
      </c>
      <c r="AB13" s="11">
        <f t="shared" si="9"/>
        <v>0.64100721906371438</v>
      </c>
      <c r="AC13" s="11">
        <f t="shared" si="10"/>
        <v>0.71710612913485627</v>
      </c>
      <c r="AE13" s="8" t="s">
        <v>214</v>
      </c>
      <c r="AF13" s="8"/>
      <c r="AG13" s="8"/>
      <c r="AH13" s="8"/>
      <c r="AI13" s="8"/>
      <c r="AJ13" s="8"/>
      <c r="AK13" s="8"/>
    </row>
    <row r="14" spans="2:37" x14ac:dyDescent="0.2">
      <c r="B14" s="19"/>
      <c r="C14" s="2" t="s">
        <v>207</v>
      </c>
      <c r="D14" s="2" t="s">
        <v>33</v>
      </c>
      <c r="E14" s="2" t="s">
        <v>55</v>
      </c>
      <c r="F14" s="2" t="s">
        <v>78</v>
      </c>
      <c r="G14" s="2" t="s">
        <v>100</v>
      </c>
      <c r="H14" s="2" t="s">
        <v>120</v>
      </c>
      <c r="I14" s="2" t="s">
        <v>143</v>
      </c>
      <c r="K14" s="14">
        <v>0.79001869810483627</v>
      </c>
      <c r="M14" s="14">
        <f t="shared" si="11"/>
        <v>2.063242305416545E-2</v>
      </c>
      <c r="N14" s="14">
        <f t="shared" si="0"/>
        <v>0.15303435259193884</v>
      </c>
      <c r="O14" s="14">
        <f t="shared" si="1"/>
        <v>4.1138266825790012E-2</v>
      </c>
      <c r="P14" s="14">
        <f t="shared" si="2"/>
        <v>0.45922963705835745</v>
      </c>
      <c r="Q14" s="14">
        <f t="shared" si="3"/>
        <v>1.4050300362039051E-2</v>
      </c>
      <c r="R14" s="14">
        <f t="shared" si="4"/>
        <v>0.1816412704461805</v>
      </c>
      <c r="S14" s="14">
        <f t="shared" si="5"/>
        <v>0.86972625033847129</v>
      </c>
      <c r="T14" s="5">
        <f t="shared" si="12"/>
        <v>0.47771711524239047</v>
      </c>
      <c r="U14" s="14"/>
      <c r="V14" s="14"/>
      <c r="X14" s="4">
        <f t="shared" si="13"/>
        <v>0.5531159876809234</v>
      </c>
      <c r="Y14" s="11">
        <f t="shared" si="6"/>
        <v>0.69484840437031403</v>
      </c>
      <c r="Z14" s="11">
        <f t="shared" si="7"/>
        <v>0.19266578648590793</v>
      </c>
      <c r="AA14" s="11">
        <f t="shared" si="8"/>
        <v>9.8689653699739921E-2</v>
      </c>
      <c r="AB14" s="11">
        <f t="shared" si="9"/>
        <v>0.71737882325192626</v>
      </c>
      <c r="AC14" s="11">
        <f t="shared" si="10"/>
        <v>0.64200455278174329</v>
      </c>
      <c r="AE14" t="s">
        <v>162</v>
      </c>
      <c r="AF14" s="5">
        <f>AVERAGE(X13:X15)</f>
        <v>0.63059292421186552</v>
      </c>
      <c r="AG14" s="5">
        <f>AVERAGE(Y13:Y15)</f>
        <v>0.71291016496349624</v>
      </c>
      <c r="AH14" s="5">
        <f>AVERAGE(Z13:Z15)</f>
        <v>0.19881210639994717</v>
      </c>
      <c r="AI14" s="5">
        <f>AVERAGE(AA13:AA15)</f>
        <v>0.10171230404281469</v>
      </c>
      <c r="AJ14" s="5">
        <f>AVERAGE(AB13:AB15)</f>
        <v>0.52169535021387947</v>
      </c>
      <c r="AK14" s="5">
        <f>AVERAGE(AC13:AC15)</f>
        <v>0.66806933202075758</v>
      </c>
    </row>
    <row r="15" spans="2:37" x14ac:dyDescent="0.2">
      <c r="B15" s="20"/>
      <c r="C15" s="3" t="s">
        <v>208</v>
      </c>
      <c r="D15" s="2" t="s">
        <v>34</v>
      </c>
      <c r="E15" s="2" t="s">
        <v>56</v>
      </c>
      <c r="F15" s="2" t="s">
        <v>77</v>
      </c>
      <c r="G15" s="2" t="s">
        <v>101</v>
      </c>
      <c r="H15" s="2" t="s">
        <v>121</v>
      </c>
      <c r="I15" s="2" t="s">
        <v>144</v>
      </c>
      <c r="K15" s="15">
        <v>0.78857323232323218</v>
      </c>
      <c r="M15" s="15">
        <f t="shared" si="11"/>
        <v>1.5597790409094552E-2</v>
      </c>
      <c r="N15" s="15">
        <f t="shared" si="0"/>
        <v>0.16269890321031144</v>
      </c>
      <c r="O15" s="15">
        <f t="shared" si="1"/>
        <v>4.0706428628612602E-2</v>
      </c>
      <c r="P15" s="15">
        <f t="shared" si="2"/>
        <v>0.45829605315827404</v>
      </c>
      <c r="Q15" s="15">
        <f t="shared" si="3"/>
        <v>3.9438315587222807E-2</v>
      </c>
      <c r="R15" s="15">
        <f t="shared" si="4"/>
        <v>0.1800720518773517</v>
      </c>
      <c r="S15" s="15">
        <f t="shared" si="5"/>
        <v>0.89680954287086712</v>
      </c>
      <c r="T15" s="7">
        <f t="shared" si="12"/>
        <v>0.46145321594413535</v>
      </c>
      <c r="U15" s="15">
        <f>AVERAGE(T13:T15)</f>
        <v>0.48851734247295125</v>
      </c>
      <c r="V15" s="15">
        <f>STDEV(T13:T15)</f>
        <v>3.378476830329552E-2</v>
      </c>
      <c r="X15" s="4">
        <f t="shared" si="13"/>
        <v>0.66216264841850747</v>
      </c>
      <c r="Y15" s="11">
        <f t="shared" si="6"/>
        <v>0.67557722118633912</v>
      </c>
      <c r="Z15" s="11">
        <f t="shared" si="7"/>
        <v>0.20114056625142307</v>
      </c>
      <c r="AA15" s="11">
        <f t="shared" si="8"/>
        <v>0.10052195884815007</v>
      </c>
      <c r="AB15" s="11">
        <f t="shared" si="9"/>
        <v>0.20670000832599777</v>
      </c>
      <c r="AC15" s="11">
        <f t="shared" si="10"/>
        <v>0.64509731414567306</v>
      </c>
      <c r="AE15" s="6" t="s">
        <v>163</v>
      </c>
      <c r="AF15" s="7">
        <f>STDEV(X13:X15)</f>
        <v>6.7478868262929009E-2</v>
      </c>
      <c r="AG15" s="7">
        <f>STDEV(Y13:Y15)</f>
        <v>4.8931325135699609E-2</v>
      </c>
      <c r="AH15" s="7">
        <f>STDEV(Z13:Z15)</f>
        <v>5.3747106537453135E-3</v>
      </c>
      <c r="AI15" s="7">
        <f>STDEV(AA13:AA15)</f>
        <v>3.7618258984144361E-3</v>
      </c>
      <c r="AJ15" s="7">
        <f>STDEV(AB13:AB15)</f>
        <v>0.27545363410176271</v>
      </c>
      <c r="AK15" s="7">
        <f>STDEV(AC13:AC15)</f>
        <v>4.2495257342679026E-2</v>
      </c>
    </row>
    <row r="16" spans="2:37" ht="16" customHeight="1" x14ac:dyDescent="0.2">
      <c r="B16" s="18" t="s">
        <v>164</v>
      </c>
      <c r="C16" s="1" t="s">
        <v>206</v>
      </c>
      <c r="D16" s="1" t="s">
        <v>35</v>
      </c>
      <c r="E16" s="1" t="s">
        <v>57</v>
      </c>
      <c r="F16" s="1" t="s">
        <v>79</v>
      </c>
      <c r="G16" s="1" t="s">
        <v>102</v>
      </c>
      <c r="H16" s="1" t="s">
        <v>122</v>
      </c>
      <c r="I16" s="1" t="s">
        <v>145</v>
      </c>
      <c r="K16" s="12">
        <v>0.78978284369833396</v>
      </c>
      <c r="M16" s="12">
        <f t="shared" si="11"/>
        <v>1.8865945391048803E-2</v>
      </c>
      <c r="N16" s="12">
        <f t="shared" si="0"/>
        <v>0.15371313895794123</v>
      </c>
      <c r="O16" s="12">
        <f t="shared" si="1"/>
        <v>4.1910254526423843E-2</v>
      </c>
      <c r="P16" s="12">
        <f t="shared" si="2"/>
        <v>0.45392224313362384</v>
      </c>
      <c r="Q16" s="12">
        <f t="shared" si="3"/>
        <v>1.4814198729883959E-2</v>
      </c>
      <c r="R16" s="12">
        <f t="shared" si="4"/>
        <v>0.17878332142389872</v>
      </c>
      <c r="S16" s="12">
        <f t="shared" si="5"/>
        <v>0.86200910216282045</v>
      </c>
      <c r="T16" s="13">
        <f t="shared" si="12"/>
        <v>0.48235137160720898</v>
      </c>
      <c r="U16" s="12"/>
      <c r="V16" s="12"/>
      <c r="X16" s="4">
        <f t="shared" si="13"/>
        <v>0.59137667202677968</v>
      </c>
      <c r="Y16" s="11">
        <f t="shared" si="6"/>
        <v>0.6934948994926895</v>
      </c>
      <c r="Z16" s="11">
        <f t="shared" si="7"/>
        <v>0.17751560804564748</v>
      </c>
      <c r="AA16" s="11">
        <f t="shared" si="8"/>
        <v>0.1091062485146902</v>
      </c>
      <c r="AB16" s="11">
        <f t="shared" si="9"/>
        <v>0.70201304102142248</v>
      </c>
      <c r="AC16" s="11">
        <f t="shared" si="10"/>
        <v>0.64763726354095319</v>
      </c>
      <c r="AE16" s="8" t="s">
        <v>164</v>
      </c>
      <c r="AF16" s="8"/>
      <c r="AG16" s="8"/>
      <c r="AH16" s="8"/>
      <c r="AI16" s="8"/>
      <c r="AJ16" s="8"/>
      <c r="AK16" s="8"/>
    </row>
    <row r="17" spans="2:42" ht="16" customHeight="1" x14ac:dyDescent="0.2">
      <c r="B17" s="19"/>
      <c r="C17" s="2" t="s">
        <v>207</v>
      </c>
      <c r="D17" s="2" t="s">
        <v>36</v>
      </c>
      <c r="E17" s="2" t="s">
        <v>58</v>
      </c>
      <c r="F17" s="2" t="s">
        <v>80</v>
      </c>
      <c r="G17" s="2" t="s">
        <v>102</v>
      </c>
      <c r="H17" s="2" t="s">
        <v>27</v>
      </c>
      <c r="I17" s="2" t="s">
        <v>146</v>
      </c>
      <c r="K17" s="14">
        <v>0.79078419240715159</v>
      </c>
      <c r="M17" s="14">
        <f t="shared" si="11"/>
        <v>1.3025045390255894E-2</v>
      </c>
      <c r="N17" s="14">
        <f t="shared" si="0"/>
        <v>0.12038682729634576</v>
      </c>
      <c r="O17" s="14">
        <f t="shared" si="1"/>
        <v>4.0339703684384755E-2</v>
      </c>
      <c r="P17" s="14">
        <f t="shared" si="2"/>
        <v>0.45334745363172213</v>
      </c>
      <c r="Q17" s="14">
        <f t="shared" si="3"/>
        <v>1.2898588638894188E-2</v>
      </c>
      <c r="R17" s="14">
        <f t="shared" si="4"/>
        <v>0.14605754782277242</v>
      </c>
      <c r="S17" s="14">
        <f t="shared" si="5"/>
        <v>0.78605516646437512</v>
      </c>
      <c r="T17" s="5">
        <f t="shared" si="12"/>
        <v>0.52796278166852417</v>
      </c>
      <c r="U17" s="14"/>
      <c r="V17" s="14"/>
      <c r="X17" s="4">
        <f t="shared" si="13"/>
        <v>0.717886526010307</v>
      </c>
      <c r="Y17" s="11">
        <f t="shared" si="6"/>
        <v>0.75994780374422655</v>
      </c>
      <c r="Z17" s="11">
        <f t="shared" si="7"/>
        <v>0.2083375051909746</v>
      </c>
      <c r="AA17" s="11">
        <f t="shared" si="8"/>
        <v>0.11023436325991276</v>
      </c>
      <c r="AB17" s="11">
        <f t="shared" si="9"/>
        <v>0.74054545414824358</v>
      </c>
      <c r="AC17" s="11">
        <f t="shared" si="10"/>
        <v>0.71213625062203034</v>
      </c>
      <c r="AE17" t="s">
        <v>162</v>
      </c>
      <c r="AF17" s="5">
        <f>AVERAGE(X16:X17)</f>
        <v>0.6546315990185434</v>
      </c>
      <c r="AG17" s="5">
        <f>AVERAGE(Y16:Y18)</f>
        <v>0.7422189735049779</v>
      </c>
      <c r="AH17" s="5">
        <f>AVERAGE(Z16:Z18)</f>
        <v>0.18128884550780722</v>
      </c>
      <c r="AI17" s="5">
        <f>AVERAGE(AA16:AA18)</f>
        <v>0.11106205970088896</v>
      </c>
      <c r="AJ17" s="5">
        <f>AVERAGE(AB16:AB18)</f>
        <v>0.75205610149199298</v>
      </c>
      <c r="AK17" s="5">
        <f>AVERAGE(AC16:AC18)</f>
        <v>0.69761222924198663</v>
      </c>
    </row>
    <row r="18" spans="2:42" ht="16" customHeight="1" x14ac:dyDescent="0.2">
      <c r="B18" s="20"/>
      <c r="C18" s="3" t="s">
        <v>208</v>
      </c>
      <c r="D18" s="2" t="s">
        <v>37</v>
      </c>
      <c r="E18" s="2" t="s">
        <v>59</v>
      </c>
      <c r="F18" s="2" t="s">
        <v>81</v>
      </c>
      <c r="G18" s="2" t="s">
        <v>103</v>
      </c>
      <c r="H18" s="2" t="s">
        <v>123</v>
      </c>
      <c r="I18" s="2" t="s">
        <v>147</v>
      </c>
      <c r="K18" s="15">
        <v>0.78780530190527354</v>
      </c>
      <c r="M18" s="15">
        <f t="shared" si="11"/>
        <v>1.751701843923275E-2</v>
      </c>
      <c r="N18" s="15">
        <f t="shared" si="0"/>
        <v>0.11373368493878655</v>
      </c>
      <c r="O18" s="15">
        <f t="shared" si="1"/>
        <v>4.2904001684497602E-2</v>
      </c>
      <c r="P18" s="15">
        <f t="shared" si="2"/>
        <v>0.45150749701703546</v>
      </c>
      <c r="Q18" s="15">
        <f t="shared" si="3"/>
        <v>9.2662488845216724E-3</v>
      </c>
      <c r="R18" s="15">
        <f t="shared" si="4"/>
        <v>0.135439555613488</v>
      </c>
      <c r="S18" s="15">
        <f t="shared" si="5"/>
        <v>0.77036800657756199</v>
      </c>
      <c r="T18" s="7">
        <f t="shared" si="12"/>
        <v>0.53738314251902164</v>
      </c>
      <c r="U18" s="15">
        <f>AVERAGE(T16:T18)</f>
        <v>0.51589909859825156</v>
      </c>
      <c r="V18" s="15">
        <f>STDEV(T16:T18)</f>
        <v>2.9432520947712641E-2</v>
      </c>
      <c r="X18" s="4">
        <f t="shared" si="13"/>
        <v>0.62059349677733655</v>
      </c>
      <c r="Y18" s="11">
        <f t="shared" si="6"/>
        <v>0.77321421727801753</v>
      </c>
      <c r="Z18" s="11">
        <f t="shared" si="7"/>
        <v>0.15801342328679957</v>
      </c>
      <c r="AA18" s="11">
        <f t="shared" si="8"/>
        <v>0.11384556732806395</v>
      </c>
      <c r="AB18" s="11">
        <f t="shared" si="9"/>
        <v>0.81360980930631277</v>
      </c>
      <c r="AC18" s="11">
        <f t="shared" si="10"/>
        <v>0.73306317356297623</v>
      </c>
      <c r="AE18" s="6" t="s">
        <v>163</v>
      </c>
      <c r="AF18" s="7">
        <f>STDEV(X16:X18)</f>
        <v>6.623732525392538E-2</v>
      </c>
      <c r="AG18" s="7">
        <f>STDEV(Y16:Y18)</f>
        <v>4.2714470303149066E-2</v>
      </c>
      <c r="AH18" s="7">
        <f>STDEV(Z16:Z18)</f>
        <v>2.53733382822189E-2</v>
      </c>
      <c r="AI18" s="7">
        <f>STDEV(AA16:AA18)</f>
        <v>2.4757012647940993E-3</v>
      </c>
      <c r="AJ18" s="7">
        <f>STDEV(AB16:AB18)</f>
        <v>5.6681839460377408E-2</v>
      </c>
      <c r="AK18" s="7">
        <f>STDEV(AC16:AC18)</f>
        <v>4.4526474411957097E-2</v>
      </c>
    </row>
    <row r="19" spans="2:42" ht="16" customHeight="1" x14ac:dyDescent="0.2">
      <c r="B19" s="18" t="s">
        <v>165</v>
      </c>
      <c r="C19" s="1" t="s">
        <v>206</v>
      </c>
      <c r="D19" s="1" t="s">
        <v>38</v>
      </c>
      <c r="E19" s="1" t="s">
        <v>60</v>
      </c>
      <c r="F19" s="1" t="s">
        <v>82</v>
      </c>
      <c r="G19" s="1" t="s">
        <v>104</v>
      </c>
      <c r="H19" s="1" t="s">
        <v>124</v>
      </c>
      <c r="I19" s="1" t="s">
        <v>148</v>
      </c>
      <c r="K19" s="12">
        <v>0.79076519249125032</v>
      </c>
      <c r="M19" s="12">
        <f t="shared" si="11"/>
        <v>2.0360026152995023E-2</v>
      </c>
      <c r="N19" s="12">
        <f t="shared" si="0"/>
        <v>0.19070136297339435</v>
      </c>
      <c r="O19" s="12">
        <f t="shared" si="1"/>
        <v>4.1605270834381133E-2</v>
      </c>
      <c r="P19" s="12">
        <f t="shared" si="2"/>
        <v>0.44362094251370521</v>
      </c>
      <c r="Q19" s="12">
        <f t="shared" si="3"/>
        <v>1.821020972690238E-2</v>
      </c>
      <c r="R19" s="12">
        <f t="shared" si="4"/>
        <v>0.21093492933661925</v>
      </c>
      <c r="S19" s="12">
        <f t="shared" si="5"/>
        <v>0.92543274153799737</v>
      </c>
      <c r="T19" s="13">
        <f t="shared" si="12"/>
        <v>0.4442645812846191</v>
      </c>
      <c r="U19" s="12"/>
      <c r="V19" s="12"/>
      <c r="X19" s="4">
        <f t="shared" si="13"/>
        <v>0.55901591614878932</v>
      </c>
      <c r="Y19" s="11">
        <f t="shared" si="6"/>
        <v>0.61974011576827803</v>
      </c>
      <c r="Z19" s="11">
        <f t="shared" si="7"/>
        <v>0.18350088132399478</v>
      </c>
      <c r="AA19" s="11">
        <f t="shared" si="8"/>
        <v>0.12932417018140974</v>
      </c>
      <c r="AB19" s="11">
        <f t="shared" si="9"/>
        <v>0.63370242847253477</v>
      </c>
      <c r="AC19" s="11">
        <f t="shared" si="10"/>
        <v>0.58426989540249463</v>
      </c>
      <c r="AE19" s="8" t="s">
        <v>165</v>
      </c>
      <c r="AF19" s="8"/>
      <c r="AG19" s="8"/>
      <c r="AH19" s="8"/>
      <c r="AI19" s="8"/>
      <c r="AJ19" s="8"/>
      <c r="AK19" s="8"/>
    </row>
    <row r="20" spans="2:42" ht="16" customHeight="1" x14ac:dyDescent="0.2">
      <c r="B20" s="19"/>
      <c r="C20" s="2" t="s">
        <v>207</v>
      </c>
      <c r="D20" s="2" t="s">
        <v>39</v>
      </c>
      <c r="E20" s="2" t="s">
        <v>61</v>
      </c>
      <c r="F20" s="2" t="s">
        <v>83</v>
      </c>
      <c r="G20" s="2" t="s">
        <v>105</v>
      </c>
      <c r="H20" s="2" t="s">
        <v>125</v>
      </c>
      <c r="I20" s="2" t="s">
        <v>149</v>
      </c>
      <c r="K20" s="14">
        <v>0.78954810157928779</v>
      </c>
      <c r="M20" s="14">
        <f t="shared" si="11"/>
        <v>1.7225042999656003E-2</v>
      </c>
      <c r="N20" s="14">
        <f t="shared" si="0"/>
        <v>0.14438638985005769</v>
      </c>
      <c r="O20" s="14">
        <f t="shared" si="1"/>
        <v>4.0909477124183018E-2</v>
      </c>
      <c r="P20" s="14">
        <f t="shared" si="2"/>
        <v>0.44861104635868804</v>
      </c>
      <c r="Q20" s="14">
        <f t="shared" si="3"/>
        <v>1.2412163337987416E-2</v>
      </c>
      <c r="R20" s="14">
        <f t="shared" si="4"/>
        <v>0.16097815921002046</v>
      </c>
      <c r="S20" s="14">
        <f t="shared" si="5"/>
        <v>0.82452227888059271</v>
      </c>
      <c r="T20" s="5">
        <f t="shared" si="12"/>
        <v>0.50486273790967617</v>
      </c>
      <c r="U20" s="14"/>
      <c r="V20" s="14"/>
      <c r="X20" s="4">
        <f t="shared" si="13"/>
        <v>0.62691748284500015</v>
      </c>
      <c r="Y20" s="11">
        <f t="shared" si="6"/>
        <v>0.71209250404424651</v>
      </c>
      <c r="Z20" s="11">
        <f t="shared" si="7"/>
        <v>0.197155760616058</v>
      </c>
      <c r="AA20" s="11">
        <f t="shared" si="8"/>
        <v>0.1195303070209095</v>
      </c>
      <c r="AB20" s="11">
        <f t="shared" si="9"/>
        <v>0.75032987778332361</v>
      </c>
      <c r="AC20" s="11">
        <f t="shared" si="10"/>
        <v>0.68272932711160295</v>
      </c>
      <c r="AE20" t="s">
        <v>162</v>
      </c>
      <c r="AF20" s="5">
        <f>AVERAGE(X19:X21)</f>
        <v>0.63047248444936532</v>
      </c>
      <c r="AG20" s="5">
        <f>AVERAGE(Y19:Y21)</f>
        <v>0.68571555601994982</v>
      </c>
      <c r="AH20" s="5">
        <f>AVERAGE(Z19:Z21)</f>
        <v>0.13351137297923324</v>
      </c>
      <c r="AI20" s="5">
        <f>AVERAGE(AA19:AA21)</f>
        <v>0.11997821490569989</v>
      </c>
      <c r="AJ20" s="5">
        <f>AVERAGE(AB19:AB21)</f>
        <v>0.7120260717469441</v>
      </c>
      <c r="AK20" s="5">
        <f>AVERAGE(AC19:AC21)</f>
        <v>0.64938664536311475</v>
      </c>
    </row>
    <row r="21" spans="2:42" ht="16" customHeight="1" x14ac:dyDescent="0.2">
      <c r="B21" s="20"/>
      <c r="C21" s="3" t="s">
        <v>208</v>
      </c>
      <c r="D21" s="2" t="s">
        <v>40</v>
      </c>
      <c r="E21" s="2" t="s">
        <v>62</v>
      </c>
      <c r="F21" s="2" t="s">
        <v>84</v>
      </c>
      <c r="G21" s="2" t="s">
        <v>106</v>
      </c>
      <c r="H21" s="2" t="s">
        <v>126</v>
      </c>
      <c r="I21" s="2" t="s">
        <v>150</v>
      </c>
      <c r="K21" s="15">
        <v>0.78690000473836341</v>
      </c>
      <c r="M21" s="15">
        <f t="shared" si="11"/>
        <v>1.3597661628630495E-2</v>
      </c>
      <c r="N21" s="15">
        <f t="shared" si="0"/>
        <v>0.13775574958350895</v>
      </c>
      <c r="O21" s="15">
        <f t="shared" si="1"/>
        <v>4.994281327151201E-2</v>
      </c>
      <c r="P21" s="15">
        <f t="shared" si="2"/>
        <v>0.45291650508821579</v>
      </c>
      <c r="Q21" s="15">
        <f t="shared" si="3"/>
        <v>1.2326852130627647E-2</v>
      </c>
      <c r="R21" s="15">
        <f t="shared" si="4"/>
        <v>0.16177404909576282</v>
      </c>
      <c r="S21" s="15">
        <f t="shared" si="5"/>
        <v>0.82831363079825771</v>
      </c>
      <c r="T21" s="7">
        <f t="shared" si="12"/>
        <v>0.50258597758892154</v>
      </c>
      <c r="U21" s="15">
        <f>AVERAGE(T19:T21)</f>
        <v>0.48390443226107233</v>
      </c>
      <c r="V21" s="15">
        <f>STDEV(T19:T21)</f>
        <v>3.4347987546086339E-2</v>
      </c>
      <c r="X21" s="4">
        <f t="shared" si="13"/>
        <v>0.7054840543543065</v>
      </c>
      <c r="Y21" s="11">
        <f t="shared" si="6"/>
        <v>0.72531404824732482</v>
      </c>
      <c r="Z21" s="11">
        <f t="shared" si="7"/>
        <v>1.987747699764697E-2</v>
      </c>
      <c r="AA21" s="11">
        <f t="shared" si="8"/>
        <v>0.11108016751478045</v>
      </c>
      <c r="AB21" s="11">
        <f t="shared" si="9"/>
        <v>0.75204590898497381</v>
      </c>
      <c r="AC21" s="11">
        <f t="shared" si="10"/>
        <v>0.68116071357524666</v>
      </c>
      <c r="AE21" s="6" t="s">
        <v>163</v>
      </c>
      <c r="AF21" s="7">
        <f>STDEV(X19:X20)</f>
        <v>4.801365826408132E-2</v>
      </c>
      <c r="AG21" s="7">
        <f>STDEV(Y19:Y21)</f>
        <v>5.7517574228055902E-2</v>
      </c>
      <c r="AH21" s="7">
        <f>STDEV(Z19:Z21)</f>
        <v>9.8646392073332687E-2</v>
      </c>
      <c r="AI21" s="7">
        <f>STDEV(AA19:AA21)</f>
        <v>9.1302450366864303E-3</v>
      </c>
      <c r="AJ21" s="7">
        <f>STDEV(AB19:AB21)</f>
        <v>6.7835691288612582E-2</v>
      </c>
      <c r="AK21" s="7">
        <f>STDEV(AC19:AC21)</f>
        <v>5.639821345736095E-2</v>
      </c>
    </row>
    <row r="22" spans="2:42" ht="16" customHeight="1" x14ac:dyDescent="0.2">
      <c r="B22" s="18" t="s">
        <v>166</v>
      </c>
      <c r="C22" s="1" t="s">
        <v>206</v>
      </c>
      <c r="D22" s="1" t="s">
        <v>41</v>
      </c>
      <c r="E22" s="1" t="s">
        <v>63</v>
      </c>
      <c r="F22" s="1" t="s">
        <v>85</v>
      </c>
      <c r="G22" s="1" t="s">
        <v>107</v>
      </c>
      <c r="H22" s="1" t="s">
        <v>127</v>
      </c>
      <c r="I22" s="1" t="s">
        <v>151</v>
      </c>
      <c r="K22" s="12">
        <v>0.77330518639351331</v>
      </c>
      <c r="M22" s="12">
        <f t="shared" si="11"/>
        <v>2.4311229681101876E-2</v>
      </c>
      <c r="N22" s="12">
        <f t="shared" si="0"/>
        <v>0.22655997021963026</v>
      </c>
      <c r="O22" s="12">
        <f t="shared" si="1"/>
        <v>4.3061912147909179E-2</v>
      </c>
      <c r="P22" s="12">
        <f t="shared" si="2"/>
        <v>0.47381034867849614</v>
      </c>
      <c r="Q22" s="12">
        <f t="shared" si="3"/>
        <v>1.8750682466807299E-2</v>
      </c>
      <c r="R22" s="12">
        <f t="shared" si="4"/>
        <v>0.22539613475617326</v>
      </c>
      <c r="S22" s="12">
        <f t="shared" si="5"/>
        <v>1.011890277950118</v>
      </c>
      <c r="T22" s="13">
        <f t="shared" si="12"/>
        <v>0.39234561079386365</v>
      </c>
      <c r="U22" s="12"/>
      <c r="V22" s="12"/>
      <c r="X22" s="4">
        <f t="shared" si="13"/>
        <v>0.47343558069840697</v>
      </c>
      <c r="Y22" s="11">
        <f t="shared" si="6"/>
        <v>0.54823779597590805</v>
      </c>
      <c r="Z22" s="11">
        <f t="shared" si="7"/>
        <v>0.15491444684416267</v>
      </c>
      <c r="AA22" s="11">
        <f t="shared" si="8"/>
        <v>7.0072715289945187E-2</v>
      </c>
      <c r="AB22" s="11">
        <f t="shared" si="9"/>
        <v>0.62283084296786617</v>
      </c>
      <c r="AC22" s="11">
        <f t="shared" si="10"/>
        <v>0.55576841174312852</v>
      </c>
      <c r="AE22" s="8" t="s">
        <v>166</v>
      </c>
      <c r="AF22" s="8"/>
      <c r="AG22" s="8"/>
      <c r="AH22" s="8"/>
      <c r="AI22" s="8"/>
      <c r="AJ22" s="8"/>
      <c r="AK22" s="8"/>
    </row>
    <row r="23" spans="2:42" ht="16" customHeight="1" x14ac:dyDescent="0.2">
      <c r="B23" s="19"/>
      <c r="C23" s="2" t="s">
        <v>207</v>
      </c>
      <c r="D23" s="2" t="s">
        <v>41</v>
      </c>
      <c r="E23" s="2" t="s">
        <v>64</v>
      </c>
      <c r="F23" s="2" t="s">
        <v>86</v>
      </c>
      <c r="G23" s="2" t="s">
        <v>98</v>
      </c>
      <c r="H23" s="2" t="s">
        <v>128</v>
      </c>
      <c r="I23" s="2" t="s">
        <v>152</v>
      </c>
      <c r="K23" s="14">
        <v>0.77856393719768946</v>
      </c>
      <c r="M23" s="14">
        <f t="shared" si="11"/>
        <v>2.4147021332207416E-2</v>
      </c>
      <c r="N23" s="14">
        <f t="shared" si="0"/>
        <v>0.22181864808894788</v>
      </c>
      <c r="O23" s="14">
        <f t="shared" si="1"/>
        <v>4.1615079317208516E-2</v>
      </c>
      <c r="P23" s="14">
        <f t="shared" si="2"/>
        <v>0.46290353660252936</v>
      </c>
      <c r="Q23" s="14">
        <f t="shared" si="3"/>
        <v>1.9651565233126243E-2</v>
      </c>
      <c r="R23" s="14">
        <f t="shared" si="4"/>
        <v>0.22759852021633795</v>
      </c>
      <c r="S23" s="14">
        <f t="shared" si="5"/>
        <v>0.99773437079035743</v>
      </c>
      <c r="T23" s="5">
        <f t="shared" si="12"/>
        <v>0.40084643277650867</v>
      </c>
      <c r="U23" s="14"/>
      <c r="V23" s="14"/>
      <c r="X23" s="4">
        <f t="shared" si="13"/>
        <v>0.47699221995583208</v>
      </c>
      <c r="Y23" s="11">
        <f t="shared" si="6"/>
        <v>0.55769202627823744</v>
      </c>
      <c r="Z23" s="11">
        <f t="shared" si="7"/>
        <v>0.18330839086729322</v>
      </c>
      <c r="AA23" s="11">
        <f t="shared" si="8"/>
        <v>9.1479048365900928E-2</v>
      </c>
      <c r="AB23" s="11">
        <f t="shared" si="9"/>
        <v>0.60470962555837793</v>
      </c>
      <c r="AC23" s="11">
        <f t="shared" si="10"/>
        <v>0.5514277463986178</v>
      </c>
      <c r="AE23" t="s">
        <v>162</v>
      </c>
      <c r="AF23" s="5">
        <f>AVERAGE(X22:X24)</f>
        <v>0.48946225261183168</v>
      </c>
      <c r="AG23" s="5">
        <f>AVERAGE(Y22:Y24)</f>
        <v>0.55447555312590235</v>
      </c>
      <c r="AH23" s="5">
        <f>AVERAGE(Z22:Z24)</f>
        <v>-1.5791063831180934E-2</v>
      </c>
      <c r="AI23" s="5">
        <f>AVERAGE(AA22:AA24)</f>
        <v>8.7196849229896345E-2</v>
      </c>
      <c r="AJ23" s="5">
        <f>AVERAGE(AB22:AB24)</f>
        <v>0.60529646258529546</v>
      </c>
      <c r="AK23" s="5">
        <f>AVERAGE(AC22:AC24)</f>
        <v>0.54568365707138911</v>
      </c>
    </row>
    <row r="24" spans="2:42" ht="16" customHeight="1" x14ac:dyDescent="0.2">
      <c r="B24" s="20"/>
      <c r="C24" s="3" t="s">
        <v>208</v>
      </c>
      <c r="D24" s="3" t="s">
        <v>42</v>
      </c>
      <c r="E24" s="3" t="s">
        <v>65</v>
      </c>
      <c r="F24" s="3" t="s">
        <v>87</v>
      </c>
      <c r="G24" s="3" t="s">
        <v>102</v>
      </c>
      <c r="H24" s="3" t="s">
        <v>129</v>
      </c>
      <c r="I24" s="3" t="s">
        <v>153</v>
      </c>
      <c r="K24" s="15">
        <v>0.78182546980736123</v>
      </c>
      <c r="M24" s="15">
        <f t="shared" si="11"/>
        <v>2.2255606490138129E-2</v>
      </c>
      <c r="N24" s="15">
        <f t="shared" si="0"/>
        <v>0.22191653597925087</v>
      </c>
      <c r="O24" s="15">
        <f t="shared" si="1"/>
        <v>7.0603993003196822E-2</v>
      </c>
      <c r="P24" s="15">
        <f t="shared" si="2"/>
        <v>0.45854223716750109</v>
      </c>
      <c r="Q24" s="15">
        <f t="shared" si="3"/>
        <v>2.0464925508172992E-2</v>
      </c>
      <c r="R24" s="15">
        <f t="shared" si="4"/>
        <v>0.23854428795464144</v>
      </c>
      <c r="S24" s="15">
        <f t="shared" si="5"/>
        <v>1.0323275861029013</v>
      </c>
      <c r="T24" s="7">
        <f t="shared" si="12"/>
        <v>0.38007271888728744</v>
      </c>
      <c r="U24" s="15">
        <f>AVERAGE(T22:T24)</f>
        <v>0.39108825415255327</v>
      </c>
      <c r="V24" s="15">
        <f>STDEV(T22:T24)</f>
        <v>1.0443778362278243E-2</v>
      </c>
      <c r="X24" s="4">
        <f>1-(M24/M$29)</f>
        <v>0.51795895718125595</v>
      </c>
      <c r="Y24" s="11">
        <f t="shared" si="6"/>
        <v>0.55749683712356157</v>
      </c>
      <c r="Z24" s="11">
        <f t="shared" si="7"/>
        <v>-0.38559602920499869</v>
      </c>
      <c r="AA24" s="11">
        <f t="shared" si="8"/>
        <v>0.10003878403384292</v>
      </c>
      <c r="AB24" s="11">
        <f t="shared" si="9"/>
        <v>0.58834891922964228</v>
      </c>
      <c r="AC24" s="11">
        <f t="shared" si="10"/>
        <v>0.52985481307242099</v>
      </c>
      <c r="AE24" s="6" t="s">
        <v>163</v>
      </c>
      <c r="AF24" s="7">
        <f>STDEV(X22:X24)</f>
        <v>2.474285854927942E-2</v>
      </c>
      <c r="AG24" s="7">
        <f>STDEV(Y22:Y24)</f>
        <v>5.4029376637394757E-3</v>
      </c>
      <c r="AH24" s="7">
        <f>STDEV(Z22:Z24)</f>
        <v>0.32057501201067601</v>
      </c>
      <c r="AI24" s="7">
        <f>STDEV(AA22:AA24)</f>
        <v>1.5435162489306636E-2</v>
      </c>
      <c r="AJ24" s="7">
        <f>STDEV(AB22:AB24)</f>
        <v>1.7248450638949957E-2</v>
      </c>
      <c r="AK24" s="7">
        <f>STDEV(AC22:AC24)</f>
        <v>1.3878925414671364E-2</v>
      </c>
    </row>
    <row r="25" spans="2:42" x14ac:dyDescent="0.2">
      <c r="B25" s="18" t="s">
        <v>167</v>
      </c>
      <c r="C25" s="1" t="s">
        <v>206</v>
      </c>
      <c r="D25" s="1" t="s">
        <v>43</v>
      </c>
      <c r="E25" s="1" t="s">
        <v>66</v>
      </c>
      <c r="F25" s="1" t="s">
        <v>88</v>
      </c>
      <c r="G25" s="1" t="s">
        <v>108</v>
      </c>
      <c r="H25" s="1" t="s">
        <v>130</v>
      </c>
      <c r="I25" s="1" t="s">
        <v>154</v>
      </c>
      <c r="K25" s="12">
        <v>0.77838764739965849</v>
      </c>
      <c r="M25" s="12">
        <f t="shared" si="11"/>
        <v>4.0082856021969406E-2</v>
      </c>
      <c r="N25" s="12">
        <f t="shared" si="0"/>
        <v>0.39363420144652006</v>
      </c>
      <c r="O25" s="12">
        <f t="shared" si="1"/>
        <v>4.8690392411302581E-2</v>
      </c>
      <c r="P25" s="12">
        <f t="shared" si="2"/>
        <v>0.45748413555843931</v>
      </c>
      <c r="Q25" s="12">
        <f t="shared" si="3"/>
        <v>3.6742618020138625E-2</v>
      </c>
      <c r="R25" s="12">
        <f t="shared" si="4"/>
        <v>0.3893946685980425</v>
      </c>
      <c r="S25" s="12">
        <f>SUM(M25:R25)</f>
        <v>1.3660288720564124</v>
      </c>
      <c r="T25" s="13">
        <f t="shared" si="12"/>
        <v>0.17968038830361621</v>
      </c>
      <c r="U25" s="12"/>
      <c r="V25" s="12"/>
      <c r="X25" s="4">
        <f t="shared" si="13"/>
        <v>0.13183306307354714</v>
      </c>
      <c r="Y25" s="11">
        <f t="shared" si="6"/>
        <v>0.21509058174595697</v>
      </c>
      <c r="Z25" s="11">
        <f t="shared" si="7"/>
        <v>4.4456106293034203E-2</v>
      </c>
      <c r="AA25" s="11">
        <f t="shared" si="8"/>
        <v>0.1021154747583205</v>
      </c>
      <c r="AB25" s="11">
        <f t="shared" si="9"/>
        <v>0.26092384688710346</v>
      </c>
      <c r="AC25" s="11">
        <f t="shared" si="10"/>
        <v>0.23254490465334465</v>
      </c>
      <c r="AE25" s="8" t="s">
        <v>167</v>
      </c>
      <c r="AF25" s="8"/>
      <c r="AG25" s="8"/>
      <c r="AH25" s="8"/>
      <c r="AI25" s="8"/>
      <c r="AJ25" s="8"/>
      <c r="AK25" s="8"/>
    </row>
    <row r="26" spans="2:42" x14ac:dyDescent="0.2">
      <c r="B26" s="19"/>
      <c r="C26" s="2" t="s">
        <v>207</v>
      </c>
      <c r="D26" s="2" t="s">
        <v>44</v>
      </c>
      <c r="E26" s="2" t="s">
        <v>67</v>
      </c>
      <c r="F26" s="2" t="s">
        <v>89</v>
      </c>
      <c r="G26" s="2" t="s">
        <v>109</v>
      </c>
      <c r="H26" s="2" t="s">
        <v>131</v>
      </c>
      <c r="I26" s="2" t="s">
        <v>155</v>
      </c>
      <c r="K26" s="14">
        <v>0.77917435785126554</v>
      </c>
      <c r="M26" s="14">
        <f t="shared" si="11"/>
        <v>3.9657362551320532E-2</v>
      </c>
      <c r="N26" s="14">
        <f t="shared" si="0"/>
        <v>0.37886257039319809</v>
      </c>
      <c r="O26" s="14">
        <f t="shared" si="1"/>
        <v>4.4020955841757088E-2</v>
      </c>
      <c r="P26" s="14">
        <f t="shared" si="2"/>
        <v>0.45496877101757693</v>
      </c>
      <c r="Q26" s="14">
        <f t="shared" si="3"/>
        <v>3.5550451219144942E-2</v>
      </c>
      <c r="R26" s="14">
        <f t="shared" si="4"/>
        <v>0.37719413766450172</v>
      </c>
      <c r="S26" s="14">
        <f>SUM(M26:R26)</f>
        <v>1.3302542486874991</v>
      </c>
      <c r="T26" s="5">
        <f t="shared" si="12"/>
        <v>0.20116355439980071</v>
      </c>
      <c r="U26" s="14"/>
      <c r="V26" s="14"/>
      <c r="X26" s="4">
        <f t="shared" si="13"/>
        <v>0.14104895734248268</v>
      </c>
      <c r="Y26" s="11">
        <f t="shared" si="6"/>
        <v>0.24454531991179573</v>
      </c>
      <c r="Z26" s="11">
        <f t="shared" si="7"/>
        <v>0.13609331396617386</v>
      </c>
      <c r="AA26" s="11">
        <f t="shared" si="8"/>
        <v>0.10705227304494325</v>
      </c>
      <c r="AB26" s="11">
        <f t="shared" si="9"/>
        <v>0.28490422990347941</v>
      </c>
      <c r="AC26" s="11">
        <f t="shared" si="10"/>
        <v>0.25659084155482237</v>
      </c>
      <c r="AE26" t="s">
        <v>162</v>
      </c>
      <c r="AF26" s="5">
        <f>AVERAGE(X25:X27)</f>
        <v>0.11597632274850518</v>
      </c>
      <c r="AG26" s="5">
        <f>AVERAGE(Y25:Y27)</f>
        <v>0.19398022098281723</v>
      </c>
      <c r="AH26" s="5">
        <f>AVERAGE(Z25:Z27)</f>
        <v>0.10237824598179131</v>
      </c>
      <c r="AI26" s="5">
        <f>AVERAGE(AA25:AA27)</f>
        <v>9.7671279500607014E-2</v>
      </c>
      <c r="AJ26" s="5">
        <f>AVERAGE(AB25:AB27)</f>
        <v>0.25050330668551607</v>
      </c>
      <c r="AK26" s="5">
        <f>AVERAGE(AC25:AC27)</f>
        <v>0.22554234293833206</v>
      </c>
    </row>
    <row r="27" spans="2:42" x14ac:dyDescent="0.2">
      <c r="B27" s="20"/>
      <c r="C27" s="3" t="s">
        <v>208</v>
      </c>
      <c r="D27" s="3" t="s">
        <v>45</v>
      </c>
      <c r="E27" s="3" t="s">
        <v>68</v>
      </c>
      <c r="F27" s="3" t="s">
        <v>90</v>
      </c>
      <c r="G27" s="3" t="s">
        <v>110</v>
      </c>
      <c r="H27" s="3" t="s">
        <v>132</v>
      </c>
      <c r="I27" s="3" t="s">
        <v>156</v>
      </c>
      <c r="K27" s="15">
        <v>0.77743301082897387</v>
      </c>
      <c r="M27" s="15">
        <f t="shared" si="11"/>
        <v>4.2704644049779888E-2</v>
      </c>
      <c r="N27" s="15">
        <f t="shared" si="0"/>
        <v>0.44016654198297217</v>
      </c>
      <c r="O27" s="15">
        <f t="shared" si="1"/>
        <v>4.4505442292842888E-2</v>
      </c>
      <c r="P27" s="15">
        <f t="shared" si="2"/>
        <v>0.46679263029111806</v>
      </c>
      <c r="Q27" s="15">
        <f t="shared" si="3"/>
        <v>3.948893290145309E-2</v>
      </c>
      <c r="R27" s="15">
        <f t="shared" si="4"/>
        <v>0.41225416921549557</v>
      </c>
      <c r="S27" s="15">
        <f>SUM(M27:R27)</f>
        <v>1.4459123607336617</v>
      </c>
      <c r="T27" s="7">
        <f>1-(S27/S$29)</f>
        <v>0.13170922623438042</v>
      </c>
      <c r="U27" s="15">
        <f>AVERAGE(T25:T27)</f>
        <v>0.17085105631259911</v>
      </c>
      <c r="V27" s="15">
        <f>STDEV(T25:T27)</f>
        <v>3.5559017882713984E-2</v>
      </c>
      <c r="X27" s="4">
        <f t="shared" si="13"/>
        <v>7.5046947829485733E-2</v>
      </c>
      <c r="Y27" s="4">
        <f t="shared" si="6"/>
        <v>0.122304761290699</v>
      </c>
      <c r="Z27" s="4">
        <f t="shared" si="7"/>
        <v>0.12658531768616588</v>
      </c>
      <c r="AA27" s="4">
        <f t="shared" si="8"/>
        <v>8.3846090698557307E-2</v>
      </c>
      <c r="AB27" s="4">
        <f t="shared" si="9"/>
        <v>0.20568184326596528</v>
      </c>
      <c r="AC27" s="4">
        <f t="shared" si="10"/>
        <v>0.18749128260682912</v>
      </c>
      <c r="AE27" s="6" t="s">
        <v>163</v>
      </c>
      <c r="AF27" s="7">
        <f>STDEV(X25:X27)</f>
        <v>3.5744139033417631E-2</v>
      </c>
      <c r="AG27" s="7">
        <f>STDEV(Y25:Y27)</f>
        <v>6.3795956311210489E-2</v>
      </c>
      <c r="AH27" s="7">
        <f>STDEV(Z25:Z27)</f>
        <v>5.0386815715106274E-2</v>
      </c>
      <c r="AI27" s="7">
        <f>STDEV(AA25:AA27)</f>
        <v>1.222476496256435E-2</v>
      </c>
      <c r="AJ27" s="7">
        <f>STDEV(AB25:AB27)</f>
        <v>4.0626190809693444E-2</v>
      </c>
      <c r="AK27" s="7">
        <f>STDEV(AC25:AC27)</f>
        <v>3.5077972641405573E-2</v>
      </c>
    </row>
    <row r="29" spans="2:42" x14ac:dyDescent="0.2">
      <c r="L29" t="s">
        <v>158</v>
      </c>
      <c r="M29">
        <v>4.6169526063585903E-2</v>
      </c>
      <c r="N29">
        <v>0.50150271138562996</v>
      </c>
      <c r="O29">
        <v>5.0955683702201902E-2</v>
      </c>
      <c r="P29">
        <v>0.50951333127753862</v>
      </c>
      <c r="Q29">
        <v>4.9714251860763337E-2</v>
      </c>
      <c r="R29">
        <v>0.50738430295020065</v>
      </c>
      <c r="S29">
        <f>SUM(M29:R29)</f>
        <v>1.6652398072399204</v>
      </c>
    </row>
    <row r="30" spans="2:42" x14ac:dyDescent="0.2">
      <c r="Y30" t="s">
        <v>185</v>
      </c>
      <c r="AF30" t="s">
        <v>171</v>
      </c>
      <c r="AM30" t="s">
        <v>172</v>
      </c>
    </row>
    <row r="31" spans="2:42" x14ac:dyDescent="0.2">
      <c r="Y31" s="8" t="s">
        <v>169</v>
      </c>
      <c r="Z31" s="8" t="s">
        <v>170</v>
      </c>
      <c r="AA31" s="8" t="s">
        <v>199</v>
      </c>
      <c r="AB31" s="8" t="s">
        <v>200</v>
      </c>
      <c r="AF31" s="8" t="s">
        <v>169</v>
      </c>
      <c r="AG31" s="8" t="s">
        <v>170</v>
      </c>
      <c r="AH31" s="8" t="s">
        <v>199</v>
      </c>
      <c r="AI31" s="8" t="s">
        <v>200</v>
      </c>
      <c r="AM31" s="8" t="s">
        <v>169</v>
      </c>
      <c r="AN31" s="8" t="s">
        <v>170</v>
      </c>
      <c r="AO31" s="8" t="s">
        <v>199</v>
      </c>
      <c r="AP31" s="8" t="s">
        <v>200</v>
      </c>
    </row>
    <row r="32" spans="2:42" x14ac:dyDescent="0.2">
      <c r="X32" t="s">
        <v>171</v>
      </c>
      <c r="Y32" s="4">
        <f>U27</f>
        <v>0.17085105631259911</v>
      </c>
      <c r="Z32" s="4">
        <f>U21</f>
        <v>0.48390443226107233</v>
      </c>
      <c r="AA32" s="4">
        <f>U15</f>
        <v>0.48851734247295125</v>
      </c>
      <c r="AB32" s="4">
        <f>U9</f>
        <v>0.58146674340476168</v>
      </c>
      <c r="AD32" t="s">
        <v>204</v>
      </c>
      <c r="AE32" t="s">
        <v>174</v>
      </c>
      <c r="AF32" s="9">
        <f>AF26</f>
        <v>0.11597632274850518</v>
      </c>
      <c r="AG32" s="9">
        <f>AF20</f>
        <v>0.63047248444936532</v>
      </c>
      <c r="AH32" s="9">
        <f>AF14</f>
        <v>0.63059292421186552</v>
      </c>
      <c r="AI32" s="9">
        <f>AF8</f>
        <v>0.78615296054504846</v>
      </c>
      <c r="AK32" t="s">
        <v>168</v>
      </c>
      <c r="AL32" t="s">
        <v>174</v>
      </c>
      <c r="AM32" s="4">
        <f>AF23</f>
        <v>0.48946225261183168</v>
      </c>
      <c r="AN32" s="4">
        <f>AF17</f>
        <v>0.6546315990185434</v>
      </c>
      <c r="AO32" s="4">
        <f>AF11</f>
        <v>0.80244421794375864</v>
      </c>
      <c r="AP32" s="4">
        <f>AF5</f>
        <v>0.86644404607084713</v>
      </c>
    </row>
    <row r="33" spans="24:42" x14ac:dyDescent="0.2">
      <c r="X33" t="s">
        <v>172</v>
      </c>
      <c r="Y33" s="4">
        <f>U24</f>
        <v>0.39108825415255327</v>
      </c>
      <c r="Z33" s="4">
        <f>U18</f>
        <v>0.51589909859825156</v>
      </c>
      <c r="AA33" s="4">
        <f>U12</f>
        <v>0.57528264435399656</v>
      </c>
      <c r="AB33" s="4">
        <f>U6</f>
        <v>0.64546578710227154</v>
      </c>
      <c r="AE33" t="s">
        <v>175</v>
      </c>
      <c r="AF33" s="9">
        <f>AG26</f>
        <v>0.19398022098281723</v>
      </c>
      <c r="AG33" s="9">
        <f>AG20</f>
        <v>0.68571555601994982</v>
      </c>
      <c r="AH33" s="9">
        <f>AG14</f>
        <v>0.71291016496349624</v>
      </c>
      <c r="AI33" s="9">
        <f>AG8</f>
        <v>0.83023787270923799</v>
      </c>
      <c r="AL33" t="s">
        <v>175</v>
      </c>
      <c r="AM33" s="4">
        <f>AG23</f>
        <v>0.55447555312590235</v>
      </c>
      <c r="AN33" s="4">
        <f>AG17</f>
        <v>0.7422189735049779</v>
      </c>
      <c r="AO33" s="4">
        <f>AG11</f>
        <v>0.84453086998040428</v>
      </c>
      <c r="AP33" s="4">
        <f>AG5</f>
        <v>0.9908469962517108</v>
      </c>
    </row>
    <row r="34" spans="24:42" x14ac:dyDescent="0.2">
      <c r="Y34" s="4"/>
      <c r="Z34" s="4"/>
      <c r="AA34" s="4"/>
      <c r="AB34" s="4"/>
      <c r="AE34" t="s">
        <v>176</v>
      </c>
      <c r="AF34" s="9">
        <f>AH26</f>
        <v>0.10237824598179131</v>
      </c>
      <c r="AG34" s="9">
        <f>AH20</f>
        <v>0.13351137297923324</v>
      </c>
      <c r="AH34" s="9">
        <f>AH14</f>
        <v>0.19881210639994717</v>
      </c>
      <c r="AI34" s="9">
        <f>AH8</f>
        <v>0.19412075226372286</v>
      </c>
      <c r="AL34" t="s">
        <v>176</v>
      </c>
      <c r="AM34" s="4">
        <f>AH23</f>
        <v>-1.5791063831180934E-2</v>
      </c>
      <c r="AN34" s="4">
        <f>AH17</f>
        <v>0.18128884550780722</v>
      </c>
      <c r="AO34" s="4">
        <f>AH11</f>
        <v>0.2162295782235639</v>
      </c>
      <c r="AP34" s="4">
        <f>AH5</f>
        <v>0.12355389107471393</v>
      </c>
    </row>
    <row r="35" spans="24:42" x14ac:dyDescent="0.2">
      <c r="X35" t="s">
        <v>183</v>
      </c>
      <c r="Y35" s="4">
        <f>V27</f>
        <v>3.5559017882713984E-2</v>
      </c>
      <c r="Z35" s="4">
        <f>V21</f>
        <v>3.4347987546086339E-2</v>
      </c>
      <c r="AA35" s="4">
        <f>V15</f>
        <v>3.378476830329552E-2</v>
      </c>
      <c r="AB35" s="4">
        <f>V9</f>
        <v>2.7792241870860858E-2</v>
      </c>
      <c r="AE35" t="s">
        <v>177</v>
      </c>
      <c r="AF35" s="9">
        <f>AI26</f>
        <v>9.7671279500607014E-2</v>
      </c>
      <c r="AG35" s="9">
        <f>AI20</f>
        <v>0.11997821490569989</v>
      </c>
      <c r="AH35" s="9">
        <f>AI14</f>
        <v>0.10171230404281469</v>
      </c>
      <c r="AI35" s="9">
        <f>AI8</f>
        <v>0.14233169340240226</v>
      </c>
      <c r="AL35" t="s">
        <v>177</v>
      </c>
      <c r="AM35" s="4">
        <f>AI23</f>
        <v>8.7196849229896345E-2</v>
      </c>
      <c r="AN35" s="4">
        <f>AI17</f>
        <v>0.11106205970088896</v>
      </c>
      <c r="AO35" s="4">
        <f>AI11</f>
        <v>9.9503308022783399E-2</v>
      </c>
      <c r="AP35" s="4">
        <f>AI5</f>
        <v>0.13665308574191395</v>
      </c>
    </row>
    <row r="36" spans="24:42" x14ac:dyDescent="0.2">
      <c r="X36" t="s">
        <v>184</v>
      </c>
      <c r="Y36" s="4">
        <f>V24</f>
        <v>1.0443778362278243E-2</v>
      </c>
      <c r="Z36" s="4">
        <f>V18</f>
        <v>2.9432520947712641E-2</v>
      </c>
      <c r="AA36" s="4">
        <f>V12</f>
        <v>1.024508887907259E-2</v>
      </c>
      <c r="AB36" s="4">
        <f>V6</f>
        <v>7.0050038465512873E-2</v>
      </c>
      <c r="AE36" t="s">
        <v>178</v>
      </c>
      <c r="AF36" s="9">
        <f>AJ26</f>
        <v>0.25050330668551607</v>
      </c>
      <c r="AG36" s="9">
        <f>AJ20</f>
        <v>0.7120260717469441</v>
      </c>
      <c r="AH36" s="9">
        <f>AJ14</f>
        <v>0.52169535021387947</v>
      </c>
      <c r="AI36" s="9">
        <f>AJ8</f>
        <v>0.84610983990184885</v>
      </c>
      <c r="AL36" t="s">
        <v>178</v>
      </c>
      <c r="AM36" s="4">
        <f>AJ23</f>
        <v>0.60529646258529546</v>
      </c>
      <c r="AN36" s="4">
        <f>AJ17</f>
        <v>0.75205610149199298</v>
      </c>
      <c r="AO36" s="4">
        <f>AJ11</f>
        <v>0.83947999226690817</v>
      </c>
      <c r="AP36" s="4">
        <f>AJ5</f>
        <v>0.89312664596621694</v>
      </c>
    </row>
    <row r="37" spans="24:42" x14ac:dyDescent="0.2">
      <c r="AE37" t="s">
        <v>179</v>
      </c>
      <c r="AF37" s="9">
        <f>AK26</f>
        <v>0.22554234293833206</v>
      </c>
      <c r="AG37" s="9">
        <f>AK20</f>
        <v>0.64938664536311475</v>
      </c>
      <c r="AH37" s="9">
        <f>AK14</f>
        <v>0.66806933202075758</v>
      </c>
      <c r="AI37" s="9">
        <f>AK8</f>
        <v>0.77090194352075603</v>
      </c>
      <c r="AL37" t="s">
        <v>179</v>
      </c>
      <c r="AM37" s="4">
        <f>AK23</f>
        <v>0.54568365707138911</v>
      </c>
      <c r="AN37" s="4">
        <f>AK17</f>
        <v>0.69761222924198663</v>
      </c>
      <c r="AO37" s="4">
        <f>AK11</f>
        <v>0.77643328620229024</v>
      </c>
      <c r="AP37" s="4">
        <f>AK5</f>
        <v>0.82307649122970872</v>
      </c>
    </row>
    <row r="38" spans="24:42" x14ac:dyDescent="0.2">
      <c r="X38" t="s">
        <v>171</v>
      </c>
      <c r="Y38" s="16">
        <f>Y32*100</f>
        <v>17.085105631259911</v>
      </c>
      <c r="Z38" s="16">
        <f t="shared" ref="Z38:AB38" si="20">Z32*100</f>
        <v>48.39044322610723</v>
      </c>
      <c r="AA38" s="16">
        <f t="shared" si="20"/>
        <v>48.851734247295127</v>
      </c>
      <c r="AB38" s="16">
        <f t="shared" si="20"/>
        <v>58.146674340476167</v>
      </c>
    </row>
    <row r="39" spans="24:42" x14ac:dyDescent="0.2">
      <c r="X39" t="s">
        <v>172</v>
      </c>
      <c r="Y39" s="16">
        <f t="shared" ref="Y39:AB39" si="21">Y33*100</f>
        <v>39.108825415255325</v>
      </c>
      <c r="Z39" s="16">
        <f t="shared" si="21"/>
        <v>51.589909859825156</v>
      </c>
      <c r="AA39" s="16">
        <f t="shared" si="21"/>
        <v>57.528264435399656</v>
      </c>
      <c r="AB39" s="16">
        <f t="shared" si="21"/>
        <v>64.546578710227152</v>
      </c>
      <c r="AD39" t="s">
        <v>163</v>
      </c>
      <c r="AE39" t="s">
        <v>174</v>
      </c>
      <c r="AF39" s="4">
        <f>AF27</f>
        <v>3.5744139033417631E-2</v>
      </c>
      <c r="AG39" s="4">
        <f>AF21</f>
        <v>4.801365826408132E-2</v>
      </c>
      <c r="AH39" s="4">
        <f>AF15</f>
        <v>6.7478868262929009E-2</v>
      </c>
      <c r="AI39" s="4">
        <f>AF9</f>
        <v>7.1063231250528977E-2</v>
      </c>
      <c r="AK39" t="s">
        <v>163</v>
      </c>
      <c r="AL39" t="s">
        <v>174</v>
      </c>
      <c r="AM39" s="4">
        <f>AF24</f>
        <v>2.474285854927942E-2</v>
      </c>
      <c r="AN39" s="4">
        <f>AF18</f>
        <v>6.623732525392538E-2</v>
      </c>
      <c r="AO39" s="4">
        <f>AF12</f>
        <v>3.2788974857809378E-2</v>
      </c>
      <c r="AP39" s="4">
        <f>AF6</f>
        <v>1.178952426823626E-2</v>
      </c>
    </row>
    <row r="40" spans="24:42" x14ac:dyDescent="0.2">
      <c r="Y40" s="16"/>
      <c r="Z40" s="16"/>
      <c r="AA40" s="16"/>
      <c r="AB40" s="16"/>
      <c r="AE40" t="s">
        <v>175</v>
      </c>
      <c r="AF40" s="4">
        <f>AG27</f>
        <v>6.3795956311210489E-2</v>
      </c>
      <c r="AG40" s="4">
        <f>AG21</f>
        <v>5.7517574228055902E-2</v>
      </c>
      <c r="AH40" s="4">
        <f>AG15</f>
        <v>4.8931325135699609E-2</v>
      </c>
      <c r="AI40" s="4">
        <f>AG9</f>
        <v>4.0196218280019132E-2</v>
      </c>
      <c r="AL40" t="s">
        <v>175</v>
      </c>
      <c r="AM40" s="4">
        <f>AG24</f>
        <v>5.4029376637394757E-3</v>
      </c>
      <c r="AN40" s="4">
        <f>AG18</f>
        <v>4.2714470303149066E-2</v>
      </c>
      <c r="AO40" s="4">
        <f>AG12</f>
        <v>1.1524139129315164E-2</v>
      </c>
      <c r="AP40" s="4">
        <f>AG6</f>
        <v>0.23039925238992143</v>
      </c>
    </row>
    <row r="41" spans="24:42" x14ac:dyDescent="0.2">
      <c r="X41" t="s">
        <v>183</v>
      </c>
      <c r="Y41" s="16">
        <f>Y35*100</f>
        <v>3.5559017882713984</v>
      </c>
      <c r="Z41" s="16">
        <f t="shared" ref="Z41:AB41" si="22">Z35*100</f>
        <v>3.434798754608634</v>
      </c>
      <c r="AA41" s="16">
        <f t="shared" si="22"/>
        <v>3.3784768303295518</v>
      </c>
      <c r="AB41" s="16">
        <f t="shared" si="22"/>
        <v>2.7792241870860859</v>
      </c>
      <c r="AE41" t="s">
        <v>176</v>
      </c>
      <c r="AF41" s="4">
        <f>AH27</f>
        <v>5.0386815715106274E-2</v>
      </c>
      <c r="AG41" s="4">
        <f>AH21</f>
        <v>9.8646392073332687E-2</v>
      </c>
      <c r="AH41" s="4">
        <f>AH15</f>
        <v>5.3747106537453135E-3</v>
      </c>
      <c r="AI41" s="4">
        <f>AH9</f>
        <v>7.3797787756557792E-2</v>
      </c>
      <c r="AL41" t="s">
        <v>176</v>
      </c>
      <c r="AM41" s="4">
        <f>AH24</f>
        <v>0.32057501201067601</v>
      </c>
      <c r="AN41" s="4">
        <f>AH18</f>
        <v>2.53733382822189E-2</v>
      </c>
      <c r="AO41" s="4">
        <f>AH12</f>
        <v>3.4479926309987717E-2</v>
      </c>
      <c r="AP41" s="4">
        <f>AH6</f>
        <v>8.9905174495645876E-2</v>
      </c>
    </row>
    <row r="42" spans="24:42" x14ac:dyDescent="0.2">
      <c r="X42" t="s">
        <v>184</v>
      </c>
      <c r="Y42" s="16">
        <f t="shared" ref="Y42:AB42" si="23">Y36*100</f>
        <v>1.0443778362278242</v>
      </c>
      <c r="Z42" s="16">
        <f t="shared" si="23"/>
        <v>2.9432520947712639</v>
      </c>
      <c r="AA42" s="16">
        <f t="shared" si="23"/>
        <v>1.024508887907259</v>
      </c>
      <c r="AB42" s="16">
        <f t="shared" si="23"/>
        <v>7.0050038465512872</v>
      </c>
      <c r="AE42" t="s">
        <v>177</v>
      </c>
      <c r="AF42" s="4">
        <f>AI27</f>
        <v>1.222476496256435E-2</v>
      </c>
      <c r="AG42" s="4">
        <f>AI21</f>
        <v>9.1302450366864303E-3</v>
      </c>
      <c r="AH42" s="4">
        <f>AI15</f>
        <v>3.7618258984144361E-3</v>
      </c>
      <c r="AI42" s="4">
        <f>AI9</f>
        <v>7.1922654179263834E-3</v>
      </c>
      <c r="AL42" t="s">
        <v>177</v>
      </c>
      <c r="AM42" s="4">
        <f>AI24</f>
        <v>1.5435162489306636E-2</v>
      </c>
      <c r="AN42" s="4">
        <f>AI18</f>
        <v>2.4757012647940993E-3</v>
      </c>
      <c r="AO42" s="4">
        <f>AI12</f>
        <v>1.7830318693547932E-2</v>
      </c>
      <c r="AP42" s="4">
        <f>AI6</f>
        <v>7.1297689443374892E-3</v>
      </c>
    </row>
    <row r="43" spans="24:42" x14ac:dyDescent="0.2">
      <c r="AE43" t="s">
        <v>178</v>
      </c>
      <c r="AF43" s="4">
        <f>AJ27</f>
        <v>4.0626190809693444E-2</v>
      </c>
      <c r="AG43" s="4">
        <f>AJ21</f>
        <v>6.7835691288612582E-2</v>
      </c>
      <c r="AH43" s="4">
        <f>AJ15</f>
        <v>0.27545363410176271</v>
      </c>
      <c r="AI43" s="4">
        <f>AJ9</f>
        <v>4.06609008080916E-2</v>
      </c>
      <c r="AL43" t="s">
        <v>178</v>
      </c>
      <c r="AM43" s="4">
        <f>AJ24</f>
        <v>1.7248450638949957E-2</v>
      </c>
      <c r="AN43" s="4">
        <f>AJ18</f>
        <v>5.6681839460377408E-2</v>
      </c>
      <c r="AO43" s="4">
        <f>AJ12</f>
        <v>3.1533160704976242E-2</v>
      </c>
      <c r="AP43" s="4">
        <f>AJ6</f>
        <v>2.8779564873713352E-2</v>
      </c>
    </row>
    <row r="44" spans="24:42" x14ac:dyDescent="0.2">
      <c r="AE44" t="s">
        <v>179</v>
      </c>
      <c r="AF44" s="4">
        <f>AK27</f>
        <v>3.5077972641405573E-2</v>
      </c>
      <c r="AG44" s="4">
        <f>AK21</f>
        <v>5.639821345736095E-2</v>
      </c>
      <c r="AH44" s="4">
        <f>AK15</f>
        <v>4.2495257342679026E-2</v>
      </c>
      <c r="AI44" s="4">
        <f>AK9</f>
        <v>3.6571190262764938E-2</v>
      </c>
      <c r="AL44" t="s">
        <v>179</v>
      </c>
      <c r="AM44" s="4">
        <f>AK24</f>
        <v>1.3878925414671364E-2</v>
      </c>
      <c r="AN44" s="4">
        <f>AK18</f>
        <v>4.4526474411957097E-2</v>
      </c>
      <c r="AO44" s="4">
        <f>AK12</f>
        <v>1.7616101032326015E-3</v>
      </c>
      <c r="AP44" s="4">
        <f>AK6</f>
        <v>3.3647741461689069E-3</v>
      </c>
    </row>
    <row r="46" spans="24:42" x14ac:dyDescent="0.2">
      <c r="AD46" t="s">
        <v>161</v>
      </c>
      <c r="AE46" t="s">
        <v>174</v>
      </c>
      <c r="AF46" s="16">
        <f>AF32*100</f>
        <v>11.597632274850518</v>
      </c>
      <c r="AG46" s="16">
        <f t="shared" ref="AF46:AI51" si="24">AG32*100</f>
        <v>63.047248444936535</v>
      </c>
      <c r="AH46" s="16">
        <f t="shared" si="24"/>
        <v>63.059292421186555</v>
      </c>
      <c r="AI46" s="16">
        <f t="shared" si="24"/>
        <v>78.615296054504853</v>
      </c>
      <c r="AK46" t="s">
        <v>168</v>
      </c>
      <c r="AL46" t="s">
        <v>174</v>
      </c>
      <c r="AM46" s="16">
        <f t="shared" ref="AM46:AP51" si="25">AM32*100</f>
        <v>48.946225261183166</v>
      </c>
      <c r="AN46" s="16">
        <f t="shared" si="25"/>
        <v>65.46315990185434</v>
      </c>
      <c r="AO46" s="16">
        <f t="shared" si="25"/>
        <v>80.244421794375867</v>
      </c>
      <c r="AP46" s="16">
        <f t="shared" si="25"/>
        <v>86.644404607084709</v>
      </c>
    </row>
    <row r="47" spans="24:42" x14ac:dyDescent="0.2">
      <c r="AE47" t="s">
        <v>175</v>
      </c>
      <c r="AF47" s="16">
        <f t="shared" si="24"/>
        <v>19.398022098281722</v>
      </c>
      <c r="AG47" s="16">
        <f t="shared" si="24"/>
        <v>68.571555601994987</v>
      </c>
      <c r="AH47" s="16">
        <f t="shared" si="24"/>
        <v>71.291016496349627</v>
      </c>
      <c r="AI47" s="16">
        <f t="shared" si="24"/>
        <v>83.023787270923805</v>
      </c>
      <c r="AL47" t="s">
        <v>175</v>
      </c>
      <c r="AM47" s="16">
        <f t="shared" si="25"/>
        <v>55.447555312590232</v>
      </c>
      <c r="AN47" s="16">
        <f t="shared" si="25"/>
        <v>74.221897350497784</v>
      </c>
      <c r="AO47" s="16">
        <f t="shared" si="25"/>
        <v>84.453086998040433</v>
      </c>
      <c r="AP47" s="16">
        <f t="shared" si="25"/>
        <v>99.084699625171083</v>
      </c>
    </row>
    <row r="48" spans="24:42" x14ac:dyDescent="0.2">
      <c r="AE48" t="s">
        <v>176</v>
      </c>
      <c r="AF48" s="16">
        <f t="shared" si="24"/>
        <v>10.237824598179131</v>
      </c>
      <c r="AG48" s="16">
        <f t="shared" si="24"/>
        <v>13.351137297923325</v>
      </c>
      <c r="AH48" s="16">
        <f t="shared" si="24"/>
        <v>19.881210639994716</v>
      </c>
      <c r="AI48" s="16">
        <f t="shared" si="24"/>
        <v>19.412075226372284</v>
      </c>
      <c r="AL48" t="s">
        <v>176</v>
      </c>
      <c r="AM48" s="16">
        <f t="shared" si="25"/>
        <v>-1.5791063831180934</v>
      </c>
      <c r="AN48" s="16">
        <f t="shared" si="25"/>
        <v>18.128884550780722</v>
      </c>
      <c r="AO48" s="16">
        <f t="shared" si="25"/>
        <v>21.622957822356391</v>
      </c>
      <c r="AP48" s="16">
        <f t="shared" si="25"/>
        <v>12.355389107471392</v>
      </c>
    </row>
    <row r="49" spans="30:42" x14ac:dyDescent="0.2">
      <c r="AE49" t="s">
        <v>177</v>
      </c>
      <c r="AF49" s="16">
        <f t="shared" si="24"/>
        <v>9.7671279500607007</v>
      </c>
      <c r="AG49" s="16">
        <f t="shared" si="24"/>
        <v>11.997821490569988</v>
      </c>
      <c r="AH49" s="16">
        <f t="shared" si="24"/>
        <v>10.171230404281468</v>
      </c>
      <c r="AI49" s="16">
        <f t="shared" si="24"/>
        <v>14.233169340240226</v>
      </c>
      <c r="AL49" t="s">
        <v>177</v>
      </c>
      <c r="AM49" s="16">
        <f t="shared" si="25"/>
        <v>8.719684922989634</v>
      </c>
      <c r="AN49" s="16">
        <f t="shared" si="25"/>
        <v>11.106205970088896</v>
      </c>
      <c r="AO49" s="16">
        <f t="shared" si="25"/>
        <v>9.9503308022783408</v>
      </c>
      <c r="AP49" s="16">
        <f t="shared" si="25"/>
        <v>13.665308574191396</v>
      </c>
    </row>
    <row r="50" spans="30:42" x14ac:dyDescent="0.2">
      <c r="AE50" t="s">
        <v>178</v>
      </c>
      <c r="AF50" s="16">
        <f t="shared" si="24"/>
        <v>25.050330668551606</v>
      </c>
      <c r="AG50" s="16">
        <f t="shared" si="24"/>
        <v>71.202607174694407</v>
      </c>
      <c r="AH50" s="16">
        <f t="shared" si="24"/>
        <v>52.169535021387944</v>
      </c>
      <c r="AI50" s="16">
        <f t="shared" si="24"/>
        <v>84.610983990184891</v>
      </c>
      <c r="AL50" t="s">
        <v>178</v>
      </c>
      <c r="AM50" s="16">
        <f t="shared" si="25"/>
        <v>60.529646258529546</v>
      </c>
      <c r="AN50" s="16">
        <f t="shared" si="25"/>
        <v>75.205610149199302</v>
      </c>
      <c r="AO50" s="16">
        <f t="shared" si="25"/>
        <v>83.947999226690811</v>
      </c>
      <c r="AP50" s="16">
        <f t="shared" si="25"/>
        <v>89.312664596621687</v>
      </c>
    </row>
    <row r="51" spans="30:42" x14ac:dyDescent="0.2">
      <c r="AE51" t="s">
        <v>179</v>
      </c>
      <c r="AF51" s="16">
        <f t="shared" si="24"/>
        <v>22.554234293833204</v>
      </c>
      <c r="AG51" s="16">
        <f t="shared" si="24"/>
        <v>64.938664536311478</v>
      </c>
      <c r="AH51" s="16">
        <f t="shared" si="24"/>
        <v>66.806933202075754</v>
      </c>
      <c r="AI51" s="16">
        <f t="shared" si="24"/>
        <v>77.090194352075599</v>
      </c>
      <c r="AL51" t="s">
        <v>179</v>
      </c>
      <c r="AM51" s="16">
        <f t="shared" si="25"/>
        <v>54.568365707138909</v>
      </c>
      <c r="AN51" s="16">
        <f t="shared" si="25"/>
        <v>69.761222924198663</v>
      </c>
      <c r="AO51" s="16">
        <f t="shared" si="25"/>
        <v>77.643328620229028</v>
      </c>
      <c r="AP51" s="16">
        <f t="shared" si="25"/>
        <v>82.307649122970872</v>
      </c>
    </row>
    <row r="52" spans="30:42" x14ac:dyDescent="0.2">
      <c r="AF52" s="16"/>
      <c r="AG52" s="16"/>
      <c r="AH52" s="16"/>
      <c r="AI52" s="16"/>
      <c r="AM52" s="16"/>
      <c r="AN52" s="16"/>
      <c r="AO52" s="16"/>
      <c r="AP52" s="16"/>
    </row>
    <row r="53" spans="30:42" x14ac:dyDescent="0.2">
      <c r="AD53" t="s">
        <v>163</v>
      </c>
      <c r="AE53" t="s">
        <v>174</v>
      </c>
      <c r="AF53" s="16">
        <f t="shared" ref="AF53:AI58" si="26">AF39*100</f>
        <v>3.574413903341763</v>
      </c>
      <c r="AG53" s="16">
        <f t="shared" si="26"/>
        <v>4.8013658264081318</v>
      </c>
      <c r="AH53" s="16">
        <f t="shared" si="26"/>
        <v>6.747886826292901</v>
      </c>
      <c r="AI53" s="16">
        <f t="shared" si="26"/>
        <v>7.1063231250528975</v>
      </c>
      <c r="AK53" t="s">
        <v>163</v>
      </c>
      <c r="AL53" t="s">
        <v>174</v>
      </c>
      <c r="AM53" s="16">
        <f t="shared" ref="AM53:AP58" si="27">AM39*100</f>
        <v>2.4742858549279418</v>
      </c>
      <c r="AN53" s="16">
        <f t="shared" si="27"/>
        <v>6.6237325253925379</v>
      </c>
      <c r="AO53" s="16">
        <f t="shared" si="27"/>
        <v>3.2788974857809379</v>
      </c>
      <c r="AP53" s="16">
        <f t="shared" si="27"/>
        <v>1.178952426823626</v>
      </c>
    </row>
    <row r="54" spans="30:42" x14ac:dyDescent="0.2">
      <c r="AE54" t="s">
        <v>175</v>
      </c>
      <c r="AF54" s="16">
        <f t="shared" si="26"/>
        <v>6.3795956311210489</v>
      </c>
      <c r="AG54" s="16">
        <f t="shared" si="26"/>
        <v>5.7517574228055901</v>
      </c>
      <c r="AH54" s="16">
        <f t="shared" si="26"/>
        <v>4.8931325135699613</v>
      </c>
      <c r="AI54" s="16">
        <f t="shared" si="26"/>
        <v>4.0196218280019131</v>
      </c>
      <c r="AL54" t="s">
        <v>175</v>
      </c>
      <c r="AM54" s="16">
        <f t="shared" si="27"/>
        <v>0.54029376637394755</v>
      </c>
      <c r="AN54" s="16">
        <f t="shared" si="27"/>
        <v>4.2714470303149064</v>
      </c>
      <c r="AO54" s="16">
        <f t="shared" si="27"/>
        <v>1.1524139129315163</v>
      </c>
      <c r="AP54" s="16">
        <f t="shared" si="27"/>
        <v>23.039925238992144</v>
      </c>
    </row>
    <row r="55" spans="30:42" x14ac:dyDescent="0.2">
      <c r="AE55" t="s">
        <v>176</v>
      </c>
      <c r="AF55" s="16">
        <f t="shared" si="26"/>
        <v>5.0386815715106277</v>
      </c>
      <c r="AG55" s="16">
        <f t="shared" si="26"/>
        <v>9.8646392073332692</v>
      </c>
      <c r="AH55" s="16">
        <f t="shared" si="26"/>
        <v>0.53747106537453138</v>
      </c>
      <c r="AI55" s="16">
        <f t="shared" si="26"/>
        <v>7.3797787756557796</v>
      </c>
      <c r="AL55" t="s">
        <v>176</v>
      </c>
      <c r="AM55" s="16">
        <f t="shared" si="27"/>
        <v>32.057501201067602</v>
      </c>
      <c r="AN55" s="16">
        <f t="shared" si="27"/>
        <v>2.53733382822189</v>
      </c>
      <c r="AO55" s="16">
        <f t="shared" si="27"/>
        <v>3.4479926309987716</v>
      </c>
      <c r="AP55" s="16">
        <f t="shared" si="27"/>
        <v>8.990517449564587</v>
      </c>
    </row>
    <row r="56" spans="30:42" x14ac:dyDescent="0.2">
      <c r="AE56" t="s">
        <v>177</v>
      </c>
      <c r="AF56" s="16">
        <f t="shared" si="26"/>
        <v>1.222476496256435</v>
      </c>
      <c r="AG56" s="16">
        <f t="shared" si="26"/>
        <v>0.91302450366864307</v>
      </c>
      <c r="AH56" s="16">
        <f t="shared" si="26"/>
        <v>0.37618258984144359</v>
      </c>
      <c r="AI56" s="16">
        <f t="shared" si="26"/>
        <v>0.71922654179263834</v>
      </c>
      <c r="AL56" t="s">
        <v>177</v>
      </c>
      <c r="AM56" s="16">
        <f t="shared" si="27"/>
        <v>1.5435162489306635</v>
      </c>
      <c r="AN56" s="16">
        <f t="shared" si="27"/>
        <v>0.24757012647940993</v>
      </c>
      <c r="AO56" s="16">
        <f t="shared" si="27"/>
        <v>1.7830318693547933</v>
      </c>
      <c r="AP56" s="16">
        <f t="shared" si="27"/>
        <v>0.7129768944337489</v>
      </c>
    </row>
    <row r="57" spans="30:42" x14ac:dyDescent="0.2">
      <c r="AE57" t="s">
        <v>178</v>
      </c>
      <c r="AF57" s="16">
        <f t="shared" si="26"/>
        <v>4.0626190809693448</v>
      </c>
      <c r="AG57" s="16">
        <f t="shared" si="26"/>
        <v>6.7835691288612585</v>
      </c>
      <c r="AH57" s="16">
        <f t="shared" si="26"/>
        <v>27.545363410176272</v>
      </c>
      <c r="AI57" s="16">
        <f t="shared" si="26"/>
        <v>4.0660900808091602</v>
      </c>
      <c r="AL57" t="s">
        <v>178</v>
      </c>
      <c r="AM57" s="16">
        <f t="shared" si="27"/>
        <v>1.7248450638949957</v>
      </c>
      <c r="AN57" s="16">
        <f t="shared" si="27"/>
        <v>5.6681839460377406</v>
      </c>
      <c r="AO57" s="16">
        <f t="shared" si="27"/>
        <v>3.153316070497624</v>
      </c>
      <c r="AP57" s="16">
        <f t="shared" si="27"/>
        <v>2.877956487371335</v>
      </c>
    </row>
    <row r="58" spans="30:42" x14ac:dyDescent="0.2">
      <c r="AE58" t="s">
        <v>179</v>
      </c>
      <c r="AF58" s="16">
        <f t="shared" si="26"/>
        <v>3.5077972641405575</v>
      </c>
      <c r="AG58" s="16">
        <f t="shared" si="26"/>
        <v>5.6398213457360953</v>
      </c>
      <c r="AH58" s="16">
        <f t="shared" si="26"/>
        <v>4.2495257342679027</v>
      </c>
      <c r="AI58" s="16">
        <f t="shared" si="26"/>
        <v>3.6571190262764937</v>
      </c>
      <c r="AL58" t="s">
        <v>179</v>
      </c>
      <c r="AM58" s="16">
        <f t="shared" si="27"/>
        <v>1.3878925414671364</v>
      </c>
      <c r="AN58" s="16">
        <f t="shared" si="27"/>
        <v>4.45264744119571</v>
      </c>
      <c r="AO58" s="16">
        <f t="shared" si="27"/>
        <v>0.17616101032326015</v>
      </c>
      <c r="AP58" s="16">
        <f t="shared" si="27"/>
        <v>0.33647741461689068</v>
      </c>
    </row>
  </sheetData>
  <mergeCells count="8">
    <mergeCell ref="B10:B12"/>
    <mergeCell ref="B7:B9"/>
    <mergeCell ref="B4:B6"/>
    <mergeCell ref="B25:B27"/>
    <mergeCell ref="B22:B24"/>
    <mergeCell ref="B19:B21"/>
    <mergeCell ref="B16:B18"/>
    <mergeCell ref="B13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C64C-ADCC-AE40-BE7A-5452C3E8DE0B}">
  <dimension ref="B1:G26"/>
  <sheetViews>
    <sheetView workbookViewId="0">
      <selection activeCell="J9" sqref="J9"/>
    </sheetView>
  </sheetViews>
  <sheetFormatPr baseColWidth="10" defaultRowHeight="16" x14ac:dyDescent="0.2"/>
  <sheetData>
    <row r="1" spans="2:7" x14ac:dyDescent="0.2">
      <c r="D1" t="s">
        <v>218</v>
      </c>
    </row>
    <row r="2" spans="2:7" x14ac:dyDescent="0.2">
      <c r="D2" t="s">
        <v>212</v>
      </c>
      <c r="E2" t="s">
        <v>173</v>
      </c>
      <c r="F2" t="s">
        <v>213</v>
      </c>
      <c r="G2" t="s">
        <v>157</v>
      </c>
    </row>
    <row r="3" spans="2:7" x14ac:dyDescent="0.2">
      <c r="B3" s="22" t="s">
        <v>0</v>
      </c>
      <c r="C3" s="22"/>
      <c r="D3" s="8">
        <v>12.774800000000001</v>
      </c>
      <c r="E3" s="8">
        <v>22.699200000000001</v>
      </c>
      <c r="F3" s="8">
        <v>25.541599999999999</v>
      </c>
      <c r="G3" s="8">
        <f>(E3-D3)/(F3-D3)</f>
        <v>0.77736002757151379</v>
      </c>
    </row>
    <row r="4" spans="2:7" x14ac:dyDescent="0.2">
      <c r="B4" s="23" t="s">
        <v>1</v>
      </c>
      <c r="C4" s="23"/>
      <c r="D4">
        <v>12.7235</v>
      </c>
      <c r="E4">
        <v>22.642099999999999</v>
      </c>
      <c r="F4">
        <v>25.502500000000001</v>
      </c>
      <c r="G4">
        <f t="shared" ref="G4:G26" si="0">(E4-D4)/(F4-D4)</f>
        <v>0.77616401909382571</v>
      </c>
    </row>
    <row r="5" spans="2:7" x14ac:dyDescent="0.2">
      <c r="B5" s="21" t="s">
        <v>2</v>
      </c>
      <c r="C5" s="21"/>
      <c r="D5" s="6">
        <v>13.075699999999999</v>
      </c>
      <c r="E5" s="6">
        <v>23.043299999999999</v>
      </c>
      <c r="F5" s="6">
        <v>25.831399999999999</v>
      </c>
      <c r="G5" s="6">
        <f t="shared" si="0"/>
        <v>0.78142320688006139</v>
      </c>
    </row>
    <row r="6" spans="2:7" x14ac:dyDescent="0.2">
      <c r="B6" s="22" t="s">
        <v>3</v>
      </c>
      <c r="C6" s="22"/>
      <c r="D6" s="8">
        <v>13.0192</v>
      </c>
      <c r="E6" s="8">
        <v>22.959199999999999</v>
      </c>
      <c r="F6" s="8">
        <v>25.7377</v>
      </c>
      <c r="G6" s="8">
        <f t="shared" si="0"/>
        <v>0.78153870346345866</v>
      </c>
    </row>
    <row r="7" spans="2:7" x14ac:dyDescent="0.2">
      <c r="B7" s="23" t="s">
        <v>4</v>
      </c>
      <c r="C7" s="23"/>
      <c r="D7">
        <v>12.9183</v>
      </c>
      <c r="E7">
        <v>22.8354</v>
      </c>
      <c r="F7">
        <v>25.6386</v>
      </c>
      <c r="G7">
        <f t="shared" si="0"/>
        <v>0.77962783896606214</v>
      </c>
    </row>
    <row r="8" spans="2:7" x14ac:dyDescent="0.2">
      <c r="B8" s="21" t="s">
        <v>5</v>
      </c>
      <c r="C8" s="21"/>
      <c r="D8" s="6">
        <v>12.805300000000001</v>
      </c>
      <c r="E8" s="6">
        <v>22.721399999999999</v>
      </c>
      <c r="F8" s="6">
        <v>25.5321</v>
      </c>
      <c r="G8" s="6">
        <f t="shared" si="0"/>
        <v>0.77915108275450229</v>
      </c>
    </row>
    <row r="9" spans="2:7" x14ac:dyDescent="0.2">
      <c r="B9" s="22" t="s">
        <v>6</v>
      </c>
      <c r="C9" s="22"/>
      <c r="D9" s="8">
        <v>12.7553</v>
      </c>
      <c r="E9" s="8">
        <v>22.724299999999999</v>
      </c>
      <c r="F9" s="8">
        <v>25.4041</v>
      </c>
      <c r="G9" s="8">
        <f t="shared" si="0"/>
        <v>0.78813800518626276</v>
      </c>
    </row>
    <row r="10" spans="2:7" x14ac:dyDescent="0.2">
      <c r="B10" s="23" t="s">
        <v>7</v>
      </c>
      <c r="C10" s="23"/>
      <c r="D10">
        <v>12.727</v>
      </c>
      <c r="E10">
        <v>22.695699999999999</v>
      </c>
      <c r="F10">
        <v>25.373200000000001</v>
      </c>
      <c r="G10">
        <f t="shared" si="0"/>
        <v>0.78827632015941529</v>
      </c>
    </row>
    <row r="11" spans="2:7" x14ac:dyDescent="0.2">
      <c r="B11" s="21" t="s">
        <v>8</v>
      </c>
      <c r="C11" s="21"/>
      <c r="D11" s="6">
        <v>12.7438</v>
      </c>
      <c r="E11" s="6">
        <v>22.744800000000001</v>
      </c>
      <c r="F11" s="6">
        <v>25.366</v>
      </c>
      <c r="G11" s="6">
        <f t="shared" si="0"/>
        <v>0.79233414143334768</v>
      </c>
    </row>
    <row r="12" spans="2:7" x14ac:dyDescent="0.2">
      <c r="B12" s="22" t="s">
        <v>9</v>
      </c>
      <c r="C12" s="22"/>
      <c r="D12" s="8">
        <v>12.6653</v>
      </c>
      <c r="E12" s="8">
        <v>22.651800000000001</v>
      </c>
      <c r="F12" s="8">
        <v>25.305700000000002</v>
      </c>
      <c r="G12" s="8">
        <f t="shared" si="0"/>
        <v>0.79004620106958645</v>
      </c>
    </row>
    <row r="13" spans="2:7" x14ac:dyDescent="0.2">
      <c r="B13" s="23" t="s">
        <v>10</v>
      </c>
      <c r="C13" s="23"/>
      <c r="D13">
        <v>12.725</v>
      </c>
      <c r="E13">
        <v>22.696300000000001</v>
      </c>
      <c r="F13">
        <v>25.346599999999999</v>
      </c>
      <c r="G13">
        <f t="shared" si="0"/>
        <v>0.79001869810483627</v>
      </c>
    </row>
    <row r="14" spans="2:7" x14ac:dyDescent="0.2">
      <c r="B14" s="21" t="s">
        <v>11</v>
      </c>
      <c r="C14" s="21"/>
      <c r="D14" s="6">
        <v>12.9651</v>
      </c>
      <c r="E14" s="6">
        <v>22.957899999999999</v>
      </c>
      <c r="F14" s="6">
        <v>25.6371</v>
      </c>
      <c r="G14" s="6">
        <f t="shared" si="0"/>
        <v>0.78857323232323218</v>
      </c>
    </row>
    <row r="15" spans="2:7" x14ac:dyDescent="0.2">
      <c r="B15" s="22" t="s">
        <v>12</v>
      </c>
      <c r="C15" s="22"/>
      <c r="D15" s="8">
        <v>12.8453</v>
      </c>
      <c r="E15" s="8">
        <v>22.781400000000001</v>
      </c>
      <c r="F15" s="8">
        <v>25.426100000000002</v>
      </c>
      <c r="G15" s="8">
        <f t="shared" si="0"/>
        <v>0.78978284369833396</v>
      </c>
    </row>
    <row r="16" spans="2:7" x14ac:dyDescent="0.2">
      <c r="B16" s="23" t="s">
        <v>13</v>
      </c>
      <c r="C16" s="23"/>
      <c r="D16">
        <v>13.045199999999999</v>
      </c>
      <c r="E16">
        <v>23.014299999999999</v>
      </c>
      <c r="F16">
        <v>25.651800000000001</v>
      </c>
      <c r="G16">
        <f t="shared" si="0"/>
        <v>0.79078419240715159</v>
      </c>
    </row>
    <row r="17" spans="2:7" x14ac:dyDescent="0.2">
      <c r="B17" s="21" t="s">
        <v>14</v>
      </c>
      <c r="C17" s="21"/>
      <c r="D17" s="6">
        <v>13.0236</v>
      </c>
      <c r="E17" s="6">
        <v>22.9969</v>
      </c>
      <c r="F17" s="6">
        <v>25.683199999999999</v>
      </c>
      <c r="G17" s="6">
        <f t="shared" si="0"/>
        <v>0.78780530190527354</v>
      </c>
    </row>
    <row r="18" spans="2:7" x14ac:dyDescent="0.2">
      <c r="B18" s="22" t="s">
        <v>15</v>
      </c>
      <c r="C18" s="22"/>
      <c r="D18">
        <v>13.1335</v>
      </c>
      <c r="E18">
        <v>23.074999999999999</v>
      </c>
      <c r="F18">
        <v>25.705500000000001</v>
      </c>
      <c r="G18">
        <f t="shared" si="0"/>
        <v>0.79076519249125032</v>
      </c>
    </row>
    <row r="19" spans="2:7" x14ac:dyDescent="0.2">
      <c r="B19" s="23" t="s">
        <v>16</v>
      </c>
      <c r="C19" s="23"/>
      <c r="D19">
        <v>12.7936</v>
      </c>
      <c r="E19">
        <v>22.677399999999999</v>
      </c>
      <c r="F19">
        <v>25.311900000000001</v>
      </c>
      <c r="G19">
        <f t="shared" si="0"/>
        <v>0.78954810157928779</v>
      </c>
    </row>
    <row r="20" spans="2:7" x14ac:dyDescent="0.2">
      <c r="B20" s="21" t="s">
        <v>17</v>
      </c>
      <c r="C20" s="21"/>
      <c r="D20">
        <v>12.803599999999999</v>
      </c>
      <c r="E20">
        <v>22.767800000000001</v>
      </c>
      <c r="F20">
        <v>25.466200000000001</v>
      </c>
      <c r="G20">
        <f t="shared" si="0"/>
        <v>0.78690000473836341</v>
      </c>
    </row>
    <row r="21" spans="2:7" x14ac:dyDescent="0.2">
      <c r="B21" s="22" t="s">
        <v>18</v>
      </c>
      <c r="C21" s="22"/>
      <c r="D21" s="8">
        <v>12.936400000000001</v>
      </c>
      <c r="E21" s="8">
        <v>22.607199999999999</v>
      </c>
      <c r="F21" s="8">
        <v>25.4422</v>
      </c>
      <c r="G21" s="8">
        <f t="shared" si="0"/>
        <v>0.77330518639351331</v>
      </c>
    </row>
    <row r="22" spans="2:7" x14ac:dyDescent="0.2">
      <c r="B22" s="23" t="s">
        <v>19</v>
      </c>
      <c r="C22" s="23"/>
      <c r="D22">
        <v>12.9573</v>
      </c>
      <c r="E22">
        <v>22.904699999999998</v>
      </c>
      <c r="F22">
        <v>25.733899999999998</v>
      </c>
      <c r="G22">
        <f t="shared" si="0"/>
        <v>0.77856393719768946</v>
      </c>
    </row>
    <row r="23" spans="2:7" x14ac:dyDescent="0.2">
      <c r="B23" s="21" t="s">
        <v>20</v>
      </c>
      <c r="C23" s="21"/>
      <c r="D23" s="6">
        <v>12.8642</v>
      </c>
      <c r="E23" s="6">
        <v>22.811599999999999</v>
      </c>
      <c r="F23" s="6">
        <v>25.587499999999999</v>
      </c>
      <c r="G23" s="6">
        <f t="shared" si="0"/>
        <v>0.78182546980736123</v>
      </c>
    </row>
    <row r="24" spans="2:7" x14ac:dyDescent="0.2">
      <c r="B24" s="22" t="s">
        <v>21</v>
      </c>
      <c r="C24" s="22"/>
      <c r="D24" s="8">
        <v>12.940300000000001</v>
      </c>
      <c r="E24" s="8">
        <v>22.881399999999999</v>
      </c>
      <c r="F24" s="8">
        <v>25.7117</v>
      </c>
      <c r="G24" s="8">
        <f t="shared" si="0"/>
        <v>0.77838764739965849</v>
      </c>
    </row>
    <row r="25" spans="2:7" x14ac:dyDescent="0.2">
      <c r="B25" s="23" t="s">
        <v>22</v>
      </c>
      <c r="C25" s="23"/>
      <c r="D25">
        <v>13.0931</v>
      </c>
      <c r="E25">
        <v>23.055</v>
      </c>
      <c r="F25">
        <v>25.878299999999999</v>
      </c>
      <c r="G25">
        <f t="shared" si="0"/>
        <v>0.77917435785126554</v>
      </c>
    </row>
    <row r="26" spans="2:7" x14ac:dyDescent="0.2">
      <c r="B26" s="21" t="s">
        <v>23</v>
      </c>
      <c r="C26" s="21"/>
      <c r="D26" s="6">
        <v>13.0649</v>
      </c>
      <c r="E26" s="6">
        <v>23.036799999999999</v>
      </c>
      <c r="F26" s="6">
        <v>25.8916</v>
      </c>
      <c r="G26" s="6">
        <f t="shared" si="0"/>
        <v>0.77743301082897387</v>
      </c>
    </row>
  </sheetData>
  <mergeCells count="24"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A87C-E4D2-9747-9221-F196019D1852}">
  <dimension ref="A2:L73"/>
  <sheetViews>
    <sheetView topLeftCell="H42" zoomScale="300" zoomScaleNormal="300" workbookViewId="0">
      <selection activeCell="M55" sqref="M55"/>
    </sheetView>
  </sheetViews>
  <sheetFormatPr baseColWidth="10" defaultRowHeight="16" x14ac:dyDescent="0.2"/>
  <sheetData>
    <row r="2" spans="1:12" x14ac:dyDescent="0.2">
      <c r="C2" t="s">
        <v>186</v>
      </c>
      <c r="D2" t="s">
        <v>193</v>
      </c>
      <c r="E2" t="s">
        <v>194</v>
      </c>
      <c r="F2" t="s">
        <v>195</v>
      </c>
      <c r="G2" t="s">
        <v>201</v>
      </c>
      <c r="H2" t="s">
        <v>202</v>
      </c>
      <c r="I2" t="s">
        <v>203</v>
      </c>
    </row>
    <row r="3" spans="1:12" x14ac:dyDescent="0.2">
      <c r="A3" t="s">
        <v>187</v>
      </c>
      <c r="B3" t="s">
        <v>169</v>
      </c>
      <c r="C3">
        <v>62.5</v>
      </c>
      <c r="D3">
        <v>69.3</v>
      </c>
      <c r="E3">
        <f>(1-(D3/C3))*100</f>
        <v>-10.88</v>
      </c>
      <c r="F3">
        <v>13.729098187934149</v>
      </c>
      <c r="G3">
        <v>3.5559017882714001</v>
      </c>
      <c r="H3">
        <v>2.2241935700466842</v>
      </c>
      <c r="I3">
        <f>H3/C3*100</f>
        <v>3.5587097120746947</v>
      </c>
    </row>
    <row r="4" spans="1:12" x14ac:dyDescent="0.2">
      <c r="B4" t="s">
        <v>196</v>
      </c>
      <c r="C4">
        <v>62.5</v>
      </c>
      <c r="D4">
        <v>31.8</v>
      </c>
      <c r="E4">
        <f t="shared" ref="E4:E10" si="0">(1-(D4/C4))*100</f>
        <v>49.12</v>
      </c>
      <c r="F4">
        <v>39.406543796195997</v>
      </c>
      <c r="G4">
        <v>3.434798754608634</v>
      </c>
      <c r="H4">
        <v>3.6375103410824123</v>
      </c>
      <c r="I4">
        <f t="shared" ref="I4:I10" si="1">H4/C4*100</f>
        <v>5.8200165457318596</v>
      </c>
    </row>
    <row r="5" spans="1:12" x14ac:dyDescent="0.2">
      <c r="B5" t="s">
        <v>197</v>
      </c>
      <c r="C5">
        <v>62.5</v>
      </c>
      <c r="D5">
        <v>8.6</v>
      </c>
      <c r="E5">
        <f t="shared" si="0"/>
        <v>86.240000000000009</v>
      </c>
      <c r="F5">
        <v>40.559165452931325</v>
      </c>
      <c r="G5">
        <v>3.3784768303295518</v>
      </c>
      <c r="H5">
        <v>2.1943133575474367</v>
      </c>
      <c r="I5">
        <f t="shared" si="1"/>
        <v>3.510901372075899</v>
      </c>
    </row>
    <row r="6" spans="1:12" x14ac:dyDescent="0.2">
      <c r="B6" t="s">
        <v>198</v>
      </c>
      <c r="C6">
        <v>62.5</v>
      </c>
      <c r="D6">
        <v>4.9000000000000004</v>
      </c>
      <c r="E6">
        <f t="shared" si="0"/>
        <v>92.16</v>
      </c>
      <c r="F6">
        <v>52.900663414760096</v>
      </c>
      <c r="G6">
        <v>2.7792241870860859</v>
      </c>
      <c r="H6">
        <v>0.83845757859960413</v>
      </c>
      <c r="I6">
        <f t="shared" si="1"/>
        <v>1.3415321257593666</v>
      </c>
      <c r="L6" s="10"/>
    </row>
    <row r="7" spans="1:12" x14ac:dyDescent="0.2">
      <c r="A7" t="s">
        <v>192</v>
      </c>
      <c r="B7" t="s">
        <v>188</v>
      </c>
      <c r="C7">
        <v>62.5</v>
      </c>
      <c r="D7">
        <v>24.3</v>
      </c>
      <c r="E7">
        <f>(1-(D7/C7))*100</f>
        <v>61.12</v>
      </c>
      <c r="F7">
        <v>30.686346185460383</v>
      </c>
      <c r="G7">
        <v>1.0443778362278242</v>
      </c>
      <c r="H7">
        <v>0.28349668493717878</v>
      </c>
      <c r="I7">
        <f t="shared" si="1"/>
        <v>0.45359469589948609</v>
      </c>
      <c r="L7" s="10"/>
    </row>
    <row r="8" spans="1:12" x14ac:dyDescent="0.2">
      <c r="B8" t="s">
        <v>189</v>
      </c>
      <c r="C8">
        <v>62.5</v>
      </c>
      <c r="D8">
        <v>16.600000000000001</v>
      </c>
      <c r="E8">
        <f t="shared" si="0"/>
        <v>73.44</v>
      </c>
      <c r="F8">
        <v>41.630029760815582</v>
      </c>
      <c r="G8">
        <v>2.9432520947712639</v>
      </c>
      <c r="H8">
        <v>1.5952475716373344</v>
      </c>
      <c r="I8">
        <f t="shared" si="1"/>
        <v>2.5523961146197349</v>
      </c>
      <c r="L8" s="10"/>
    </row>
    <row r="9" spans="1:12" x14ac:dyDescent="0.2">
      <c r="B9" t="s">
        <v>190</v>
      </c>
      <c r="C9">
        <v>62.5</v>
      </c>
      <c r="D9">
        <v>7.9</v>
      </c>
      <c r="E9">
        <f t="shared" si="0"/>
        <v>87.36</v>
      </c>
      <c r="F9">
        <v>47.210077109640331</v>
      </c>
      <c r="G9">
        <v>1.024508887907259</v>
      </c>
      <c r="H9">
        <v>0.28570251298496824</v>
      </c>
      <c r="I9">
        <f t="shared" si="1"/>
        <v>0.45712402077594916</v>
      </c>
      <c r="L9" s="10"/>
    </row>
    <row r="10" spans="1:12" x14ac:dyDescent="0.2">
      <c r="B10" t="s">
        <v>191</v>
      </c>
      <c r="C10">
        <v>62.5</v>
      </c>
      <c r="D10">
        <v>2.8</v>
      </c>
      <c r="E10">
        <f t="shared" si="0"/>
        <v>95.52000000000001</v>
      </c>
      <c r="F10">
        <v>57.658361503695446</v>
      </c>
      <c r="G10">
        <v>7.0050038465512925</v>
      </c>
      <c r="H10">
        <v>0.72572824216884513</v>
      </c>
      <c r="I10">
        <f t="shared" si="1"/>
        <v>1.1611651874701523</v>
      </c>
    </row>
    <row r="13" spans="1:12" x14ac:dyDescent="0.2">
      <c r="A13" t="s">
        <v>177</v>
      </c>
      <c r="C13" t="s">
        <v>186</v>
      </c>
      <c r="D13" t="s">
        <v>193</v>
      </c>
      <c r="E13" t="s">
        <v>194</v>
      </c>
      <c r="F13" t="s">
        <v>195</v>
      </c>
      <c r="G13" t="s">
        <v>201</v>
      </c>
      <c r="H13" t="s">
        <v>202</v>
      </c>
      <c r="I13" t="s">
        <v>203</v>
      </c>
    </row>
    <row r="14" spans="1:12" x14ac:dyDescent="0.2">
      <c r="A14" t="s">
        <v>187</v>
      </c>
      <c r="B14" t="s">
        <v>169</v>
      </c>
      <c r="C14">
        <v>62.5</v>
      </c>
      <c r="D14">
        <v>69.3</v>
      </c>
      <c r="E14">
        <f>(1-(D14/C14))*100</f>
        <v>-10.88</v>
      </c>
      <c r="F14">
        <v>9.7671279500607007</v>
      </c>
      <c r="G14">
        <v>1.222476496256435</v>
      </c>
      <c r="H14">
        <v>2.2241935700466842</v>
      </c>
      <c r="I14">
        <f>H14/C14*100</f>
        <v>3.5587097120746947</v>
      </c>
    </row>
    <row r="15" spans="1:12" x14ac:dyDescent="0.2">
      <c r="B15" t="s">
        <v>196</v>
      </c>
      <c r="C15">
        <v>62.5</v>
      </c>
      <c r="D15">
        <v>31.8</v>
      </c>
      <c r="E15">
        <f t="shared" ref="E15:E21" si="2">(1-(D15/C15))*100</f>
        <v>49.12</v>
      </c>
      <c r="F15">
        <v>11.997821490569988</v>
      </c>
      <c r="G15">
        <v>0.91302450366864307</v>
      </c>
      <c r="H15">
        <v>3.6375103410824123</v>
      </c>
      <c r="I15">
        <f t="shared" ref="I15:I21" si="3">H15/C15*100</f>
        <v>5.8200165457318596</v>
      </c>
    </row>
    <row r="16" spans="1:12" x14ac:dyDescent="0.2">
      <c r="B16" t="s">
        <v>197</v>
      </c>
      <c r="C16">
        <v>62.5</v>
      </c>
      <c r="D16">
        <v>8.6</v>
      </c>
      <c r="E16">
        <f t="shared" si="2"/>
        <v>86.240000000000009</v>
      </c>
      <c r="F16">
        <v>10.171230404281468</v>
      </c>
      <c r="G16">
        <v>0.37618258984144359</v>
      </c>
      <c r="H16">
        <v>2.1943133575474367</v>
      </c>
      <c r="I16">
        <f t="shared" si="3"/>
        <v>3.510901372075899</v>
      </c>
    </row>
    <row r="17" spans="1:9" x14ac:dyDescent="0.2">
      <c r="B17" t="s">
        <v>198</v>
      </c>
      <c r="C17">
        <v>62.5</v>
      </c>
      <c r="D17">
        <v>4.9000000000000004</v>
      </c>
      <c r="E17">
        <f t="shared" si="2"/>
        <v>92.16</v>
      </c>
      <c r="F17">
        <v>14.233169340240226</v>
      </c>
      <c r="G17">
        <v>0.71922654179263834</v>
      </c>
      <c r="H17">
        <v>0.83845757859960413</v>
      </c>
      <c r="I17">
        <f t="shared" si="3"/>
        <v>1.3415321257593666</v>
      </c>
    </row>
    <row r="18" spans="1:9" x14ac:dyDescent="0.2">
      <c r="A18" t="s">
        <v>192</v>
      </c>
      <c r="B18" t="s">
        <v>188</v>
      </c>
      <c r="C18">
        <v>62.5</v>
      </c>
      <c r="D18">
        <v>24.3</v>
      </c>
      <c r="E18">
        <f t="shared" si="2"/>
        <v>61.12</v>
      </c>
      <c r="F18">
        <v>8.719684922989634</v>
      </c>
      <c r="G18">
        <v>1.5435162489306635</v>
      </c>
      <c r="H18">
        <v>0.28349668493717878</v>
      </c>
      <c r="I18">
        <f t="shared" si="3"/>
        <v>0.45359469589948609</v>
      </c>
    </row>
    <row r="19" spans="1:9" x14ac:dyDescent="0.2">
      <c r="B19" t="s">
        <v>189</v>
      </c>
      <c r="C19">
        <v>62.5</v>
      </c>
      <c r="D19">
        <v>16.600000000000001</v>
      </c>
      <c r="E19">
        <f t="shared" si="2"/>
        <v>73.44</v>
      </c>
      <c r="F19">
        <v>11.106205970088896</v>
      </c>
      <c r="G19">
        <v>0.24757012647940993</v>
      </c>
      <c r="H19">
        <v>1.5952475716373344</v>
      </c>
      <c r="I19">
        <f t="shared" si="3"/>
        <v>2.5523961146197349</v>
      </c>
    </row>
    <row r="20" spans="1:9" x14ac:dyDescent="0.2">
      <c r="B20" t="s">
        <v>190</v>
      </c>
      <c r="C20">
        <v>62.5</v>
      </c>
      <c r="D20">
        <v>7.9</v>
      </c>
      <c r="E20">
        <f t="shared" si="2"/>
        <v>87.36</v>
      </c>
      <c r="F20">
        <v>9.9503308022783408</v>
      </c>
      <c r="G20">
        <v>1.7830318693547933</v>
      </c>
      <c r="H20">
        <v>0.28570251298496824</v>
      </c>
      <c r="I20">
        <f t="shared" si="3"/>
        <v>0.45712402077594916</v>
      </c>
    </row>
    <row r="21" spans="1:9" x14ac:dyDescent="0.2">
      <c r="B21" t="s">
        <v>191</v>
      </c>
      <c r="C21">
        <v>62.5</v>
      </c>
      <c r="D21">
        <v>2.8</v>
      </c>
      <c r="E21">
        <f t="shared" si="2"/>
        <v>95.52000000000001</v>
      </c>
      <c r="F21">
        <v>13.665308574191384</v>
      </c>
      <c r="G21">
        <v>0.71297689443376688</v>
      </c>
      <c r="H21">
        <v>0.72572824216884513</v>
      </c>
      <c r="I21">
        <f t="shared" si="3"/>
        <v>1.1611651874701523</v>
      </c>
    </row>
    <row r="24" spans="1:9" x14ac:dyDescent="0.2">
      <c r="A24" t="s">
        <v>176</v>
      </c>
      <c r="C24" t="s">
        <v>186</v>
      </c>
      <c r="D24" t="s">
        <v>193</v>
      </c>
      <c r="E24" t="s">
        <v>194</v>
      </c>
      <c r="F24" t="s">
        <v>195</v>
      </c>
      <c r="G24" t="s">
        <v>201</v>
      </c>
      <c r="H24" t="s">
        <v>202</v>
      </c>
      <c r="I24" t="s">
        <v>203</v>
      </c>
    </row>
    <row r="25" spans="1:9" x14ac:dyDescent="0.2">
      <c r="A25" t="s">
        <v>187</v>
      </c>
      <c r="B25" t="s">
        <v>169</v>
      </c>
      <c r="C25">
        <v>62.5</v>
      </c>
      <c r="D25">
        <v>69.3</v>
      </c>
      <c r="E25">
        <f>(1-(D25/C25))*100</f>
        <v>-10.88</v>
      </c>
      <c r="F25">
        <v>10.237824598179161</v>
      </c>
      <c r="G25">
        <v>5.0386815715106206</v>
      </c>
      <c r="H25">
        <v>2.2241935700466842</v>
      </c>
      <c r="I25">
        <f>H25/C25*100</f>
        <v>3.5587097120746947</v>
      </c>
    </row>
    <row r="26" spans="1:9" x14ac:dyDescent="0.2">
      <c r="B26" t="s">
        <v>196</v>
      </c>
      <c r="C26">
        <v>62.5</v>
      </c>
      <c r="D26">
        <v>31.8</v>
      </c>
      <c r="E26">
        <f t="shared" ref="E26:E32" si="4">(1-(D26/C26))*100</f>
        <v>49.12</v>
      </c>
      <c r="F26">
        <v>13.351137297923346</v>
      </c>
      <c r="G26">
        <v>9.8646392073332692</v>
      </c>
      <c r="H26">
        <v>3.6375103410824123</v>
      </c>
      <c r="I26">
        <f t="shared" ref="I26:I32" si="5">H26/C26*100</f>
        <v>5.8200165457318596</v>
      </c>
    </row>
    <row r="27" spans="1:9" x14ac:dyDescent="0.2">
      <c r="B27" t="s">
        <v>197</v>
      </c>
      <c r="C27">
        <v>62.5</v>
      </c>
      <c r="D27">
        <v>8.6</v>
      </c>
      <c r="E27">
        <f t="shared" si="4"/>
        <v>86.240000000000009</v>
      </c>
      <c r="F27">
        <v>19.881210639994741</v>
      </c>
      <c r="G27">
        <v>0.53747106537453138</v>
      </c>
      <c r="H27">
        <v>2.1943133575474367</v>
      </c>
      <c r="I27">
        <f t="shared" si="5"/>
        <v>3.510901372075899</v>
      </c>
    </row>
    <row r="28" spans="1:9" x14ac:dyDescent="0.2">
      <c r="B28" t="s">
        <v>198</v>
      </c>
      <c r="C28">
        <v>62.5</v>
      </c>
      <c r="D28">
        <v>4.9000000000000004</v>
      </c>
      <c r="E28">
        <f t="shared" si="4"/>
        <v>92.16</v>
      </c>
      <c r="F28">
        <v>19.412075226372309</v>
      </c>
      <c r="G28">
        <v>7.3797787756557636</v>
      </c>
      <c r="H28">
        <v>0.83845757859960413</v>
      </c>
      <c r="I28">
        <f t="shared" si="5"/>
        <v>1.3415321257593666</v>
      </c>
    </row>
    <row r="29" spans="1:9" x14ac:dyDescent="0.2">
      <c r="A29" t="s">
        <v>192</v>
      </c>
      <c r="B29" t="s">
        <v>188</v>
      </c>
      <c r="C29">
        <v>62.5</v>
      </c>
      <c r="D29">
        <v>24.3</v>
      </c>
      <c r="E29">
        <f t="shared" si="4"/>
        <v>61.12</v>
      </c>
      <c r="F29">
        <v>16.911141885572818</v>
      </c>
      <c r="G29">
        <v>32.057501201067602</v>
      </c>
      <c r="H29">
        <v>0.28349668493717878</v>
      </c>
      <c r="I29">
        <f t="shared" si="5"/>
        <v>0.45359469589948609</v>
      </c>
    </row>
    <row r="30" spans="1:9" x14ac:dyDescent="0.2">
      <c r="B30" t="s">
        <v>189</v>
      </c>
      <c r="C30">
        <v>62.5</v>
      </c>
      <c r="D30">
        <v>16.600000000000001</v>
      </c>
      <c r="E30">
        <f t="shared" si="4"/>
        <v>73.44</v>
      </c>
      <c r="F30">
        <v>18.128884550780743</v>
      </c>
      <c r="G30">
        <v>2.53733382822189</v>
      </c>
      <c r="H30">
        <v>1.5952475716373344</v>
      </c>
      <c r="I30">
        <f t="shared" si="5"/>
        <v>2.5523961146197349</v>
      </c>
    </row>
    <row r="31" spans="1:9" x14ac:dyDescent="0.2">
      <c r="B31" t="s">
        <v>190</v>
      </c>
      <c r="C31">
        <v>62.5</v>
      </c>
      <c r="D31">
        <v>7.9</v>
      </c>
      <c r="E31">
        <f t="shared" si="4"/>
        <v>87.36</v>
      </c>
      <c r="F31">
        <v>21.622957822356412</v>
      </c>
      <c r="G31">
        <v>3.4479926309987716</v>
      </c>
      <c r="H31">
        <v>0.28570251298496824</v>
      </c>
      <c r="I31">
        <f t="shared" si="5"/>
        <v>0.45712402077594916</v>
      </c>
    </row>
    <row r="32" spans="1:9" x14ac:dyDescent="0.2">
      <c r="B32" t="s">
        <v>191</v>
      </c>
      <c r="C32">
        <v>62.5</v>
      </c>
      <c r="D32">
        <v>2.8</v>
      </c>
      <c r="E32">
        <f t="shared" si="4"/>
        <v>95.52000000000001</v>
      </c>
      <c r="F32">
        <v>17.254823892650599</v>
      </c>
      <c r="G32">
        <v>8.9905174495645781</v>
      </c>
      <c r="H32">
        <v>0.72572824216884513</v>
      </c>
      <c r="I32">
        <f t="shared" si="5"/>
        <v>1.1611651874701523</v>
      </c>
    </row>
    <row r="34" spans="1:9" x14ac:dyDescent="0.2">
      <c r="A34" t="s">
        <v>179</v>
      </c>
      <c r="C34" t="s">
        <v>186</v>
      </c>
      <c r="D34" t="s">
        <v>193</v>
      </c>
      <c r="E34" t="s">
        <v>194</v>
      </c>
      <c r="F34" t="s">
        <v>195</v>
      </c>
      <c r="G34" t="s">
        <v>201</v>
      </c>
      <c r="H34" t="s">
        <v>202</v>
      </c>
      <c r="I34" t="s">
        <v>203</v>
      </c>
    </row>
    <row r="35" spans="1:9" x14ac:dyDescent="0.2">
      <c r="A35" t="s">
        <v>187</v>
      </c>
      <c r="B35" t="s">
        <v>169</v>
      </c>
      <c r="C35">
        <v>62.5</v>
      </c>
      <c r="D35">
        <v>69.3</v>
      </c>
      <c r="E35">
        <f>(1-(D35/C35))*100</f>
        <v>-10.88</v>
      </c>
      <c r="F35">
        <v>22.554234293833204</v>
      </c>
      <c r="G35">
        <v>3.5077972641405575</v>
      </c>
      <c r="H35">
        <v>2.2241935700466842</v>
      </c>
      <c r="I35">
        <f>H35/C35*100</f>
        <v>3.5587097120746947</v>
      </c>
    </row>
    <row r="36" spans="1:9" x14ac:dyDescent="0.2">
      <c r="B36" t="s">
        <v>196</v>
      </c>
      <c r="C36">
        <v>62.5</v>
      </c>
      <c r="D36">
        <v>31.8</v>
      </c>
      <c r="E36">
        <f t="shared" ref="E36:E42" si="6">(1-(D36/C36))*100</f>
        <v>49.12</v>
      </c>
      <c r="F36">
        <v>64.938664536311478</v>
      </c>
      <c r="G36">
        <v>5.6398213457360953</v>
      </c>
      <c r="H36">
        <v>3.6375103410824123</v>
      </c>
      <c r="I36">
        <f t="shared" ref="I36:I42" si="7">H36/C36*100</f>
        <v>5.8200165457318596</v>
      </c>
    </row>
    <row r="37" spans="1:9" x14ac:dyDescent="0.2">
      <c r="B37" t="s">
        <v>197</v>
      </c>
      <c r="C37">
        <v>62.5</v>
      </c>
      <c r="D37">
        <v>8.6</v>
      </c>
      <c r="E37">
        <f t="shared" si="6"/>
        <v>86.240000000000009</v>
      </c>
      <c r="F37">
        <v>66.806933202075754</v>
      </c>
      <c r="G37">
        <v>4.2495257342679027</v>
      </c>
      <c r="H37">
        <v>2.1943133575474367</v>
      </c>
      <c r="I37">
        <f t="shared" si="7"/>
        <v>3.510901372075899</v>
      </c>
    </row>
    <row r="38" spans="1:9" x14ac:dyDescent="0.2">
      <c r="B38" t="s">
        <v>198</v>
      </c>
      <c r="C38">
        <v>62.5</v>
      </c>
      <c r="D38">
        <v>4.9000000000000004</v>
      </c>
      <c r="E38">
        <f t="shared" si="6"/>
        <v>92.16</v>
      </c>
      <c r="F38">
        <v>77.090194352075599</v>
      </c>
      <c r="G38">
        <v>3.6571190262764937</v>
      </c>
      <c r="H38">
        <v>0.83845757859960413</v>
      </c>
      <c r="I38">
        <f t="shared" si="7"/>
        <v>1.3415321257593666</v>
      </c>
    </row>
    <row r="39" spans="1:9" x14ac:dyDescent="0.2">
      <c r="A39" t="s">
        <v>192</v>
      </c>
      <c r="B39" t="s">
        <v>188</v>
      </c>
      <c r="C39">
        <v>62.5</v>
      </c>
      <c r="D39">
        <v>24.3</v>
      </c>
      <c r="E39">
        <f t="shared" si="6"/>
        <v>61.12</v>
      </c>
      <c r="F39">
        <v>54.568365707138909</v>
      </c>
      <c r="G39">
        <v>1.3878925414671364</v>
      </c>
      <c r="H39">
        <v>0.28349668493717878</v>
      </c>
      <c r="I39">
        <f t="shared" si="7"/>
        <v>0.45359469589948609</v>
      </c>
    </row>
    <row r="40" spans="1:9" x14ac:dyDescent="0.2">
      <c r="B40" t="s">
        <v>189</v>
      </c>
      <c r="C40">
        <v>62.5</v>
      </c>
      <c r="D40">
        <v>16.600000000000001</v>
      </c>
      <c r="E40">
        <f t="shared" si="6"/>
        <v>73.44</v>
      </c>
      <c r="F40">
        <v>69.761222924198663</v>
      </c>
      <c r="G40">
        <v>4.45264744119571</v>
      </c>
      <c r="H40">
        <v>1.5952475716373344</v>
      </c>
      <c r="I40">
        <f t="shared" si="7"/>
        <v>2.5523961146197349</v>
      </c>
    </row>
    <row r="41" spans="1:9" x14ac:dyDescent="0.2">
      <c r="B41" t="s">
        <v>190</v>
      </c>
      <c r="C41">
        <v>62.5</v>
      </c>
      <c r="D41">
        <v>7.9</v>
      </c>
      <c r="E41">
        <f t="shared" si="6"/>
        <v>87.36</v>
      </c>
      <c r="F41">
        <v>77.643328620229028</v>
      </c>
      <c r="G41">
        <v>0.17616101032326015</v>
      </c>
      <c r="H41">
        <v>0.28570251298496824</v>
      </c>
      <c r="I41">
        <f t="shared" si="7"/>
        <v>0.45712402077594916</v>
      </c>
    </row>
    <row r="42" spans="1:9" x14ac:dyDescent="0.2">
      <c r="B42" t="s">
        <v>191</v>
      </c>
      <c r="C42">
        <v>62.5</v>
      </c>
      <c r="D42">
        <v>2.8</v>
      </c>
      <c r="E42">
        <f t="shared" si="6"/>
        <v>95.52000000000001</v>
      </c>
      <c r="F42">
        <v>82.307649122970872</v>
      </c>
      <c r="G42">
        <v>0.33647741461689068</v>
      </c>
      <c r="H42">
        <v>0.72572824216884513</v>
      </c>
      <c r="I42">
        <f t="shared" si="7"/>
        <v>1.1611651874701523</v>
      </c>
    </row>
    <row r="44" spans="1:9" x14ac:dyDescent="0.2">
      <c r="A44" t="s">
        <v>174</v>
      </c>
      <c r="C44" t="s">
        <v>186</v>
      </c>
      <c r="D44" t="s">
        <v>193</v>
      </c>
      <c r="E44" t="s">
        <v>194</v>
      </c>
      <c r="F44" t="s">
        <v>195</v>
      </c>
      <c r="G44" t="s">
        <v>201</v>
      </c>
      <c r="H44" t="s">
        <v>202</v>
      </c>
      <c r="I44" t="s">
        <v>203</v>
      </c>
    </row>
    <row r="45" spans="1:9" x14ac:dyDescent="0.2">
      <c r="A45" t="s">
        <v>187</v>
      </c>
      <c r="B45" t="s">
        <v>169</v>
      </c>
      <c r="C45">
        <v>62.5</v>
      </c>
      <c r="D45">
        <v>69.3</v>
      </c>
      <c r="E45">
        <f>(1-(D45/C45))*100</f>
        <v>-10.88</v>
      </c>
      <c r="F45">
        <v>11.597632274850518</v>
      </c>
      <c r="G45">
        <v>3.574413903341763</v>
      </c>
      <c r="H45">
        <v>2.2241935700466842</v>
      </c>
      <c r="I45">
        <f>H45/C45*100</f>
        <v>3.5587097120746947</v>
      </c>
    </row>
    <row r="46" spans="1:9" x14ac:dyDescent="0.2">
      <c r="B46" t="s">
        <v>196</v>
      </c>
      <c r="C46">
        <v>62.5</v>
      </c>
      <c r="D46">
        <v>31.8</v>
      </c>
      <c r="E46">
        <f t="shared" ref="E46:E52" si="8">(1-(D46/C46))*100</f>
        <v>49.12</v>
      </c>
      <c r="F46">
        <v>63.047248444936535</v>
      </c>
      <c r="G46">
        <v>4.8013658264081318</v>
      </c>
      <c r="H46">
        <v>3.6375103410824123</v>
      </c>
      <c r="I46">
        <f t="shared" ref="I46:I52" si="9">H46/C46*100</f>
        <v>5.8200165457318596</v>
      </c>
    </row>
    <row r="47" spans="1:9" x14ac:dyDescent="0.2">
      <c r="B47" t="s">
        <v>197</v>
      </c>
      <c r="C47">
        <v>62.5</v>
      </c>
      <c r="D47">
        <v>8.6</v>
      </c>
      <c r="E47">
        <f t="shared" si="8"/>
        <v>86.240000000000009</v>
      </c>
      <c r="F47">
        <v>63.059292421186555</v>
      </c>
      <c r="G47">
        <v>6.747886826292901</v>
      </c>
      <c r="H47">
        <v>2.1943133575474367</v>
      </c>
      <c r="I47">
        <f t="shared" si="9"/>
        <v>3.510901372075899</v>
      </c>
    </row>
    <row r="48" spans="1:9" x14ac:dyDescent="0.2">
      <c r="B48" t="s">
        <v>198</v>
      </c>
      <c r="C48">
        <v>62.5</v>
      </c>
      <c r="D48">
        <v>4.9000000000000004</v>
      </c>
      <c r="E48">
        <f t="shared" si="8"/>
        <v>92.16</v>
      </c>
      <c r="F48">
        <v>78.615296054504853</v>
      </c>
      <c r="G48">
        <v>7.1063231250528975</v>
      </c>
      <c r="H48">
        <v>0.83845757859960413</v>
      </c>
      <c r="I48">
        <f t="shared" si="9"/>
        <v>1.3415321257593666</v>
      </c>
    </row>
    <row r="49" spans="1:9" x14ac:dyDescent="0.2">
      <c r="A49" t="s">
        <v>192</v>
      </c>
      <c r="B49" t="s">
        <v>188</v>
      </c>
      <c r="C49">
        <v>62.5</v>
      </c>
      <c r="D49">
        <v>24.3</v>
      </c>
      <c r="E49">
        <f t="shared" si="8"/>
        <v>61.12</v>
      </c>
      <c r="F49">
        <v>48.946225261183166</v>
      </c>
      <c r="G49">
        <v>2.4742858549279418</v>
      </c>
      <c r="H49">
        <v>0.28349668493717878</v>
      </c>
      <c r="I49">
        <f t="shared" si="9"/>
        <v>0.45359469589948609</v>
      </c>
    </row>
    <row r="50" spans="1:9" x14ac:dyDescent="0.2">
      <c r="B50" t="s">
        <v>189</v>
      </c>
      <c r="C50">
        <v>62.5</v>
      </c>
      <c r="D50">
        <v>16.600000000000001</v>
      </c>
      <c r="E50">
        <f t="shared" si="8"/>
        <v>73.44</v>
      </c>
      <c r="F50">
        <v>65.46315990185434</v>
      </c>
      <c r="G50">
        <v>6.6237325253925379</v>
      </c>
      <c r="H50">
        <v>1.5952475716373344</v>
      </c>
      <c r="I50">
        <f t="shared" si="9"/>
        <v>2.5523961146197349</v>
      </c>
    </row>
    <row r="51" spans="1:9" x14ac:dyDescent="0.2">
      <c r="B51" t="s">
        <v>190</v>
      </c>
      <c r="C51">
        <v>62.5</v>
      </c>
      <c r="D51">
        <v>7.9</v>
      </c>
      <c r="E51">
        <f t="shared" si="8"/>
        <v>87.36</v>
      </c>
      <c r="F51">
        <v>80.244421794375867</v>
      </c>
      <c r="G51">
        <v>3.2788974857809379</v>
      </c>
      <c r="H51">
        <v>0.28570251298496824</v>
      </c>
      <c r="I51">
        <f t="shared" si="9"/>
        <v>0.45712402077594916</v>
      </c>
    </row>
    <row r="52" spans="1:9" x14ac:dyDescent="0.2">
      <c r="B52" t="s">
        <v>191</v>
      </c>
      <c r="C52">
        <v>62.5</v>
      </c>
      <c r="D52">
        <v>2.8</v>
      </c>
      <c r="E52">
        <f t="shared" si="8"/>
        <v>95.52000000000001</v>
      </c>
      <c r="F52">
        <v>86.644404607084709</v>
      </c>
      <c r="G52">
        <v>1.178952426823626</v>
      </c>
      <c r="H52">
        <v>0.72572824216884513</v>
      </c>
      <c r="I52">
        <f t="shared" si="9"/>
        <v>1.1611651874701523</v>
      </c>
    </row>
    <row r="54" spans="1:9" x14ac:dyDescent="0.2">
      <c r="A54" t="s">
        <v>175</v>
      </c>
      <c r="C54" t="s">
        <v>186</v>
      </c>
      <c r="D54" t="s">
        <v>193</v>
      </c>
      <c r="E54" t="s">
        <v>194</v>
      </c>
      <c r="F54" t="s">
        <v>195</v>
      </c>
      <c r="G54" t="s">
        <v>201</v>
      </c>
      <c r="H54" t="s">
        <v>202</v>
      </c>
      <c r="I54" t="s">
        <v>203</v>
      </c>
    </row>
    <row r="55" spans="1:9" x14ac:dyDescent="0.2">
      <c r="A55" t="s">
        <v>187</v>
      </c>
      <c r="B55" t="s">
        <v>169</v>
      </c>
      <c r="C55">
        <v>62.5</v>
      </c>
      <c r="D55">
        <v>69.3</v>
      </c>
      <c r="E55">
        <f>(1-(D55/C55))*100</f>
        <v>-10.88</v>
      </c>
      <c r="F55">
        <v>19.398022098281722</v>
      </c>
      <c r="G55">
        <v>6.3795956311210489</v>
      </c>
      <c r="H55">
        <v>2.2241935700466842</v>
      </c>
      <c r="I55">
        <f>H55/C55*100</f>
        <v>3.5587097120746947</v>
      </c>
    </row>
    <row r="56" spans="1:9" x14ac:dyDescent="0.2">
      <c r="B56" t="s">
        <v>196</v>
      </c>
      <c r="C56">
        <v>62.5</v>
      </c>
      <c r="D56">
        <v>31.8</v>
      </c>
      <c r="E56">
        <f t="shared" ref="E56:E62" si="10">(1-(D56/C56))*100</f>
        <v>49.12</v>
      </c>
      <c r="F56">
        <v>68.571555601994987</v>
      </c>
      <c r="G56">
        <v>5.7517574228055901</v>
      </c>
      <c r="H56">
        <v>3.6375103410824123</v>
      </c>
      <c r="I56">
        <f t="shared" ref="I56:I62" si="11">H56/C56*100</f>
        <v>5.8200165457318596</v>
      </c>
    </row>
    <row r="57" spans="1:9" x14ac:dyDescent="0.2">
      <c r="B57" t="s">
        <v>197</v>
      </c>
      <c r="C57">
        <v>62.5</v>
      </c>
      <c r="D57">
        <v>8.6</v>
      </c>
      <c r="E57">
        <f t="shared" si="10"/>
        <v>86.240000000000009</v>
      </c>
      <c r="F57">
        <v>71.291016496349627</v>
      </c>
      <c r="G57">
        <v>4.8931325135699604</v>
      </c>
      <c r="H57">
        <v>2.1943133575474367</v>
      </c>
      <c r="I57">
        <f t="shared" si="11"/>
        <v>3.510901372075899</v>
      </c>
    </row>
    <row r="58" spans="1:9" x14ac:dyDescent="0.2">
      <c r="B58" t="s">
        <v>198</v>
      </c>
      <c r="C58">
        <v>62.5</v>
      </c>
      <c r="D58">
        <v>4.9000000000000004</v>
      </c>
      <c r="E58">
        <f t="shared" si="10"/>
        <v>92.16</v>
      </c>
      <c r="F58">
        <v>83.023787270923805</v>
      </c>
      <c r="G58">
        <v>4.0196218280019131</v>
      </c>
      <c r="H58">
        <v>0.83845757859960413</v>
      </c>
      <c r="I58">
        <f t="shared" si="11"/>
        <v>1.3415321257593666</v>
      </c>
    </row>
    <row r="59" spans="1:9" x14ac:dyDescent="0.2">
      <c r="A59" t="s">
        <v>192</v>
      </c>
      <c r="B59" t="s">
        <v>188</v>
      </c>
      <c r="C59">
        <v>62.5</v>
      </c>
      <c r="D59">
        <v>24.3</v>
      </c>
      <c r="E59">
        <f t="shared" si="10"/>
        <v>61.12</v>
      </c>
      <c r="F59">
        <v>55.447555312590232</v>
      </c>
      <c r="G59">
        <v>0.54029376637394755</v>
      </c>
      <c r="H59">
        <v>0.28349668493717878</v>
      </c>
      <c r="I59">
        <f t="shared" si="11"/>
        <v>0.45359469589948609</v>
      </c>
    </row>
    <row r="60" spans="1:9" x14ac:dyDescent="0.2">
      <c r="B60" t="s">
        <v>189</v>
      </c>
      <c r="C60">
        <v>62.5</v>
      </c>
      <c r="D60">
        <v>16.600000000000001</v>
      </c>
      <c r="E60">
        <f t="shared" si="10"/>
        <v>73.44</v>
      </c>
      <c r="F60">
        <v>74.221897350497784</v>
      </c>
      <c r="G60">
        <v>4.2714470303149064</v>
      </c>
      <c r="H60">
        <v>1.5952475716373344</v>
      </c>
      <c r="I60">
        <f t="shared" si="11"/>
        <v>2.5523961146197349</v>
      </c>
    </row>
    <row r="61" spans="1:9" x14ac:dyDescent="0.2">
      <c r="B61" t="s">
        <v>190</v>
      </c>
      <c r="C61">
        <v>62.5</v>
      </c>
      <c r="D61">
        <v>7.9</v>
      </c>
      <c r="E61">
        <f t="shared" si="10"/>
        <v>87.36</v>
      </c>
      <c r="F61">
        <v>84.453086998040433</v>
      </c>
      <c r="G61">
        <v>1.1524139129315163</v>
      </c>
      <c r="H61">
        <v>0.28570251298496824</v>
      </c>
      <c r="I61">
        <f t="shared" si="11"/>
        <v>0.45712402077594916</v>
      </c>
    </row>
    <row r="62" spans="1:9" x14ac:dyDescent="0.2">
      <c r="B62" t="s">
        <v>191</v>
      </c>
      <c r="C62">
        <v>62.5</v>
      </c>
      <c r="D62">
        <v>2.8</v>
      </c>
      <c r="E62">
        <f t="shared" si="10"/>
        <v>95.52000000000001</v>
      </c>
      <c r="F62">
        <v>85.871697047082975</v>
      </c>
      <c r="G62">
        <v>23.039925238992144</v>
      </c>
      <c r="H62">
        <v>0.72572824216884513</v>
      </c>
      <c r="I62">
        <f t="shared" si="11"/>
        <v>1.1611651874701523</v>
      </c>
    </row>
    <row r="65" spans="1:9" x14ac:dyDescent="0.2">
      <c r="A65" t="s">
        <v>178</v>
      </c>
      <c r="C65" t="s">
        <v>186</v>
      </c>
      <c r="D65" t="s">
        <v>193</v>
      </c>
      <c r="E65" t="s">
        <v>194</v>
      </c>
      <c r="F65" t="s">
        <v>195</v>
      </c>
      <c r="G65" t="s">
        <v>201</v>
      </c>
      <c r="H65" t="s">
        <v>202</v>
      </c>
      <c r="I65" t="s">
        <v>203</v>
      </c>
    </row>
    <row r="66" spans="1:9" x14ac:dyDescent="0.2">
      <c r="A66" t="s">
        <v>187</v>
      </c>
      <c r="B66" t="s">
        <v>169</v>
      </c>
      <c r="C66">
        <v>62.5</v>
      </c>
      <c r="D66">
        <v>69.3</v>
      </c>
      <c r="E66">
        <f>(1-(D66/C66))*100</f>
        <v>-10.88</v>
      </c>
      <c r="F66">
        <v>25.050330668551606</v>
      </c>
      <c r="G66">
        <v>4.0626190809693448</v>
      </c>
      <c r="H66">
        <v>2.2241935700466842</v>
      </c>
      <c r="I66">
        <f>H66/C66*100</f>
        <v>3.5587097120746947</v>
      </c>
    </row>
    <row r="67" spans="1:9" x14ac:dyDescent="0.2">
      <c r="B67" t="s">
        <v>196</v>
      </c>
      <c r="C67">
        <v>62.5</v>
      </c>
      <c r="D67">
        <v>31.8</v>
      </c>
      <c r="E67">
        <f t="shared" ref="E67:E73" si="12">(1-(D67/C67))*100</f>
        <v>49.12</v>
      </c>
      <c r="F67">
        <v>71.202607174694407</v>
      </c>
      <c r="G67">
        <v>6.7835691288612585</v>
      </c>
      <c r="H67">
        <v>3.6375103410824123</v>
      </c>
      <c r="I67">
        <f t="shared" ref="I67:I73" si="13">H67/C67*100</f>
        <v>5.8200165457318596</v>
      </c>
    </row>
    <row r="68" spans="1:9" x14ac:dyDescent="0.2">
      <c r="B68" t="s">
        <v>197</v>
      </c>
      <c r="C68">
        <v>62.5</v>
      </c>
      <c r="D68">
        <v>8.6</v>
      </c>
      <c r="E68">
        <f t="shared" si="12"/>
        <v>86.240000000000009</v>
      </c>
      <c r="F68">
        <v>67.919302115782031</v>
      </c>
      <c r="G68">
        <v>27.545363410176272</v>
      </c>
      <c r="H68">
        <v>2.1943133575474367</v>
      </c>
      <c r="I68">
        <f t="shared" si="13"/>
        <v>3.510901372075899</v>
      </c>
    </row>
    <row r="69" spans="1:9" x14ac:dyDescent="0.2">
      <c r="B69" t="s">
        <v>198</v>
      </c>
      <c r="C69">
        <v>62.5</v>
      </c>
      <c r="D69">
        <v>4.9000000000000004</v>
      </c>
      <c r="E69">
        <f t="shared" si="12"/>
        <v>92.16</v>
      </c>
      <c r="F69">
        <v>84.610983990184891</v>
      </c>
      <c r="G69">
        <v>4.0660900808091602</v>
      </c>
      <c r="H69">
        <v>0.83845757859960413</v>
      </c>
      <c r="I69">
        <f t="shared" si="13"/>
        <v>1.3415321257593666</v>
      </c>
    </row>
    <row r="70" spans="1:9" x14ac:dyDescent="0.2">
      <c r="A70" t="s">
        <v>192</v>
      </c>
      <c r="B70" t="s">
        <v>188</v>
      </c>
      <c r="C70">
        <v>62.5</v>
      </c>
      <c r="D70">
        <v>24.3</v>
      </c>
      <c r="E70">
        <f t="shared" si="12"/>
        <v>61.12</v>
      </c>
      <c r="F70">
        <v>60.529646258529546</v>
      </c>
      <c r="G70">
        <v>1.7248450638949957</v>
      </c>
      <c r="H70">
        <v>0.28349668493717878</v>
      </c>
      <c r="I70">
        <f t="shared" si="13"/>
        <v>0.45359469589948609</v>
      </c>
    </row>
    <row r="71" spans="1:9" x14ac:dyDescent="0.2">
      <c r="B71" t="s">
        <v>189</v>
      </c>
      <c r="C71">
        <v>62.5</v>
      </c>
      <c r="D71">
        <v>16.600000000000001</v>
      </c>
      <c r="E71">
        <f t="shared" si="12"/>
        <v>73.44</v>
      </c>
      <c r="F71">
        <v>75.205610149199302</v>
      </c>
      <c r="G71">
        <v>5.6681839460377406</v>
      </c>
      <c r="H71">
        <v>1.5952475716373344</v>
      </c>
      <c r="I71">
        <f t="shared" si="13"/>
        <v>2.5523961146197349</v>
      </c>
    </row>
    <row r="72" spans="1:9" x14ac:dyDescent="0.2">
      <c r="B72" t="s">
        <v>190</v>
      </c>
      <c r="C72">
        <v>62.5</v>
      </c>
      <c r="D72">
        <v>7.9</v>
      </c>
      <c r="E72">
        <f t="shared" si="12"/>
        <v>87.36</v>
      </c>
      <c r="F72">
        <v>83.947999226690811</v>
      </c>
      <c r="G72">
        <v>3.153316070497624</v>
      </c>
      <c r="H72">
        <v>0.28570251298496824</v>
      </c>
      <c r="I72">
        <f t="shared" si="13"/>
        <v>0.45712402077594916</v>
      </c>
    </row>
    <row r="73" spans="1:9" x14ac:dyDescent="0.2">
      <c r="B73" t="s">
        <v>191</v>
      </c>
      <c r="C73">
        <v>62.5</v>
      </c>
      <c r="D73">
        <v>2.8</v>
      </c>
      <c r="E73">
        <f t="shared" si="12"/>
        <v>95.52000000000001</v>
      </c>
      <c r="F73">
        <v>89.312664596621687</v>
      </c>
      <c r="G73">
        <v>2.877956487371335</v>
      </c>
      <c r="H73">
        <v>0.72572824216884513</v>
      </c>
      <c r="I73">
        <f t="shared" si="13"/>
        <v>1.1611651874701523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79F6-F388-3B40-B4C4-966C7C1266E6}">
  <dimension ref="A2:H374"/>
  <sheetViews>
    <sheetView zoomScale="124" zoomScaleNormal="124" workbookViewId="0">
      <selection activeCell="I1" sqref="I1:I1048576"/>
    </sheetView>
  </sheetViews>
  <sheetFormatPr baseColWidth="10" defaultRowHeight="15" x14ac:dyDescent="0.2"/>
  <cols>
    <col min="1" max="1" width="19.1640625" style="17" customWidth="1"/>
    <col min="2" max="2" width="6.33203125" style="17" bestFit="1" customWidth="1"/>
    <col min="3" max="3" width="21.5" style="17" bestFit="1" customWidth="1"/>
    <col min="4" max="4" width="4" style="17" bestFit="1" customWidth="1"/>
    <col min="5" max="8" width="21.5" style="17" bestFit="1" customWidth="1"/>
    <col min="9" max="255" width="8.83203125" style="17" customWidth="1"/>
    <col min="256" max="16384" width="10.83203125" style="17"/>
  </cols>
  <sheetData>
    <row r="2" spans="1:8" x14ac:dyDescent="0.2">
      <c r="A2" s="17" t="s">
        <v>219</v>
      </c>
      <c r="E2" s="17" t="s">
        <v>220</v>
      </c>
      <c r="F2" s="17" t="s">
        <v>221</v>
      </c>
      <c r="G2" s="17" t="s">
        <v>222</v>
      </c>
      <c r="H2" s="17" t="s">
        <v>223</v>
      </c>
    </row>
    <row r="3" spans="1:8" x14ac:dyDescent="0.2">
      <c r="A3" s="17" t="s">
        <v>224</v>
      </c>
      <c r="C3" s="17" t="s">
        <v>225</v>
      </c>
      <c r="E3" s="17" t="s">
        <v>225</v>
      </c>
      <c r="F3" s="17" t="s">
        <v>225</v>
      </c>
      <c r="G3" s="17" t="s">
        <v>225</v>
      </c>
      <c r="H3" s="17" t="s">
        <v>225</v>
      </c>
    </row>
    <row r="6" spans="1:8" x14ac:dyDescent="0.2">
      <c r="A6" s="17">
        <v>1052</v>
      </c>
      <c r="C6" s="17">
        <v>10650.7</v>
      </c>
      <c r="E6" s="17">
        <v>10638.3</v>
      </c>
      <c r="F6" s="17">
        <v>10648.9</v>
      </c>
      <c r="G6" s="17">
        <v>10637</v>
      </c>
      <c r="H6" s="17">
        <v>10650.2</v>
      </c>
    </row>
    <row r="7" spans="1:8" x14ac:dyDescent="0.2">
      <c r="A7" s="17">
        <v>1051.9000000000001</v>
      </c>
      <c r="C7" s="17">
        <v>10591.9</v>
      </c>
      <c r="E7" s="17">
        <v>10628.3</v>
      </c>
      <c r="F7" s="17">
        <v>10639.4</v>
      </c>
      <c r="G7" s="17">
        <v>10627</v>
      </c>
      <c r="H7" s="17">
        <v>10640.7</v>
      </c>
    </row>
    <row r="8" spans="1:8" x14ac:dyDescent="0.2">
      <c r="A8" s="17">
        <v>1051.8</v>
      </c>
      <c r="C8" s="17">
        <v>10667.2</v>
      </c>
      <c r="E8" s="17">
        <v>10630.1</v>
      </c>
      <c r="F8" s="17">
        <v>10641.8</v>
      </c>
      <c r="G8" s="17">
        <v>10628.8</v>
      </c>
      <c r="H8" s="17">
        <v>10643.1</v>
      </c>
    </row>
    <row r="9" spans="1:8" x14ac:dyDescent="0.2">
      <c r="A9" s="17">
        <v>1051.7</v>
      </c>
      <c r="C9" s="17">
        <v>10624.1</v>
      </c>
      <c r="E9" s="17">
        <v>10632</v>
      </c>
      <c r="F9" s="17">
        <v>10644.1</v>
      </c>
      <c r="G9" s="17">
        <v>10630.6</v>
      </c>
      <c r="H9" s="17">
        <v>10645.4</v>
      </c>
    </row>
    <row r="10" spans="1:8" x14ac:dyDescent="0.2">
      <c r="A10" s="17">
        <v>1051.5999999999999</v>
      </c>
      <c r="C10" s="17">
        <v>10673.4</v>
      </c>
      <c r="E10" s="17">
        <v>10633.8</v>
      </c>
      <c r="F10" s="17">
        <v>10646.5</v>
      </c>
      <c r="G10" s="17">
        <v>10632.4</v>
      </c>
      <c r="H10" s="17">
        <v>10647.9</v>
      </c>
    </row>
    <row r="11" spans="1:8" x14ac:dyDescent="0.2">
      <c r="A11" s="17">
        <v>1051.5</v>
      </c>
      <c r="C11" s="17">
        <v>10657.3</v>
      </c>
      <c r="E11" s="17">
        <v>10635.6</v>
      </c>
      <c r="F11" s="17">
        <v>10649</v>
      </c>
      <c r="G11" s="17">
        <v>10634.3</v>
      </c>
      <c r="H11" s="17">
        <v>10650.4</v>
      </c>
    </row>
    <row r="12" spans="1:8" x14ac:dyDescent="0.2">
      <c r="A12" s="17">
        <v>1051.4000000000001</v>
      </c>
      <c r="C12" s="17">
        <v>10754.9</v>
      </c>
      <c r="E12" s="17">
        <v>10637.4</v>
      </c>
      <c r="F12" s="17">
        <v>10651.6</v>
      </c>
      <c r="G12" s="17">
        <v>10636.1</v>
      </c>
      <c r="H12" s="17">
        <v>10652.9</v>
      </c>
    </row>
    <row r="13" spans="1:8" x14ac:dyDescent="0.2">
      <c r="A13" s="17">
        <v>1051.3</v>
      </c>
      <c r="C13" s="17">
        <v>10702.2</v>
      </c>
      <c r="E13" s="17">
        <v>10639.3</v>
      </c>
      <c r="F13" s="17">
        <v>10654.2</v>
      </c>
      <c r="G13" s="17">
        <v>10637.9</v>
      </c>
      <c r="H13" s="17">
        <v>10655.5</v>
      </c>
    </row>
    <row r="14" spans="1:8" x14ac:dyDescent="0.2">
      <c r="A14" s="17">
        <v>1051.2</v>
      </c>
      <c r="C14" s="17">
        <v>10652</v>
      </c>
      <c r="E14" s="17">
        <v>10641.1</v>
      </c>
      <c r="F14" s="17">
        <v>10656.9</v>
      </c>
      <c r="G14" s="17">
        <v>10639.7</v>
      </c>
      <c r="H14" s="17">
        <v>10658.3</v>
      </c>
    </row>
    <row r="15" spans="1:8" x14ac:dyDescent="0.2">
      <c r="A15" s="17">
        <v>1051.0999999999999</v>
      </c>
      <c r="C15" s="17">
        <v>10703.5</v>
      </c>
      <c r="E15" s="17">
        <v>10642.9</v>
      </c>
      <c r="F15" s="17">
        <v>10659.7</v>
      </c>
      <c r="G15" s="17">
        <v>10641.5</v>
      </c>
      <c r="H15" s="17">
        <v>10661.1</v>
      </c>
    </row>
    <row r="16" spans="1:8" x14ac:dyDescent="0.2">
      <c r="A16" s="17">
        <v>1051</v>
      </c>
      <c r="C16" s="17">
        <v>10661</v>
      </c>
      <c r="E16" s="17">
        <v>10644.7</v>
      </c>
      <c r="F16" s="17">
        <v>10662.6</v>
      </c>
      <c r="G16" s="17">
        <v>10643.3</v>
      </c>
      <c r="H16" s="17">
        <v>10664</v>
      </c>
    </row>
    <row r="17" spans="1:8" x14ac:dyDescent="0.2">
      <c r="A17" s="17">
        <v>1050.9000000000001</v>
      </c>
      <c r="C17" s="17">
        <v>10806.7</v>
      </c>
      <c r="E17" s="17">
        <v>10646.5</v>
      </c>
      <c r="F17" s="17">
        <v>10665.7</v>
      </c>
      <c r="G17" s="17">
        <v>10645.1</v>
      </c>
      <c r="H17" s="17">
        <v>10667.1</v>
      </c>
    </row>
    <row r="18" spans="1:8" x14ac:dyDescent="0.2">
      <c r="A18" s="17">
        <v>1050.8</v>
      </c>
      <c r="C18" s="17">
        <v>10767</v>
      </c>
      <c r="E18" s="17">
        <v>10648.4</v>
      </c>
      <c r="F18" s="17">
        <v>10668.9</v>
      </c>
      <c r="G18" s="17">
        <v>10646.9</v>
      </c>
      <c r="H18" s="17">
        <v>10670.3</v>
      </c>
    </row>
    <row r="19" spans="1:8" x14ac:dyDescent="0.2">
      <c r="A19" s="17">
        <v>1050.7</v>
      </c>
      <c r="C19" s="17">
        <v>10702</v>
      </c>
      <c r="E19" s="17">
        <v>10650.2</v>
      </c>
      <c r="F19" s="17">
        <v>10672.3</v>
      </c>
      <c r="G19" s="17">
        <v>10648.8</v>
      </c>
      <c r="H19" s="17">
        <v>10673.7</v>
      </c>
    </row>
    <row r="20" spans="1:8" x14ac:dyDescent="0.2">
      <c r="A20" s="17">
        <v>1050.5999999999999</v>
      </c>
      <c r="C20" s="17">
        <v>10708.7</v>
      </c>
      <c r="E20" s="17">
        <v>10652</v>
      </c>
      <c r="F20" s="17">
        <v>10675.9</v>
      </c>
      <c r="G20" s="17">
        <v>10650.6</v>
      </c>
      <c r="H20" s="17">
        <v>10677.3</v>
      </c>
    </row>
    <row r="21" spans="1:8" x14ac:dyDescent="0.2">
      <c r="A21" s="17">
        <v>1050.5</v>
      </c>
      <c r="C21" s="17">
        <v>10774.7</v>
      </c>
      <c r="E21" s="17">
        <v>10653.8</v>
      </c>
      <c r="F21" s="17">
        <v>10679.7</v>
      </c>
      <c r="G21" s="17">
        <v>10652.4</v>
      </c>
      <c r="H21" s="17">
        <v>10681.1</v>
      </c>
    </row>
    <row r="22" spans="1:8" x14ac:dyDescent="0.2">
      <c r="A22" s="17">
        <v>1050.4000000000001</v>
      </c>
      <c r="C22" s="17">
        <v>10720</v>
      </c>
      <c r="E22" s="17">
        <v>10655.7</v>
      </c>
      <c r="F22" s="17">
        <v>10683.7</v>
      </c>
      <c r="G22" s="17">
        <v>10654.2</v>
      </c>
      <c r="H22" s="17">
        <v>10685.2</v>
      </c>
    </row>
    <row r="23" spans="1:8" x14ac:dyDescent="0.2">
      <c r="A23" s="17">
        <v>1050.3</v>
      </c>
      <c r="C23" s="17">
        <v>10761.3</v>
      </c>
      <c r="E23" s="17">
        <v>10657.5</v>
      </c>
      <c r="F23" s="17">
        <v>10688</v>
      </c>
      <c r="G23" s="17">
        <v>10656</v>
      </c>
      <c r="H23" s="17">
        <v>10689.5</v>
      </c>
    </row>
    <row r="24" spans="1:8" x14ac:dyDescent="0.2">
      <c r="A24" s="17">
        <v>1050.2</v>
      </c>
      <c r="C24" s="17">
        <v>10807.3</v>
      </c>
      <c r="E24" s="17">
        <v>10659.3</v>
      </c>
      <c r="F24" s="17">
        <v>10692.6</v>
      </c>
      <c r="G24" s="17">
        <v>10657.8</v>
      </c>
      <c r="H24" s="17">
        <v>10694.1</v>
      </c>
    </row>
    <row r="25" spans="1:8" x14ac:dyDescent="0.2">
      <c r="A25" s="17">
        <v>1050.0999999999999</v>
      </c>
      <c r="C25" s="17">
        <v>10757.1</v>
      </c>
      <c r="E25" s="17">
        <v>10661.1</v>
      </c>
      <c r="F25" s="17">
        <v>10697.6</v>
      </c>
      <c r="G25" s="17">
        <v>10659.6</v>
      </c>
      <c r="H25" s="17">
        <v>10699</v>
      </c>
    </row>
    <row r="26" spans="1:8" x14ac:dyDescent="0.2">
      <c r="A26" s="17">
        <v>1050</v>
      </c>
      <c r="C26" s="17">
        <v>10699</v>
      </c>
      <c r="E26" s="17">
        <v>10663</v>
      </c>
      <c r="F26" s="17">
        <v>10702.8</v>
      </c>
      <c r="G26" s="17">
        <v>10661.5</v>
      </c>
      <c r="H26" s="17">
        <v>10704.3</v>
      </c>
    </row>
    <row r="27" spans="1:8" x14ac:dyDescent="0.2">
      <c r="A27" s="17">
        <v>1049.9000000000001</v>
      </c>
      <c r="C27" s="17">
        <v>10802.4</v>
      </c>
      <c r="E27" s="17">
        <v>10664.8</v>
      </c>
      <c r="F27" s="17">
        <v>10708.5</v>
      </c>
      <c r="G27" s="17">
        <v>10663.3</v>
      </c>
      <c r="H27" s="17">
        <v>10710</v>
      </c>
    </row>
    <row r="28" spans="1:8" x14ac:dyDescent="0.2">
      <c r="A28" s="17">
        <v>1049.8</v>
      </c>
      <c r="C28" s="17">
        <v>10800.8</v>
      </c>
      <c r="E28" s="17">
        <v>10666.6</v>
      </c>
      <c r="F28" s="17">
        <v>10714.6</v>
      </c>
      <c r="G28" s="17">
        <v>10665.1</v>
      </c>
      <c r="H28" s="17">
        <v>10716.2</v>
      </c>
    </row>
    <row r="29" spans="1:8" x14ac:dyDescent="0.2">
      <c r="A29" s="17">
        <v>1049.7</v>
      </c>
      <c r="C29" s="17">
        <v>10833.8</v>
      </c>
      <c r="E29" s="17">
        <v>10668.4</v>
      </c>
      <c r="F29" s="17">
        <v>10721.2</v>
      </c>
      <c r="G29" s="17">
        <v>10666.9</v>
      </c>
      <c r="H29" s="17">
        <v>10722.8</v>
      </c>
    </row>
    <row r="30" spans="1:8" x14ac:dyDescent="0.2">
      <c r="A30" s="17">
        <v>1049.5999999999999</v>
      </c>
      <c r="C30" s="17">
        <v>10845.9</v>
      </c>
      <c r="E30" s="17">
        <v>10670.3</v>
      </c>
      <c r="F30" s="17">
        <v>10728.3</v>
      </c>
      <c r="G30" s="17">
        <v>10668.7</v>
      </c>
      <c r="H30" s="17">
        <v>10729.9</v>
      </c>
    </row>
    <row r="31" spans="1:8" x14ac:dyDescent="0.2">
      <c r="A31" s="17">
        <v>1049.5</v>
      </c>
      <c r="C31" s="17">
        <v>10932.5</v>
      </c>
      <c r="E31" s="17">
        <v>10672.1</v>
      </c>
      <c r="F31" s="17">
        <v>10735.9</v>
      </c>
      <c r="G31" s="17">
        <v>10670.5</v>
      </c>
      <c r="H31" s="17">
        <v>10737.5</v>
      </c>
    </row>
    <row r="32" spans="1:8" x14ac:dyDescent="0.2">
      <c r="A32" s="17">
        <v>1049.4000000000001</v>
      </c>
      <c r="C32" s="17">
        <v>10771</v>
      </c>
      <c r="E32" s="17">
        <v>10673.9</v>
      </c>
      <c r="F32" s="17">
        <v>10744.1</v>
      </c>
      <c r="G32" s="17">
        <v>10672.3</v>
      </c>
      <c r="H32" s="17">
        <v>10745.7</v>
      </c>
    </row>
    <row r="33" spans="1:8" x14ac:dyDescent="0.2">
      <c r="A33" s="17">
        <v>1049.3</v>
      </c>
      <c r="C33" s="17">
        <v>10831.3</v>
      </c>
      <c r="E33" s="17">
        <v>10675.7</v>
      </c>
      <c r="F33" s="17">
        <v>10752.8</v>
      </c>
      <c r="G33" s="17">
        <v>10674.1</v>
      </c>
      <c r="H33" s="17">
        <v>10754.4</v>
      </c>
    </row>
    <row r="34" spans="1:8" x14ac:dyDescent="0.2">
      <c r="A34" s="17">
        <v>1049.2</v>
      </c>
      <c r="C34" s="17">
        <v>10937.2</v>
      </c>
      <c r="E34" s="17">
        <v>10677.5</v>
      </c>
      <c r="F34" s="17">
        <v>10762.2</v>
      </c>
      <c r="G34" s="17">
        <v>10676</v>
      </c>
      <c r="H34" s="17">
        <v>10763.8</v>
      </c>
    </row>
    <row r="35" spans="1:8" x14ac:dyDescent="0.2">
      <c r="A35" s="17">
        <v>1049.0999999999999</v>
      </c>
      <c r="C35" s="17">
        <v>10845.6</v>
      </c>
      <c r="E35" s="17">
        <v>10679.4</v>
      </c>
      <c r="F35" s="17">
        <v>10772.2</v>
      </c>
      <c r="G35" s="17">
        <v>10677.8</v>
      </c>
      <c r="H35" s="17">
        <v>10773.9</v>
      </c>
    </row>
    <row r="36" spans="1:8" x14ac:dyDescent="0.2">
      <c r="A36" s="17">
        <v>1049</v>
      </c>
      <c r="C36" s="17">
        <v>10863.4</v>
      </c>
      <c r="E36" s="17">
        <v>10681.2</v>
      </c>
      <c r="F36" s="17">
        <v>10782.9</v>
      </c>
      <c r="G36" s="17">
        <v>10679.6</v>
      </c>
      <c r="H36" s="17">
        <v>10784.5</v>
      </c>
    </row>
    <row r="37" spans="1:8" x14ac:dyDescent="0.2">
      <c r="A37" s="17">
        <v>1048.9000000000001</v>
      </c>
      <c r="C37" s="17">
        <v>10887.1</v>
      </c>
      <c r="E37" s="17">
        <v>10683</v>
      </c>
      <c r="F37" s="17">
        <v>10794.3</v>
      </c>
      <c r="G37" s="17">
        <v>10681.4</v>
      </c>
      <c r="H37" s="17">
        <v>10795.9</v>
      </c>
    </row>
    <row r="38" spans="1:8" x14ac:dyDescent="0.2">
      <c r="A38" s="17">
        <v>1048.8</v>
      </c>
      <c r="C38" s="17">
        <v>10942.6</v>
      </c>
      <c r="E38" s="17">
        <v>10684.9</v>
      </c>
      <c r="F38" s="17">
        <v>10806.3</v>
      </c>
      <c r="G38" s="17">
        <v>10683.2</v>
      </c>
      <c r="H38" s="17">
        <v>10807.9</v>
      </c>
    </row>
    <row r="39" spans="1:8" x14ac:dyDescent="0.2">
      <c r="A39" s="17">
        <v>1048.7</v>
      </c>
      <c r="C39" s="17">
        <v>10928.2</v>
      </c>
      <c r="E39" s="17">
        <v>10686.7</v>
      </c>
      <c r="F39" s="17">
        <v>10819</v>
      </c>
      <c r="G39" s="17">
        <v>10685</v>
      </c>
      <c r="H39" s="17">
        <v>10820.6</v>
      </c>
    </row>
    <row r="40" spans="1:8" x14ac:dyDescent="0.2">
      <c r="A40" s="17">
        <v>1048.5999999999999</v>
      </c>
      <c r="C40" s="17">
        <v>10948.1</v>
      </c>
      <c r="E40" s="17">
        <v>10688.5</v>
      </c>
      <c r="F40" s="17">
        <v>10832.4</v>
      </c>
      <c r="G40" s="17">
        <v>10686.8</v>
      </c>
      <c r="H40" s="17">
        <v>10834</v>
      </c>
    </row>
    <row r="41" spans="1:8" x14ac:dyDescent="0.2">
      <c r="A41" s="17">
        <v>1048.5</v>
      </c>
      <c r="C41" s="17">
        <v>10963</v>
      </c>
      <c r="E41" s="17">
        <v>10690.3</v>
      </c>
      <c r="F41" s="17">
        <v>10846.4</v>
      </c>
      <c r="G41" s="17">
        <v>10688.6</v>
      </c>
      <c r="H41" s="17">
        <v>10848</v>
      </c>
    </row>
    <row r="42" spans="1:8" x14ac:dyDescent="0.2">
      <c r="A42" s="17">
        <v>1048.4000000000001</v>
      </c>
      <c r="C42" s="17">
        <v>10933.1</v>
      </c>
      <c r="E42" s="17">
        <v>10692.2</v>
      </c>
      <c r="F42" s="17">
        <v>10861</v>
      </c>
      <c r="G42" s="17">
        <v>10690.5</v>
      </c>
      <c r="H42" s="17">
        <v>10862.7</v>
      </c>
    </row>
    <row r="43" spans="1:8" x14ac:dyDescent="0.2">
      <c r="A43" s="17">
        <v>1048.3</v>
      </c>
      <c r="C43" s="17">
        <v>10916.7</v>
      </c>
      <c r="E43" s="17">
        <v>10694</v>
      </c>
      <c r="F43" s="17">
        <v>10876.2</v>
      </c>
      <c r="G43" s="17">
        <v>10692.3</v>
      </c>
      <c r="H43" s="17">
        <v>10877.9</v>
      </c>
    </row>
    <row r="44" spans="1:8" x14ac:dyDescent="0.2">
      <c r="A44" s="17">
        <v>1048.2</v>
      </c>
      <c r="C44" s="17">
        <v>10961</v>
      </c>
      <c r="E44" s="17">
        <v>10695.8</v>
      </c>
      <c r="F44" s="17">
        <v>10891.9</v>
      </c>
      <c r="G44" s="17">
        <v>10694.1</v>
      </c>
      <c r="H44" s="17">
        <v>10893.7</v>
      </c>
    </row>
    <row r="45" spans="1:8" x14ac:dyDescent="0.2">
      <c r="A45" s="17">
        <v>1048.0999999999999</v>
      </c>
      <c r="C45" s="17">
        <v>10962.3</v>
      </c>
      <c r="E45" s="17">
        <v>10697.6</v>
      </c>
      <c r="F45" s="17">
        <v>10908.2</v>
      </c>
      <c r="G45" s="17">
        <v>10695.9</v>
      </c>
      <c r="H45" s="17">
        <v>10909.9</v>
      </c>
    </row>
    <row r="46" spans="1:8" x14ac:dyDescent="0.2">
      <c r="A46" s="17">
        <v>1048</v>
      </c>
      <c r="C46" s="17">
        <v>10900.1</v>
      </c>
      <c r="E46" s="17">
        <v>10699.5</v>
      </c>
      <c r="F46" s="17">
        <v>10924.8</v>
      </c>
      <c r="G46" s="17">
        <v>10697.7</v>
      </c>
      <c r="H46" s="17">
        <v>10926.5</v>
      </c>
    </row>
    <row r="47" spans="1:8" x14ac:dyDescent="0.2">
      <c r="A47" s="17">
        <v>1047.9000000000001</v>
      </c>
      <c r="C47" s="17">
        <v>10995.5</v>
      </c>
      <c r="E47" s="17">
        <v>10701.3</v>
      </c>
      <c r="F47" s="17">
        <v>10941.7</v>
      </c>
      <c r="G47" s="17">
        <v>10699.5</v>
      </c>
      <c r="H47" s="17">
        <v>10943.5</v>
      </c>
    </row>
    <row r="48" spans="1:8" x14ac:dyDescent="0.2">
      <c r="A48" s="17">
        <v>1047.8</v>
      </c>
      <c r="C48" s="17">
        <v>10993.4</v>
      </c>
      <c r="E48" s="17">
        <v>10703.1</v>
      </c>
      <c r="F48" s="17">
        <v>10958.8</v>
      </c>
      <c r="G48" s="17">
        <v>10701.3</v>
      </c>
      <c r="H48" s="17">
        <v>10960.6</v>
      </c>
    </row>
    <row r="49" spans="1:8" x14ac:dyDescent="0.2">
      <c r="A49" s="17">
        <v>1047.7</v>
      </c>
      <c r="C49" s="17">
        <v>11025.7</v>
      </c>
      <c r="E49" s="17">
        <v>10704.9</v>
      </c>
      <c r="F49" s="17">
        <v>10976.1</v>
      </c>
      <c r="G49" s="17">
        <v>10703.1</v>
      </c>
      <c r="H49" s="17">
        <v>10977.9</v>
      </c>
    </row>
    <row r="50" spans="1:8" x14ac:dyDescent="0.2">
      <c r="A50" s="17">
        <v>1047.5999999999999</v>
      </c>
      <c r="C50" s="17">
        <v>11074.3</v>
      </c>
      <c r="E50" s="17">
        <v>10706.8</v>
      </c>
      <c r="F50" s="17">
        <v>10993.3</v>
      </c>
      <c r="G50" s="17">
        <v>10705</v>
      </c>
      <c r="H50" s="17">
        <v>10995.1</v>
      </c>
    </row>
    <row r="51" spans="1:8" x14ac:dyDescent="0.2">
      <c r="A51" s="17">
        <v>1047.5</v>
      </c>
      <c r="C51" s="17">
        <v>11096.2</v>
      </c>
      <c r="E51" s="17">
        <v>10708.6</v>
      </c>
      <c r="F51" s="17">
        <v>11010.4</v>
      </c>
      <c r="G51" s="17">
        <v>10706.8</v>
      </c>
      <c r="H51" s="17">
        <v>11012.3</v>
      </c>
    </row>
    <row r="52" spans="1:8" x14ac:dyDescent="0.2">
      <c r="A52" s="17">
        <v>1047.4000000000001</v>
      </c>
      <c r="C52" s="17">
        <v>11064.8</v>
      </c>
      <c r="E52" s="17">
        <v>10710.4</v>
      </c>
      <c r="F52" s="17">
        <v>11027.2</v>
      </c>
      <c r="G52" s="17">
        <v>10708.6</v>
      </c>
      <c r="H52" s="17">
        <v>11029.1</v>
      </c>
    </row>
    <row r="53" spans="1:8" x14ac:dyDescent="0.2">
      <c r="A53" s="17">
        <v>1047.3</v>
      </c>
      <c r="C53" s="17">
        <v>11081.4</v>
      </c>
      <c r="E53" s="17">
        <v>10712.3</v>
      </c>
      <c r="F53" s="17">
        <v>11043.6</v>
      </c>
      <c r="G53" s="17">
        <v>10710.4</v>
      </c>
      <c r="H53" s="17">
        <v>11045.4</v>
      </c>
    </row>
    <row r="54" spans="1:8" x14ac:dyDescent="0.2">
      <c r="A54" s="17">
        <v>1047.2</v>
      </c>
      <c r="C54" s="17">
        <v>11010.9</v>
      </c>
      <c r="E54" s="17">
        <v>10714.1</v>
      </c>
      <c r="F54" s="17">
        <v>11059.3</v>
      </c>
      <c r="G54" s="17">
        <v>10712.2</v>
      </c>
      <c r="H54" s="17">
        <v>11061.2</v>
      </c>
    </row>
    <row r="55" spans="1:8" x14ac:dyDescent="0.2">
      <c r="A55" s="17">
        <v>1047.0999999999999</v>
      </c>
      <c r="C55" s="17">
        <v>11057.5</v>
      </c>
      <c r="E55" s="17">
        <v>10715.9</v>
      </c>
      <c r="F55" s="17">
        <v>11074.3</v>
      </c>
      <c r="G55" s="17">
        <v>10714</v>
      </c>
      <c r="H55" s="17">
        <v>11076.2</v>
      </c>
    </row>
    <row r="56" spans="1:8" x14ac:dyDescent="0.2">
      <c r="A56" s="17">
        <v>1047</v>
      </c>
      <c r="C56" s="17">
        <v>11088.5</v>
      </c>
      <c r="E56" s="17">
        <v>10717.7</v>
      </c>
      <c r="F56" s="17">
        <v>11088.2</v>
      </c>
      <c r="G56" s="17">
        <v>10715.8</v>
      </c>
      <c r="H56" s="17">
        <v>11090.2</v>
      </c>
    </row>
    <row r="57" spans="1:8" x14ac:dyDescent="0.2">
      <c r="A57" s="17">
        <v>1046.9000000000001</v>
      </c>
      <c r="C57" s="17">
        <v>11105.1</v>
      </c>
      <c r="E57" s="17">
        <v>10719.6</v>
      </c>
      <c r="F57" s="17">
        <v>11101.1</v>
      </c>
      <c r="G57" s="17">
        <v>10717.6</v>
      </c>
      <c r="H57" s="17">
        <v>11103</v>
      </c>
    </row>
    <row r="58" spans="1:8" x14ac:dyDescent="0.2">
      <c r="A58" s="17">
        <v>1046.8</v>
      </c>
      <c r="C58" s="17">
        <v>11168.2</v>
      </c>
      <c r="E58" s="17">
        <v>10721.4</v>
      </c>
      <c r="F58" s="17">
        <v>11112.5</v>
      </c>
      <c r="G58" s="17">
        <v>10719.5</v>
      </c>
      <c r="H58" s="17">
        <v>11114.5</v>
      </c>
    </row>
    <row r="59" spans="1:8" x14ac:dyDescent="0.2">
      <c r="A59" s="17">
        <v>1046.7</v>
      </c>
      <c r="C59" s="17">
        <v>11161.3</v>
      </c>
      <c r="E59" s="17">
        <v>10723.2</v>
      </c>
      <c r="F59" s="17">
        <v>11122.5</v>
      </c>
      <c r="G59" s="17">
        <v>10721.3</v>
      </c>
      <c r="H59" s="17">
        <v>11124.5</v>
      </c>
    </row>
    <row r="60" spans="1:8" x14ac:dyDescent="0.2">
      <c r="A60" s="17">
        <v>1046.5999999999999</v>
      </c>
      <c r="C60" s="17">
        <v>11147.3</v>
      </c>
      <c r="E60" s="17">
        <v>10725.1</v>
      </c>
      <c r="F60" s="17">
        <v>11130.8</v>
      </c>
      <c r="G60" s="17">
        <v>10723.1</v>
      </c>
      <c r="H60" s="17">
        <v>11132.8</v>
      </c>
    </row>
    <row r="61" spans="1:8" x14ac:dyDescent="0.2">
      <c r="A61" s="17">
        <v>1046.5</v>
      </c>
      <c r="C61" s="17">
        <v>11063.9</v>
      </c>
      <c r="E61" s="17">
        <v>10726.9</v>
      </c>
      <c r="F61" s="17">
        <v>11137.3</v>
      </c>
      <c r="G61" s="17">
        <v>10724.9</v>
      </c>
      <c r="H61" s="17">
        <v>11139.3</v>
      </c>
    </row>
    <row r="62" spans="1:8" x14ac:dyDescent="0.2">
      <c r="A62" s="17">
        <v>1046.4000000000001</v>
      </c>
      <c r="C62" s="17">
        <v>11199.8</v>
      </c>
      <c r="E62" s="17">
        <v>10728.7</v>
      </c>
      <c r="F62" s="17">
        <v>11142</v>
      </c>
      <c r="G62" s="17">
        <v>10726.7</v>
      </c>
      <c r="H62" s="17">
        <v>11144</v>
      </c>
    </row>
    <row r="63" spans="1:8" x14ac:dyDescent="0.2">
      <c r="A63" s="17">
        <v>1046.3</v>
      </c>
      <c r="C63" s="17">
        <v>11156.9</v>
      </c>
      <c r="E63" s="17">
        <v>10730.5</v>
      </c>
      <c r="F63" s="17">
        <v>11144.7</v>
      </c>
      <c r="G63" s="17">
        <v>10728.5</v>
      </c>
      <c r="H63" s="17">
        <v>11146.7</v>
      </c>
    </row>
    <row r="64" spans="1:8" x14ac:dyDescent="0.2">
      <c r="A64" s="17">
        <v>1046.2</v>
      </c>
      <c r="C64" s="17">
        <v>11166.1</v>
      </c>
      <c r="E64" s="17">
        <v>10732.4</v>
      </c>
      <c r="F64" s="17">
        <v>11145.4</v>
      </c>
      <c r="G64" s="17">
        <v>10730.3</v>
      </c>
      <c r="H64" s="17">
        <v>11147.5</v>
      </c>
    </row>
    <row r="65" spans="1:8" x14ac:dyDescent="0.2">
      <c r="A65" s="17">
        <v>1046.0999999999999</v>
      </c>
      <c r="C65" s="17">
        <v>11109.9</v>
      </c>
      <c r="E65" s="17">
        <v>10734.2</v>
      </c>
      <c r="F65" s="17">
        <v>11144.2</v>
      </c>
      <c r="G65" s="17">
        <v>10732.1</v>
      </c>
      <c r="H65" s="17">
        <v>11146.3</v>
      </c>
    </row>
    <row r="66" spans="1:8" x14ac:dyDescent="0.2">
      <c r="A66" s="17">
        <v>1046</v>
      </c>
      <c r="C66" s="17">
        <v>11140</v>
      </c>
      <c r="E66" s="17">
        <v>10736</v>
      </c>
      <c r="F66" s="17">
        <v>11141.1</v>
      </c>
      <c r="G66" s="17">
        <v>10734</v>
      </c>
      <c r="H66" s="17">
        <v>11143.2</v>
      </c>
    </row>
    <row r="67" spans="1:8" x14ac:dyDescent="0.2">
      <c r="A67" s="17">
        <v>1045.9000000000001</v>
      </c>
      <c r="C67" s="17">
        <v>11130.7</v>
      </c>
      <c r="E67" s="17">
        <v>10737.9</v>
      </c>
      <c r="F67" s="17">
        <v>11136.3</v>
      </c>
      <c r="G67" s="17">
        <v>10735.8</v>
      </c>
      <c r="H67" s="17">
        <v>11138.4</v>
      </c>
    </row>
    <row r="68" spans="1:8" x14ac:dyDescent="0.2">
      <c r="A68" s="17">
        <v>1045.8</v>
      </c>
      <c r="C68" s="17">
        <v>11224.4</v>
      </c>
      <c r="E68" s="17">
        <v>10739.7</v>
      </c>
      <c r="F68" s="17">
        <v>11129.8</v>
      </c>
      <c r="G68" s="17">
        <v>10737.6</v>
      </c>
      <c r="H68" s="17">
        <v>11131.9</v>
      </c>
    </row>
    <row r="69" spans="1:8" x14ac:dyDescent="0.2">
      <c r="A69" s="17">
        <v>1045.7</v>
      </c>
      <c r="C69" s="17">
        <v>11192.5</v>
      </c>
      <c r="E69" s="17">
        <v>10741.5</v>
      </c>
      <c r="F69" s="17">
        <v>11121.8</v>
      </c>
      <c r="G69" s="17">
        <v>10739.4</v>
      </c>
      <c r="H69" s="17">
        <v>11124</v>
      </c>
    </row>
    <row r="70" spans="1:8" x14ac:dyDescent="0.2">
      <c r="A70" s="17">
        <v>1045.5999999999999</v>
      </c>
      <c r="C70" s="17">
        <v>11216.8</v>
      </c>
      <c r="E70" s="17">
        <v>10743.4</v>
      </c>
      <c r="F70" s="17">
        <v>11112.5</v>
      </c>
      <c r="G70" s="17">
        <v>10741.2</v>
      </c>
      <c r="H70" s="17">
        <v>11114.7</v>
      </c>
    </row>
    <row r="71" spans="1:8" x14ac:dyDescent="0.2">
      <c r="A71" s="17">
        <v>1045.5</v>
      </c>
      <c r="C71" s="17">
        <v>11183.6</v>
      </c>
      <c r="E71" s="17">
        <v>10745.2</v>
      </c>
      <c r="F71" s="17">
        <v>11102.1</v>
      </c>
      <c r="G71" s="17">
        <v>10743</v>
      </c>
      <c r="H71" s="17">
        <v>11104.2</v>
      </c>
    </row>
    <row r="72" spans="1:8" x14ac:dyDescent="0.2">
      <c r="A72" s="17">
        <v>1045.4000000000001</v>
      </c>
      <c r="C72" s="17">
        <v>11171.3</v>
      </c>
      <c r="E72" s="17">
        <v>10747</v>
      </c>
      <c r="F72" s="17">
        <v>11090.7</v>
      </c>
      <c r="G72" s="17">
        <v>10744.8</v>
      </c>
      <c r="H72" s="17">
        <v>11092.9</v>
      </c>
    </row>
    <row r="73" spans="1:8" x14ac:dyDescent="0.2">
      <c r="A73" s="17">
        <v>1045.3</v>
      </c>
      <c r="C73" s="17">
        <v>11129.1</v>
      </c>
      <c r="E73" s="17">
        <v>10748.9</v>
      </c>
      <c r="F73" s="17">
        <v>11078.5</v>
      </c>
      <c r="G73" s="17">
        <v>10746.6</v>
      </c>
      <c r="H73" s="17">
        <v>11080.7</v>
      </c>
    </row>
    <row r="74" spans="1:8" x14ac:dyDescent="0.2">
      <c r="A74" s="17">
        <v>1045.2</v>
      </c>
      <c r="C74" s="17">
        <v>11074.1</v>
      </c>
      <c r="E74" s="17">
        <v>10750.7</v>
      </c>
      <c r="F74" s="17">
        <v>11065.7</v>
      </c>
      <c r="G74" s="17">
        <v>10748.5</v>
      </c>
      <c r="H74" s="17">
        <v>11067.9</v>
      </c>
    </row>
    <row r="75" spans="1:8" x14ac:dyDescent="0.2">
      <c r="A75" s="17">
        <v>1045.0999999999999</v>
      </c>
      <c r="C75" s="17">
        <v>10989.6</v>
      </c>
      <c r="E75" s="17">
        <v>10752.5</v>
      </c>
      <c r="F75" s="17">
        <v>11052.5</v>
      </c>
      <c r="G75" s="17">
        <v>10750.3</v>
      </c>
      <c r="H75" s="17">
        <v>11054.7</v>
      </c>
    </row>
    <row r="76" spans="1:8" x14ac:dyDescent="0.2">
      <c r="A76" s="17">
        <v>1045</v>
      </c>
      <c r="C76" s="17">
        <v>11041.7</v>
      </c>
      <c r="E76" s="17">
        <v>10754.4</v>
      </c>
      <c r="F76" s="17">
        <v>11039</v>
      </c>
      <c r="G76" s="17">
        <v>10752.1</v>
      </c>
      <c r="H76" s="17">
        <v>11041.3</v>
      </c>
    </row>
    <row r="77" spans="1:8" x14ac:dyDescent="0.2">
      <c r="A77" s="17">
        <v>1044.9000000000001</v>
      </c>
      <c r="C77" s="17">
        <v>11072.4</v>
      </c>
      <c r="E77" s="17">
        <v>10756.2</v>
      </c>
      <c r="F77" s="17">
        <v>11025.4</v>
      </c>
      <c r="G77" s="17">
        <v>10753.9</v>
      </c>
      <c r="H77" s="17">
        <v>11027.7</v>
      </c>
    </row>
    <row r="78" spans="1:8" x14ac:dyDescent="0.2">
      <c r="A78" s="17">
        <v>1044.8</v>
      </c>
      <c r="C78" s="17">
        <v>11018.4</v>
      </c>
      <c r="E78" s="17">
        <v>10758</v>
      </c>
      <c r="F78" s="17">
        <v>11011.7</v>
      </c>
      <c r="G78" s="17">
        <v>10755.7</v>
      </c>
      <c r="H78" s="17">
        <v>11014.1</v>
      </c>
    </row>
    <row r="79" spans="1:8" x14ac:dyDescent="0.2">
      <c r="A79" s="17">
        <v>1044.7</v>
      </c>
      <c r="C79" s="17">
        <v>11077</v>
      </c>
      <c r="E79" s="17">
        <v>10759.9</v>
      </c>
      <c r="F79" s="17">
        <v>10998.2</v>
      </c>
      <c r="G79" s="17">
        <v>10757.5</v>
      </c>
      <c r="H79" s="17">
        <v>11000.6</v>
      </c>
    </row>
    <row r="80" spans="1:8" x14ac:dyDescent="0.2">
      <c r="A80" s="17">
        <v>1044.5999999999999</v>
      </c>
      <c r="C80" s="17">
        <v>10993.1</v>
      </c>
      <c r="E80" s="17">
        <v>10761.7</v>
      </c>
      <c r="F80" s="17">
        <v>10985</v>
      </c>
      <c r="G80" s="17">
        <v>10759.3</v>
      </c>
      <c r="H80" s="17">
        <v>10987.3</v>
      </c>
    </row>
    <row r="81" spans="1:8" x14ac:dyDescent="0.2">
      <c r="A81" s="17">
        <v>1044.5</v>
      </c>
      <c r="C81" s="17">
        <v>10996.6</v>
      </c>
      <c r="E81" s="17">
        <v>10763.5</v>
      </c>
      <c r="F81" s="17">
        <v>10972</v>
      </c>
      <c r="G81" s="17">
        <v>10761.1</v>
      </c>
      <c r="H81" s="17">
        <v>10974.4</v>
      </c>
    </row>
    <row r="82" spans="1:8" x14ac:dyDescent="0.2">
      <c r="A82" s="17">
        <v>1044.4000000000001</v>
      </c>
      <c r="C82" s="17">
        <v>10968.8</v>
      </c>
      <c r="E82" s="17">
        <v>10765.4</v>
      </c>
      <c r="F82" s="17">
        <v>10959.5</v>
      </c>
      <c r="G82" s="17">
        <v>10763</v>
      </c>
      <c r="H82" s="17">
        <v>10961.9</v>
      </c>
    </row>
    <row r="83" spans="1:8" x14ac:dyDescent="0.2">
      <c r="A83" s="17">
        <v>1044.3</v>
      </c>
      <c r="C83" s="17">
        <v>11050.1</v>
      </c>
      <c r="E83" s="17">
        <v>10767.2</v>
      </c>
      <c r="F83" s="17">
        <v>10947.4</v>
      </c>
      <c r="G83" s="17">
        <v>10764.8</v>
      </c>
      <c r="H83" s="17">
        <v>10949.8</v>
      </c>
    </row>
    <row r="84" spans="1:8" x14ac:dyDescent="0.2">
      <c r="A84" s="17">
        <v>1044.2</v>
      </c>
      <c r="C84" s="17">
        <v>10923.8</v>
      </c>
      <c r="E84" s="17">
        <v>10769</v>
      </c>
      <c r="F84" s="17">
        <v>10935.9</v>
      </c>
      <c r="G84" s="17">
        <v>10766.6</v>
      </c>
      <c r="H84" s="17">
        <v>10938.3</v>
      </c>
    </row>
    <row r="85" spans="1:8" x14ac:dyDescent="0.2">
      <c r="A85" s="17">
        <v>1044.0999999999999</v>
      </c>
      <c r="C85" s="17">
        <v>10883.2</v>
      </c>
      <c r="E85" s="17">
        <v>10770.9</v>
      </c>
      <c r="F85" s="17">
        <v>10924.9</v>
      </c>
      <c r="G85" s="17">
        <v>10768.4</v>
      </c>
      <c r="H85" s="17">
        <v>10927.4</v>
      </c>
    </row>
    <row r="86" spans="1:8" x14ac:dyDescent="0.2">
      <c r="A86" s="17">
        <v>1044</v>
      </c>
      <c r="C86" s="17">
        <v>10910</v>
      </c>
      <c r="E86" s="17">
        <v>10772.7</v>
      </c>
      <c r="F86" s="17">
        <v>10914.6</v>
      </c>
      <c r="G86" s="17">
        <v>10770.2</v>
      </c>
      <c r="H86" s="17">
        <v>10917.1</v>
      </c>
    </row>
    <row r="87" spans="1:8" x14ac:dyDescent="0.2">
      <c r="A87" s="17">
        <v>1043.9000000000001</v>
      </c>
      <c r="C87" s="17">
        <v>10937.6</v>
      </c>
      <c r="E87" s="17">
        <v>10774.5</v>
      </c>
      <c r="F87" s="17">
        <v>10904.9</v>
      </c>
      <c r="G87" s="17">
        <v>10772</v>
      </c>
      <c r="H87" s="17">
        <v>10907.4</v>
      </c>
    </row>
    <row r="88" spans="1:8" x14ac:dyDescent="0.2">
      <c r="A88" s="17">
        <v>1043.8</v>
      </c>
      <c r="C88" s="17">
        <v>10918.1</v>
      </c>
      <c r="E88" s="17">
        <v>10776.4</v>
      </c>
      <c r="F88" s="17">
        <v>10895.9</v>
      </c>
      <c r="G88" s="17">
        <v>10773.8</v>
      </c>
      <c r="H88" s="17">
        <v>10898.5</v>
      </c>
    </row>
    <row r="89" spans="1:8" x14ac:dyDescent="0.2">
      <c r="A89" s="17">
        <v>1043.7</v>
      </c>
      <c r="C89" s="17">
        <v>10893.1</v>
      </c>
      <c r="E89" s="17">
        <v>10778.2</v>
      </c>
      <c r="F89" s="17">
        <v>10887.6</v>
      </c>
      <c r="G89" s="17">
        <v>10775.7</v>
      </c>
      <c r="H89" s="17">
        <v>10890.2</v>
      </c>
    </row>
    <row r="90" spans="1:8" x14ac:dyDescent="0.2">
      <c r="A90" s="17">
        <v>1043.5999999999999</v>
      </c>
      <c r="C90" s="17">
        <v>10878.3</v>
      </c>
      <c r="E90" s="17">
        <v>10780.1</v>
      </c>
      <c r="F90" s="17">
        <v>10879.9</v>
      </c>
      <c r="G90" s="17">
        <v>10777.5</v>
      </c>
      <c r="H90" s="17">
        <v>10882.5</v>
      </c>
    </row>
    <row r="91" spans="1:8" x14ac:dyDescent="0.2">
      <c r="A91" s="17">
        <v>1043.5</v>
      </c>
      <c r="C91" s="17">
        <v>10854.8</v>
      </c>
      <c r="E91" s="17">
        <v>10781.9</v>
      </c>
      <c r="F91" s="17">
        <v>10872.9</v>
      </c>
      <c r="G91" s="17">
        <v>10779.3</v>
      </c>
      <c r="H91" s="17">
        <v>10875.6</v>
      </c>
    </row>
    <row r="92" spans="1:8" x14ac:dyDescent="0.2">
      <c r="A92" s="17">
        <v>1043.4000000000001</v>
      </c>
      <c r="C92" s="17">
        <v>10852.3</v>
      </c>
      <c r="E92" s="17">
        <v>10783.7</v>
      </c>
      <c r="F92" s="17">
        <v>10866.6</v>
      </c>
      <c r="G92" s="17">
        <v>10781.1</v>
      </c>
      <c r="H92" s="17">
        <v>10869.3</v>
      </c>
    </row>
    <row r="93" spans="1:8" x14ac:dyDescent="0.2">
      <c r="A93" s="17">
        <v>1043.3</v>
      </c>
      <c r="C93" s="17">
        <v>10854</v>
      </c>
      <c r="E93" s="17">
        <v>10785.6</v>
      </c>
      <c r="F93" s="17">
        <v>10860.9</v>
      </c>
      <c r="G93" s="17">
        <v>10782.9</v>
      </c>
      <c r="H93" s="17">
        <v>10863.6</v>
      </c>
    </row>
    <row r="94" spans="1:8" x14ac:dyDescent="0.2">
      <c r="A94" s="17">
        <v>1043.2</v>
      </c>
      <c r="C94" s="17">
        <v>10843.8</v>
      </c>
      <c r="E94" s="17">
        <v>10787.4</v>
      </c>
      <c r="F94" s="17">
        <v>10855.8</v>
      </c>
      <c r="G94" s="17">
        <v>10784.7</v>
      </c>
      <c r="H94" s="17">
        <v>10858.5</v>
      </c>
    </row>
    <row r="95" spans="1:8" x14ac:dyDescent="0.2">
      <c r="A95" s="17">
        <v>1043.0999999999999</v>
      </c>
      <c r="C95" s="17">
        <v>10867.8</v>
      </c>
      <c r="E95" s="17">
        <v>10789.2</v>
      </c>
      <c r="F95" s="17">
        <v>10851.4</v>
      </c>
      <c r="G95" s="17">
        <v>10786.5</v>
      </c>
      <c r="H95" s="17">
        <v>10854.1</v>
      </c>
    </row>
    <row r="96" spans="1:8" x14ac:dyDescent="0.2">
      <c r="A96" s="17">
        <v>1043</v>
      </c>
      <c r="C96" s="17">
        <v>10906.3</v>
      </c>
      <c r="E96" s="17">
        <v>10791.1</v>
      </c>
      <c r="F96" s="17">
        <v>10847.4</v>
      </c>
      <c r="G96" s="17">
        <v>10788.3</v>
      </c>
      <c r="H96" s="17">
        <v>10850.2</v>
      </c>
    </row>
    <row r="97" spans="1:8" x14ac:dyDescent="0.2">
      <c r="A97" s="17">
        <v>1042.9000000000001</v>
      </c>
      <c r="C97" s="17">
        <v>10873.6</v>
      </c>
      <c r="E97" s="17">
        <v>10792.9</v>
      </c>
      <c r="F97" s="17">
        <v>10844</v>
      </c>
      <c r="G97" s="17">
        <v>10790.2</v>
      </c>
      <c r="H97" s="17">
        <v>10846.8</v>
      </c>
    </row>
    <row r="98" spans="1:8" x14ac:dyDescent="0.2">
      <c r="A98" s="17">
        <v>1042.8</v>
      </c>
      <c r="C98" s="17">
        <v>10875.2</v>
      </c>
      <c r="E98" s="17">
        <v>10794.8</v>
      </c>
      <c r="F98" s="17">
        <v>10841.1</v>
      </c>
      <c r="G98" s="17">
        <v>10792</v>
      </c>
      <c r="H98" s="17">
        <v>10843.9</v>
      </c>
    </row>
    <row r="99" spans="1:8" x14ac:dyDescent="0.2">
      <c r="A99" s="17">
        <v>1042.7</v>
      </c>
      <c r="C99" s="17">
        <v>10925.7</v>
      </c>
      <c r="E99" s="17">
        <v>10796.6</v>
      </c>
      <c r="F99" s="17">
        <v>10838.7</v>
      </c>
      <c r="G99" s="17">
        <v>10793.8</v>
      </c>
      <c r="H99" s="17">
        <v>10841.5</v>
      </c>
    </row>
    <row r="100" spans="1:8" x14ac:dyDescent="0.2">
      <c r="A100" s="17">
        <v>1042.5999999999999</v>
      </c>
      <c r="C100" s="17">
        <v>10883.7</v>
      </c>
      <c r="E100" s="17">
        <v>10798.4</v>
      </c>
      <c r="F100" s="17">
        <v>10836.6</v>
      </c>
      <c r="G100" s="17">
        <v>10795.6</v>
      </c>
      <c r="H100" s="17">
        <v>10839.5</v>
      </c>
    </row>
    <row r="101" spans="1:8" x14ac:dyDescent="0.2">
      <c r="A101" s="17">
        <v>1042.5</v>
      </c>
      <c r="C101" s="17">
        <v>10921.9</v>
      </c>
      <c r="E101" s="17">
        <v>10800.3</v>
      </c>
      <c r="F101" s="17">
        <v>10835</v>
      </c>
      <c r="G101" s="17">
        <v>10797.4</v>
      </c>
      <c r="H101" s="17">
        <v>10837.9</v>
      </c>
    </row>
    <row r="102" spans="1:8" x14ac:dyDescent="0.2">
      <c r="A102" s="17">
        <v>1042.4000000000001</v>
      </c>
      <c r="C102" s="17">
        <v>10848</v>
      </c>
      <c r="E102" s="17">
        <v>10802.1</v>
      </c>
      <c r="F102" s="17">
        <v>10833.7</v>
      </c>
      <c r="G102" s="17">
        <v>10799.2</v>
      </c>
      <c r="H102" s="17">
        <v>10836.6</v>
      </c>
    </row>
    <row r="103" spans="1:8" x14ac:dyDescent="0.2">
      <c r="A103" s="17">
        <v>1042.3</v>
      </c>
      <c r="C103" s="17">
        <v>10907.7</v>
      </c>
      <c r="E103" s="17">
        <v>10804</v>
      </c>
      <c r="F103" s="17">
        <v>10832.8</v>
      </c>
      <c r="G103" s="17">
        <v>10801</v>
      </c>
      <c r="H103" s="17">
        <v>10835.7</v>
      </c>
    </row>
    <row r="104" spans="1:8" x14ac:dyDescent="0.2">
      <c r="A104" s="17">
        <v>1042.2</v>
      </c>
      <c r="C104" s="17">
        <v>10905.8</v>
      </c>
      <c r="E104" s="17">
        <v>10805.8</v>
      </c>
      <c r="F104" s="17">
        <v>10832.1</v>
      </c>
      <c r="G104" s="17">
        <v>10802.8</v>
      </c>
      <c r="H104" s="17">
        <v>10835.1</v>
      </c>
    </row>
    <row r="105" spans="1:8" x14ac:dyDescent="0.2">
      <c r="A105" s="17">
        <v>1042.0999999999999</v>
      </c>
      <c r="C105" s="17">
        <v>10871.6</v>
      </c>
      <c r="E105" s="17">
        <v>10807.7</v>
      </c>
      <c r="F105" s="17">
        <v>10831.7</v>
      </c>
      <c r="G105" s="17">
        <v>10804.7</v>
      </c>
      <c r="H105" s="17">
        <v>10834.8</v>
      </c>
    </row>
    <row r="106" spans="1:8" x14ac:dyDescent="0.2">
      <c r="A106" s="17">
        <v>1042</v>
      </c>
      <c r="C106" s="17">
        <v>10879.4</v>
      </c>
      <c r="E106" s="17">
        <v>10809.5</v>
      </c>
      <c r="F106" s="17">
        <v>10831.6</v>
      </c>
      <c r="G106" s="17">
        <v>10806.5</v>
      </c>
      <c r="H106" s="17">
        <v>10834.6</v>
      </c>
    </row>
    <row r="107" spans="1:8" x14ac:dyDescent="0.2">
      <c r="A107" s="17">
        <v>1041.9000000000001</v>
      </c>
      <c r="C107" s="17">
        <v>10926.9</v>
      </c>
      <c r="E107" s="17">
        <v>10811.4</v>
      </c>
      <c r="F107" s="17">
        <v>10831.7</v>
      </c>
      <c r="G107" s="17">
        <v>10808.3</v>
      </c>
      <c r="H107" s="17">
        <v>10834.7</v>
      </c>
    </row>
    <row r="108" spans="1:8" x14ac:dyDescent="0.2">
      <c r="A108" s="17">
        <v>1041.8</v>
      </c>
      <c r="C108" s="17">
        <v>10987.2</v>
      </c>
      <c r="E108" s="17">
        <v>10813.2</v>
      </c>
      <c r="F108" s="17">
        <v>10831.9</v>
      </c>
      <c r="G108" s="17">
        <v>10810.1</v>
      </c>
      <c r="H108" s="17">
        <v>10835</v>
      </c>
    </row>
    <row r="109" spans="1:8" x14ac:dyDescent="0.2">
      <c r="A109" s="17">
        <v>1041.7</v>
      </c>
      <c r="C109" s="17">
        <v>10924.8</v>
      </c>
      <c r="E109" s="17">
        <v>10815</v>
      </c>
      <c r="F109" s="17">
        <v>10832.3</v>
      </c>
      <c r="G109" s="17">
        <v>10811.9</v>
      </c>
      <c r="H109" s="17">
        <v>10835.5</v>
      </c>
    </row>
    <row r="110" spans="1:8" x14ac:dyDescent="0.2">
      <c r="A110" s="17">
        <v>1041.5999999999999</v>
      </c>
      <c r="C110" s="17">
        <v>10825</v>
      </c>
      <c r="E110" s="17">
        <v>10816.9</v>
      </c>
      <c r="F110" s="17">
        <v>10832.9</v>
      </c>
      <c r="G110" s="17">
        <v>10813.7</v>
      </c>
      <c r="H110" s="17">
        <v>10836.1</v>
      </c>
    </row>
    <row r="111" spans="1:8" x14ac:dyDescent="0.2">
      <c r="A111" s="17">
        <v>1041.5</v>
      </c>
      <c r="C111" s="17">
        <v>10909.8</v>
      </c>
      <c r="E111" s="17">
        <v>10818.7</v>
      </c>
      <c r="F111" s="17">
        <v>10833.6</v>
      </c>
      <c r="G111" s="17">
        <v>10815.5</v>
      </c>
      <c r="H111" s="17">
        <v>10836.8</v>
      </c>
    </row>
    <row r="112" spans="1:8" x14ac:dyDescent="0.2">
      <c r="A112" s="17">
        <v>1041.4000000000001</v>
      </c>
      <c r="C112" s="17">
        <v>10870.4</v>
      </c>
      <c r="E112" s="17">
        <v>10820.6</v>
      </c>
      <c r="F112" s="17">
        <v>10834.4</v>
      </c>
      <c r="G112" s="17">
        <v>10817.3</v>
      </c>
      <c r="H112" s="17">
        <v>10837.7</v>
      </c>
    </row>
    <row r="113" spans="1:8" x14ac:dyDescent="0.2">
      <c r="A113" s="17">
        <v>1041.3</v>
      </c>
      <c r="C113" s="17">
        <v>10904.4</v>
      </c>
      <c r="E113" s="17">
        <v>10822.4</v>
      </c>
      <c r="F113" s="17">
        <v>10835.4</v>
      </c>
      <c r="G113" s="17">
        <v>10819.2</v>
      </c>
      <c r="H113" s="17">
        <v>10838.7</v>
      </c>
    </row>
    <row r="114" spans="1:8" x14ac:dyDescent="0.2">
      <c r="A114" s="17">
        <v>1041.2</v>
      </c>
      <c r="C114" s="17">
        <v>10996.4</v>
      </c>
      <c r="E114" s="17">
        <v>10824.3</v>
      </c>
      <c r="F114" s="17">
        <v>10836.4</v>
      </c>
      <c r="G114" s="17">
        <v>10821</v>
      </c>
      <c r="H114" s="17">
        <v>10839.7</v>
      </c>
    </row>
    <row r="115" spans="1:8" x14ac:dyDescent="0.2">
      <c r="A115" s="17">
        <v>1041.0999999999999</v>
      </c>
      <c r="C115" s="17">
        <v>10859.6</v>
      </c>
      <c r="E115" s="17">
        <v>10826.1</v>
      </c>
      <c r="F115" s="17">
        <v>10837.5</v>
      </c>
      <c r="G115" s="17">
        <v>10822.8</v>
      </c>
      <c r="H115" s="17">
        <v>10840.8</v>
      </c>
    </row>
    <row r="116" spans="1:8" x14ac:dyDescent="0.2">
      <c r="A116" s="17">
        <v>1041</v>
      </c>
      <c r="C116" s="17">
        <v>10962.5</v>
      </c>
      <c r="E116" s="17">
        <v>10828</v>
      </c>
      <c r="F116" s="17">
        <v>10838.6</v>
      </c>
      <c r="G116" s="17">
        <v>10824.6</v>
      </c>
      <c r="H116" s="17">
        <v>10842</v>
      </c>
    </row>
    <row r="117" spans="1:8" x14ac:dyDescent="0.2">
      <c r="A117" s="17">
        <v>1040.9000000000001</v>
      </c>
      <c r="C117" s="17">
        <v>10971.1</v>
      </c>
      <c r="E117" s="17">
        <v>10829.8</v>
      </c>
      <c r="F117" s="17">
        <v>10839.8</v>
      </c>
      <c r="G117" s="17">
        <v>10826.4</v>
      </c>
      <c r="H117" s="17">
        <v>10843.3</v>
      </c>
    </row>
    <row r="118" spans="1:8" x14ac:dyDescent="0.2">
      <c r="A118" s="17">
        <v>1040.8</v>
      </c>
      <c r="C118" s="17">
        <v>10985.3</v>
      </c>
      <c r="E118" s="17">
        <v>10831.7</v>
      </c>
      <c r="F118" s="17">
        <v>10841.1</v>
      </c>
      <c r="G118" s="17">
        <v>10828.2</v>
      </c>
      <c r="H118" s="17">
        <v>10844.6</v>
      </c>
    </row>
    <row r="119" spans="1:8" x14ac:dyDescent="0.2">
      <c r="A119" s="17">
        <v>1040.7</v>
      </c>
      <c r="C119" s="17">
        <v>10913.6</v>
      </c>
      <c r="E119" s="17">
        <v>10833.5</v>
      </c>
      <c r="F119" s="17">
        <v>10842.4</v>
      </c>
      <c r="G119" s="17">
        <v>10830</v>
      </c>
      <c r="H119" s="17">
        <v>10845.9</v>
      </c>
    </row>
    <row r="120" spans="1:8" x14ac:dyDescent="0.2">
      <c r="A120" s="17">
        <v>1040.5999999999999</v>
      </c>
      <c r="C120" s="17">
        <v>11037.5</v>
      </c>
      <c r="E120" s="17">
        <v>10835.4</v>
      </c>
      <c r="F120" s="17">
        <v>10843.8</v>
      </c>
      <c r="G120" s="17">
        <v>10831.8</v>
      </c>
      <c r="H120" s="17">
        <v>10847.3</v>
      </c>
    </row>
    <row r="121" spans="1:8" x14ac:dyDescent="0.2">
      <c r="A121" s="17">
        <v>1040.5</v>
      </c>
      <c r="C121" s="17">
        <v>10977.4</v>
      </c>
      <c r="E121" s="17">
        <v>10837.2</v>
      </c>
      <c r="F121" s="17">
        <v>10845.1</v>
      </c>
      <c r="G121" s="17">
        <v>10833.7</v>
      </c>
      <c r="H121" s="17">
        <v>10848.7</v>
      </c>
    </row>
    <row r="122" spans="1:8" x14ac:dyDescent="0.2">
      <c r="A122" s="17">
        <v>1040.4000000000001</v>
      </c>
      <c r="C122" s="17">
        <v>10883</v>
      </c>
      <c r="E122" s="17">
        <v>10839.1</v>
      </c>
      <c r="F122" s="17">
        <v>10846.5</v>
      </c>
      <c r="G122" s="17">
        <v>10835.5</v>
      </c>
      <c r="H122" s="17">
        <v>10850.2</v>
      </c>
    </row>
    <row r="123" spans="1:8" x14ac:dyDescent="0.2">
      <c r="A123" s="17">
        <v>1040.3</v>
      </c>
      <c r="C123" s="17">
        <v>10878.8</v>
      </c>
      <c r="E123" s="17">
        <v>10841</v>
      </c>
      <c r="F123" s="17">
        <v>10848</v>
      </c>
      <c r="G123" s="17">
        <v>10837.3</v>
      </c>
      <c r="H123" s="17">
        <v>10851.7</v>
      </c>
    </row>
    <row r="124" spans="1:8" x14ac:dyDescent="0.2">
      <c r="A124" s="17">
        <v>1040.2</v>
      </c>
      <c r="C124" s="17">
        <v>10872.2</v>
      </c>
      <c r="E124" s="17">
        <v>10842.8</v>
      </c>
      <c r="F124" s="17">
        <v>10849.5</v>
      </c>
      <c r="G124" s="17">
        <v>10839.1</v>
      </c>
      <c r="H124" s="17">
        <v>10853.2</v>
      </c>
    </row>
    <row r="125" spans="1:8" x14ac:dyDescent="0.2">
      <c r="A125" s="17">
        <v>1040.0999999999999</v>
      </c>
      <c r="C125" s="17">
        <v>10869.1</v>
      </c>
      <c r="E125" s="17">
        <v>10844.7</v>
      </c>
      <c r="F125" s="17">
        <v>10850.9</v>
      </c>
      <c r="G125" s="17">
        <v>10840.9</v>
      </c>
      <c r="H125" s="17">
        <v>10854.7</v>
      </c>
    </row>
    <row r="126" spans="1:8" x14ac:dyDescent="0.2">
      <c r="A126" s="17">
        <v>1040</v>
      </c>
      <c r="C126" s="17">
        <v>10922.8</v>
      </c>
      <c r="E126" s="17">
        <v>10846.5</v>
      </c>
      <c r="F126" s="17">
        <v>10852.4</v>
      </c>
      <c r="G126" s="17">
        <v>10842.7</v>
      </c>
      <c r="H126" s="17">
        <v>10856.2</v>
      </c>
    </row>
    <row r="127" spans="1:8" x14ac:dyDescent="0.2">
      <c r="A127" s="17">
        <v>1039.9000000000001</v>
      </c>
      <c r="C127" s="17">
        <v>10904.5</v>
      </c>
      <c r="E127" s="17">
        <v>10848.4</v>
      </c>
      <c r="F127" s="17">
        <v>10854</v>
      </c>
      <c r="G127" s="17">
        <v>10844.5</v>
      </c>
      <c r="H127" s="17">
        <v>10857.8</v>
      </c>
    </row>
    <row r="128" spans="1:8" x14ac:dyDescent="0.2">
      <c r="A128" s="17">
        <v>1039.8</v>
      </c>
      <c r="C128" s="17">
        <v>10945.2</v>
      </c>
      <c r="E128" s="17">
        <v>10850.2</v>
      </c>
      <c r="F128" s="17">
        <v>10855.5</v>
      </c>
      <c r="G128" s="17">
        <v>10846.3</v>
      </c>
      <c r="H128" s="17">
        <v>10859.4</v>
      </c>
    </row>
    <row r="129" spans="1:8" x14ac:dyDescent="0.2">
      <c r="A129" s="17">
        <v>1039.7</v>
      </c>
      <c r="C129" s="17">
        <v>10998.1</v>
      </c>
      <c r="E129" s="17">
        <v>10852.1</v>
      </c>
      <c r="F129" s="17">
        <v>10857</v>
      </c>
      <c r="G129" s="17">
        <v>10848.2</v>
      </c>
      <c r="H129" s="17">
        <v>10861</v>
      </c>
    </row>
    <row r="130" spans="1:8" x14ac:dyDescent="0.2">
      <c r="A130" s="17">
        <v>1039.5999999999999</v>
      </c>
      <c r="C130" s="17">
        <v>11009.8</v>
      </c>
      <c r="E130" s="17">
        <v>10854</v>
      </c>
      <c r="F130" s="17">
        <v>10858.6</v>
      </c>
      <c r="G130" s="17">
        <v>10850</v>
      </c>
      <c r="H130" s="17">
        <v>10862.6</v>
      </c>
    </row>
    <row r="131" spans="1:8" x14ac:dyDescent="0.2">
      <c r="A131" s="17">
        <v>1039.5</v>
      </c>
      <c r="C131" s="17">
        <v>11028.8</v>
      </c>
      <c r="E131" s="17">
        <v>10855.8</v>
      </c>
      <c r="F131" s="17">
        <v>10860.2</v>
      </c>
      <c r="G131" s="17">
        <v>10851.8</v>
      </c>
      <c r="H131" s="17">
        <v>10864.2</v>
      </c>
    </row>
    <row r="132" spans="1:8" x14ac:dyDescent="0.2">
      <c r="A132" s="17">
        <v>1039.4000000000001</v>
      </c>
      <c r="C132" s="17">
        <v>10893.7</v>
      </c>
      <c r="E132" s="17">
        <v>10857.7</v>
      </c>
      <c r="F132" s="17">
        <v>10861.8</v>
      </c>
      <c r="G132" s="17">
        <v>10853.6</v>
      </c>
      <c r="H132" s="17">
        <v>10865.8</v>
      </c>
    </row>
    <row r="133" spans="1:8" x14ac:dyDescent="0.2">
      <c r="A133" s="17">
        <v>1039.3</v>
      </c>
      <c r="C133" s="17">
        <v>11023.4</v>
      </c>
      <c r="E133" s="17">
        <v>10859.5</v>
      </c>
      <c r="F133" s="17">
        <v>10863.3</v>
      </c>
      <c r="G133" s="17">
        <v>10855.4</v>
      </c>
      <c r="H133" s="17">
        <v>10867.5</v>
      </c>
    </row>
    <row r="134" spans="1:8" x14ac:dyDescent="0.2">
      <c r="A134" s="17">
        <v>1039.2</v>
      </c>
      <c r="C134" s="17">
        <v>10904.4</v>
      </c>
      <c r="E134" s="17">
        <v>10861.4</v>
      </c>
      <c r="F134" s="17">
        <v>10864.9</v>
      </c>
      <c r="G134" s="17">
        <v>10857.2</v>
      </c>
      <c r="H134" s="17">
        <v>10869.1</v>
      </c>
    </row>
    <row r="135" spans="1:8" x14ac:dyDescent="0.2">
      <c r="A135" s="17">
        <v>1039.0999999999999</v>
      </c>
      <c r="C135" s="17">
        <v>10980.1</v>
      </c>
      <c r="E135" s="17">
        <v>10863.3</v>
      </c>
      <c r="F135" s="17">
        <v>10866.6</v>
      </c>
      <c r="G135" s="17">
        <v>10859</v>
      </c>
      <c r="H135" s="17">
        <v>10870.8</v>
      </c>
    </row>
    <row r="136" spans="1:8" x14ac:dyDescent="0.2">
      <c r="A136" s="17">
        <v>1039</v>
      </c>
      <c r="C136" s="17">
        <v>10939</v>
      </c>
      <c r="E136" s="17">
        <v>10865.1</v>
      </c>
      <c r="F136" s="17">
        <v>10868.2</v>
      </c>
      <c r="G136" s="17">
        <v>10860.8</v>
      </c>
      <c r="H136" s="17">
        <v>10872.5</v>
      </c>
    </row>
    <row r="137" spans="1:8" x14ac:dyDescent="0.2">
      <c r="A137" s="17">
        <v>1038.9000000000001</v>
      </c>
      <c r="C137" s="17">
        <v>10920.2</v>
      </c>
      <c r="E137" s="17">
        <v>10867</v>
      </c>
      <c r="F137" s="17">
        <v>10869.8</v>
      </c>
      <c r="G137" s="17">
        <v>10862.7</v>
      </c>
      <c r="H137" s="17">
        <v>10874.2</v>
      </c>
    </row>
    <row r="138" spans="1:8" x14ac:dyDescent="0.2">
      <c r="A138" s="17">
        <v>1038.8</v>
      </c>
      <c r="C138" s="17">
        <v>10996</v>
      </c>
      <c r="E138" s="17">
        <v>10868.9</v>
      </c>
      <c r="F138" s="17">
        <v>10871.4</v>
      </c>
      <c r="G138" s="17">
        <v>10864.5</v>
      </c>
      <c r="H138" s="17">
        <v>10875.8</v>
      </c>
    </row>
    <row r="139" spans="1:8" x14ac:dyDescent="0.2">
      <c r="A139" s="17">
        <v>1038.7</v>
      </c>
      <c r="C139" s="17">
        <v>10932</v>
      </c>
      <c r="E139" s="17">
        <v>10870.7</v>
      </c>
      <c r="F139" s="17">
        <v>10873.1</v>
      </c>
      <c r="G139" s="17">
        <v>10866.3</v>
      </c>
      <c r="H139" s="17">
        <v>10877.5</v>
      </c>
    </row>
    <row r="140" spans="1:8" x14ac:dyDescent="0.2">
      <c r="A140" s="17">
        <v>1038.5999999999999</v>
      </c>
      <c r="C140" s="17">
        <v>10874.7</v>
      </c>
      <c r="E140" s="17">
        <v>10872.6</v>
      </c>
      <c r="F140" s="17">
        <v>10874.7</v>
      </c>
      <c r="G140" s="17">
        <v>10868.1</v>
      </c>
      <c r="H140" s="17">
        <v>10879.2</v>
      </c>
    </row>
    <row r="141" spans="1:8" x14ac:dyDescent="0.2">
      <c r="A141" s="17">
        <v>1038.5</v>
      </c>
      <c r="C141" s="17">
        <v>10932.5</v>
      </c>
      <c r="E141" s="17">
        <v>10874.5</v>
      </c>
      <c r="F141" s="17">
        <v>10876.4</v>
      </c>
      <c r="G141" s="17">
        <v>10869.9</v>
      </c>
      <c r="H141" s="17">
        <v>10880.9</v>
      </c>
    </row>
    <row r="142" spans="1:8" x14ac:dyDescent="0.2">
      <c r="A142" s="17">
        <v>1038.4000000000001</v>
      </c>
      <c r="C142" s="17">
        <v>10931.9</v>
      </c>
      <c r="E142" s="17">
        <v>10876.4</v>
      </c>
      <c r="F142" s="17">
        <v>10878</v>
      </c>
      <c r="G142" s="17">
        <v>10871.7</v>
      </c>
      <c r="H142" s="17">
        <v>10882.7</v>
      </c>
    </row>
    <row r="143" spans="1:8" x14ac:dyDescent="0.2">
      <c r="A143" s="17">
        <v>1038.3</v>
      </c>
      <c r="C143" s="17">
        <v>10909.1</v>
      </c>
      <c r="E143" s="17">
        <v>10878.2</v>
      </c>
      <c r="F143" s="17">
        <v>10879.7</v>
      </c>
      <c r="G143" s="17">
        <v>10873.5</v>
      </c>
      <c r="H143" s="17">
        <v>10884.4</v>
      </c>
    </row>
    <row r="144" spans="1:8" x14ac:dyDescent="0.2">
      <c r="A144" s="17">
        <v>1038.2</v>
      </c>
      <c r="C144" s="17">
        <v>10954</v>
      </c>
      <c r="E144" s="17">
        <v>10880.1</v>
      </c>
      <c r="F144" s="17">
        <v>10881.4</v>
      </c>
      <c r="G144" s="17">
        <v>10875.3</v>
      </c>
      <c r="H144" s="17">
        <v>10886.1</v>
      </c>
    </row>
    <row r="145" spans="1:8" x14ac:dyDescent="0.2">
      <c r="A145" s="17">
        <v>1038.0999999999999</v>
      </c>
      <c r="C145" s="17">
        <v>11018.4</v>
      </c>
      <c r="E145" s="17">
        <v>10882</v>
      </c>
      <c r="F145" s="17">
        <v>10883</v>
      </c>
      <c r="G145" s="17">
        <v>10877.2</v>
      </c>
      <c r="H145" s="17">
        <v>10887.9</v>
      </c>
    </row>
    <row r="146" spans="1:8" x14ac:dyDescent="0.2">
      <c r="A146" s="17">
        <v>1038</v>
      </c>
      <c r="C146" s="17">
        <v>10980.3</v>
      </c>
      <c r="E146" s="17">
        <v>10883.9</v>
      </c>
      <c r="F146" s="17">
        <v>10884.7</v>
      </c>
      <c r="G146" s="17">
        <v>10879</v>
      </c>
      <c r="H146" s="17">
        <v>10889.6</v>
      </c>
    </row>
    <row r="147" spans="1:8" x14ac:dyDescent="0.2">
      <c r="A147" s="17">
        <v>1037.9000000000001</v>
      </c>
      <c r="C147" s="17">
        <v>10865</v>
      </c>
      <c r="E147" s="17">
        <v>10885.7</v>
      </c>
      <c r="F147" s="17">
        <v>10886.4</v>
      </c>
      <c r="G147" s="17">
        <v>10880.8</v>
      </c>
      <c r="H147" s="17">
        <v>10891.3</v>
      </c>
    </row>
    <row r="148" spans="1:8" x14ac:dyDescent="0.2">
      <c r="A148" s="17">
        <v>1037.8</v>
      </c>
      <c r="C148" s="17">
        <v>11015.7</v>
      </c>
      <c r="E148" s="17">
        <v>10887.6</v>
      </c>
      <c r="F148" s="17">
        <v>10888.1</v>
      </c>
      <c r="G148" s="17">
        <v>10882.6</v>
      </c>
      <c r="H148" s="17">
        <v>10893.1</v>
      </c>
    </row>
    <row r="149" spans="1:8" x14ac:dyDescent="0.2">
      <c r="A149" s="17">
        <v>1037.7</v>
      </c>
      <c r="C149" s="17">
        <v>10937.7</v>
      </c>
      <c r="E149" s="17">
        <v>10889.5</v>
      </c>
      <c r="F149" s="17">
        <v>10889.8</v>
      </c>
      <c r="G149" s="17">
        <v>10884.4</v>
      </c>
      <c r="H149" s="17">
        <v>10894.9</v>
      </c>
    </row>
    <row r="150" spans="1:8" x14ac:dyDescent="0.2">
      <c r="A150" s="17">
        <v>1037.5999999999999</v>
      </c>
      <c r="C150" s="17">
        <v>10899.4</v>
      </c>
      <c r="E150" s="17">
        <v>10891.4</v>
      </c>
      <c r="F150" s="17">
        <v>10891.5</v>
      </c>
      <c r="G150" s="17">
        <v>10886.2</v>
      </c>
      <c r="H150" s="17">
        <v>10896.6</v>
      </c>
    </row>
    <row r="151" spans="1:8" x14ac:dyDescent="0.2">
      <c r="A151" s="17">
        <v>1037.5</v>
      </c>
      <c r="C151" s="17">
        <v>10902.3</v>
      </c>
      <c r="E151" s="17">
        <v>10893.3</v>
      </c>
      <c r="F151" s="17">
        <v>10893.2</v>
      </c>
      <c r="G151" s="17">
        <v>10888</v>
      </c>
      <c r="H151" s="17">
        <v>10898.4</v>
      </c>
    </row>
    <row r="152" spans="1:8" x14ac:dyDescent="0.2">
      <c r="A152" s="17">
        <v>1037.4000000000001</v>
      </c>
      <c r="C152" s="17">
        <v>10973</v>
      </c>
      <c r="E152" s="17">
        <v>10895.1</v>
      </c>
      <c r="F152" s="17">
        <v>10894.9</v>
      </c>
      <c r="G152" s="17">
        <v>10889.9</v>
      </c>
      <c r="H152" s="17">
        <v>10900.2</v>
      </c>
    </row>
    <row r="153" spans="1:8" x14ac:dyDescent="0.2">
      <c r="A153" s="17">
        <v>1037.3</v>
      </c>
      <c r="C153" s="17">
        <v>11047.4</v>
      </c>
      <c r="E153" s="17">
        <v>10897</v>
      </c>
      <c r="F153" s="17">
        <v>10896.6</v>
      </c>
      <c r="G153" s="17">
        <v>10891.7</v>
      </c>
      <c r="H153" s="17">
        <v>10902</v>
      </c>
    </row>
    <row r="154" spans="1:8" x14ac:dyDescent="0.2">
      <c r="A154" s="17">
        <v>1037.2</v>
      </c>
      <c r="C154" s="17">
        <v>10989.2</v>
      </c>
      <c r="E154" s="17">
        <v>10898.9</v>
      </c>
      <c r="F154" s="17">
        <v>10898.3</v>
      </c>
      <c r="G154" s="17">
        <v>10893.5</v>
      </c>
      <c r="H154" s="17">
        <v>10903.7</v>
      </c>
    </row>
    <row r="155" spans="1:8" x14ac:dyDescent="0.2">
      <c r="A155" s="17">
        <v>1037.0999999999999</v>
      </c>
      <c r="C155" s="17">
        <v>11006.2</v>
      </c>
      <c r="E155" s="17">
        <v>10900.8</v>
      </c>
      <c r="F155" s="17">
        <v>10900</v>
      </c>
      <c r="G155" s="17">
        <v>10895.3</v>
      </c>
      <c r="H155" s="17">
        <v>10905.5</v>
      </c>
    </row>
    <row r="156" spans="1:8" x14ac:dyDescent="0.2">
      <c r="A156" s="17">
        <v>1037</v>
      </c>
      <c r="C156" s="17">
        <v>10889.8</v>
      </c>
      <c r="E156" s="17">
        <v>10902.7</v>
      </c>
      <c r="F156" s="17">
        <v>10901.7</v>
      </c>
      <c r="G156" s="17">
        <v>10897.1</v>
      </c>
      <c r="H156" s="17">
        <v>10907.3</v>
      </c>
    </row>
    <row r="157" spans="1:8" x14ac:dyDescent="0.2">
      <c r="A157" s="17">
        <v>1036.9000000000001</v>
      </c>
      <c r="C157" s="17">
        <v>10956.4</v>
      </c>
      <c r="E157" s="17">
        <v>10904.6</v>
      </c>
      <c r="F157" s="17">
        <v>10903.4</v>
      </c>
      <c r="G157" s="17">
        <v>10898.9</v>
      </c>
      <c r="H157" s="17">
        <v>10909.1</v>
      </c>
    </row>
    <row r="158" spans="1:8" x14ac:dyDescent="0.2">
      <c r="A158" s="17">
        <v>1036.8</v>
      </c>
      <c r="C158" s="17">
        <v>10996.7</v>
      </c>
      <c r="E158" s="17">
        <v>10906.5</v>
      </c>
      <c r="F158" s="17">
        <v>10905.2</v>
      </c>
      <c r="G158" s="17">
        <v>10900.7</v>
      </c>
      <c r="H158" s="17">
        <v>10910.9</v>
      </c>
    </row>
    <row r="159" spans="1:8" x14ac:dyDescent="0.2">
      <c r="A159" s="17">
        <v>1036.7</v>
      </c>
      <c r="C159" s="17">
        <v>10926.4</v>
      </c>
      <c r="E159" s="17">
        <v>10908.4</v>
      </c>
      <c r="F159" s="17">
        <v>10906.9</v>
      </c>
      <c r="G159" s="17">
        <v>10902.5</v>
      </c>
      <c r="H159" s="17">
        <v>10912.7</v>
      </c>
    </row>
    <row r="160" spans="1:8" x14ac:dyDescent="0.2">
      <c r="A160" s="17">
        <v>1036.5999999999999</v>
      </c>
      <c r="C160" s="17">
        <v>10945.7</v>
      </c>
      <c r="E160" s="17">
        <v>10910.3</v>
      </c>
      <c r="F160" s="17">
        <v>10908.6</v>
      </c>
      <c r="G160" s="17">
        <v>10904.4</v>
      </c>
      <c r="H160" s="17">
        <v>10914.5</v>
      </c>
    </row>
    <row r="161" spans="1:8" x14ac:dyDescent="0.2">
      <c r="A161" s="17">
        <v>1036.5</v>
      </c>
      <c r="C161" s="17">
        <v>10933.3</v>
      </c>
      <c r="E161" s="17">
        <v>10912.2</v>
      </c>
      <c r="F161" s="17">
        <v>10910.3</v>
      </c>
      <c r="G161" s="17">
        <v>10906.2</v>
      </c>
      <c r="H161" s="17">
        <v>10916.4</v>
      </c>
    </row>
    <row r="162" spans="1:8" x14ac:dyDescent="0.2">
      <c r="A162" s="17">
        <v>1036.4000000000001</v>
      </c>
      <c r="C162" s="17">
        <v>10923</v>
      </c>
      <c r="E162" s="17">
        <v>10914.1</v>
      </c>
      <c r="F162" s="17">
        <v>10912.1</v>
      </c>
      <c r="G162" s="17">
        <v>10908</v>
      </c>
      <c r="H162" s="17">
        <v>10918.2</v>
      </c>
    </row>
    <row r="163" spans="1:8" x14ac:dyDescent="0.2">
      <c r="A163" s="17">
        <v>1036.3</v>
      </c>
      <c r="C163" s="17">
        <v>10957.1</v>
      </c>
      <c r="E163" s="17">
        <v>10916</v>
      </c>
      <c r="F163" s="17">
        <v>10913.8</v>
      </c>
      <c r="G163" s="17">
        <v>10909.8</v>
      </c>
      <c r="H163" s="17">
        <v>10920</v>
      </c>
    </row>
    <row r="164" spans="1:8" x14ac:dyDescent="0.2">
      <c r="A164" s="17">
        <v>1036.2</v>
      </c>
      <c r="C164" s="17">
        <v>10946.8</v>
      </c>
      <c r="E164" s="17">
        <v>10917.9</v>
      </c>
      <c r="F164" s="17">
        <v>10915.5</v>
      </c>
      <c r="G164" s="17">
        <v>10911.6</v>
      </c>
      <c r="H164" s="17">
        <v>10921.8</v>
      </c>
    </row>
    <row r="165" spans="1:8" x14ac:dyDescent="0.2">
      <c r="A165" s="17">
        <v>1036.0999999999999</v>
      </c>
      <c r="C165" s="17">
        <v>11056.1</v>
      </c>
      <c r="E165" s="17">
        <v>10919.8</v>
      </c>
      <c r="F165" s="17">
        <v>10917.3</v>
      </c>
      <c r="G165" s="17">
        <v>10913.4</v>
      </c>
      <c r="H165" s="17">
        <v>10923.7</v>
      </c>
    </row>
    <row r="166" spans="1:8" x14ac:dyDescent="0.2">
      <c r="A166" s="17">
        <v>1036</v>
      </c>
      <c r="C166" s="17">
        <v>10929.5</v>
      </c>
      <c r="E166" s="17">
        <v>10921.7</v>
      </c>
      <c r="F166" s="17">
        <v>10919</v>
      </c>
      <c r="G166" s="17">
        <v>10915.2</v>
      </c>
      <c r="H166" s="17">
        <v>10925.5</v>
      </c>
    </row>
    <row r="167" spans="1:8" x14ac:dyDescent="0.2">
      <c r="A167" s="17">
        <v>1035.9000000000001</v>
      </c>
      <c r="C167" s="17">
        <v>10962.2</v>
      </c>
      <c r="E167" s="17">
        <v>10923.6</v>
      </c>
      <c r="F167" s="17">
        <v>10920.8</v>
      </c>
      <c r="G167" s="17">
        <v>10917</v>
      </c>
      <c r="H167" s="17">
        <v>10927.4</v>
      </c>
    </row>
    <row r="168" spans="1:8" x14ac:dyDescent="0.2">
      <c r="A168" s="17">
        <v>1035.8</v>
      </c>
      <c r="C168" s="17">
        <v>10937.4</v>
      </c>
      <c r="E168" s="17">
        <v>10925.5</v>
      </c>
      <c r="F168" s="17">
        <v>10922.5</v>
      </c>
      <c r="G168" s="17">
        <v>10918.9</v>
      </c>
      <c r="H168" s="17">
        <v>10929.2</v>
      </c>
    </row>
    <row r="169" spans="1:8" x14ac:dyDescent="0.2">
      <c r="A169" s="17">
        <v>1035.7</v>
      </c>
      <c r="C169" s="17">
        <v>10977.4</v>
      </c>
      <c r="E169" s="17">
        <v>10927.5</v>
      </c>
      <c r="F169" s="17">
        <v>10924.3</v>
      </c>
      <c r="G169" s="17">
        <v>10920.7</v>
      </c>
      <c r="H169" s="17">
        <v>10931.1</v>
      </c>
    </row>
    <row r="170" spans="1:8" x14ac:dyDescent="0.2">
      <c r="A170" s="17">
        <v>1035.5999999999999</v>
      </c>
      <c r="C170" s="17">
        <v>10919.8</v>
      </c>
      <c r="E170" s="17">
        <v>10929.4</v>
      </c>
      <c r="F170" s="17">
        <v>10926</v>
      </c>
      <c r="G170" s="17">
        <v>10922.5</v>
      </c>
      <c r="H170" s="17">
        <v>10932.9</v>
      </c>
    </row>
    <row r="171" spans="1:8" x14ac:dyDescent="0.2">
      <c r="A171" s="17">
        <v>1035.5</v>
      </c>
      <c r="C171" s="17">
        <v>10930.8</v>
      </c>
      <c r="E171" s="17">
        <v>10931.3</v>
      </c>
      <c r="F171" s="17">
        <v>10927.8</v>
      </c>
      <c r="G171" s="17">
        <v>10924.3</v>
      </c>
      <c r="H171" s="17">
        <v>10934.8</v>
      </c>
    </row>
    <row r="172" spans="1:8" x14ac:dyDescent="0.2">
      <c r="A172" s="17">
        <v>1035.4000000000001</v>
      </c>
      <c r="C172" s="17">
        <v>10927.4</v>
      </c>
      <c r="E172" s="17">
        <v>10933.2</v>
      </c>
      <c r="F172" s="17">
        <v>10929.5</v>
      </c>
      <c r="G172" s="17">
        <v>10926.1</v>
      </c>
      <c r="H172" s="17">
        <v>10936.6</v>
      </c>
    </row>
    <row r="173" spans="1:8" x14ac:dyDescent="0.2">
      <c r="A173" s="17">
        <v>1035.3</v>
      </c>
      <c r="C173" s="17">
        <v>11017.6</v>
      </c>
      <c r="E173" s="17">
        <v>10935.2</v>
      </c>
      <c r="F173" s="17">
        <v>10931.3</v>
      </c>
      <c r="G173" s="17">
        <v>10927.9</v>
      </c>
      <c r="H173" s="17">
        <v>10938.5</v>
      </c>
    </row>
    <row r="174" spans="1:8" x14ac:dyDescent="0.2">
      <c r="A174" s="17">
        <v>1035.2</v>
      </c>
      <c r="C174" s="17">
        <v>10974.7</v>
      </c>
      <c r="E174" s="17">
        <v>10937.1</v>
      </c>
      <c r="F174" s="17">
        <v>10933</v>
      </c>
      <c r="G174" s="17">
        <v>10929.7</v>
      </c>
      <c r="H174" s="17">
        <v>10940.4</v>
      </c>
    </row>
    <row r="175" spans="1:8" x14ac:dyDescent="0.2">
      <c r="A175" s="17">
        <v>1035.0999999999999</v>
      </c>
      <c r="C175" s="17">
        <v>11041.3</v>
      </c>
      <c r="E175" s="17">
        <v>10939</v>
      </c>
      <c r="F175" s="17">
        <v>10934.8</v>
      </c>
      <c r="G175" s="17">
        <v>10931.5</v>
      </c>
      <c r="H175" s="17">
        <v>10942.2</v>
      </c>
    </row>
    <row r="176" spans="1:8" x14ac:dyDescent="0.2">
      <c r="A176" s="17">
        <v>1035</v>
      </c>
      <c r="C176" s="17">
        <v>10986.8</v>
      </c>
      <c r="E176" s="17">
        <v>10941</v>
      </c>
      <c r="F176" s="17">
        <v>10936.5</v>
      </c>
      <c r="G176" s="17">
        <v>10933.4</v>
      </c>
      <c r="H176" s="17">
        <v>10944.1</v>
      </c>
    </row>
    <row r="177" spans="1:8" x14ac:dyDescent="0.2">
      <c r="A177" s="17">
        <v>1034.9000000000001</v>
      </c>
      <c r="C177" s="17">
        <v>11008</v>
      </c>
      <c r="E177" s="17">
        <v>10942.9</v>
      </c>
      <c r="F177" s="17">
        <v>10938.3</v>
      </c>
      <c r="G177" s="17">
        <v>10935.2</v>
      </c>
      <c r="H177" s="17">
        <v>10946</v>
      </c>
    </row>
    <row r="178" spans="1:8" x14ac:dyDescent="0.2">
      <c r="A178" s="17">
        <v>1034.8</v>
      </c>
      <c r="C178" s="17">
        <v>10929.6</v>
      </c>
      <c r="E178" s="17">
        <v>10944.8</v>
      </c>
      <c r="F178" s="17">
        <v>10940</v>
      </c>
      <c r="G178" s="17">
        <v>10937</v>
      </c>
      <c r="H178" s="17">
        <v>10947.9</v>
      </c>
    </row>
    <row r="179" spans="1:8" x14ac:dyDescent="0.2">
      <c r="A179" s="17">
        <v>1034.7</v>
      </c>
      <c r="C179" s="17">
        <v>10978</v>
      </c>
      <c r="E179" s="17">
        <v>10946.8</v>
      </c>
      <c r="F179" s="17">
        <v>10941.8</v>
      </c>
      <c r="G179" s="17">
        <v>10938.8</v>
      </c>
      <c r="H179" s="17">
        <v>10949.8</v>
      </c>
    </row>
    <row r="180" spans="1:8" x14ac:dyDescent="0.2">
      <c r="A180" s="17">
        <v>1034.5999999999999</v>
      </c>
      <c r="C180" s="17">
        <v>11069</v>
      </c>
      <c r="E180" s="17">
        <v>10948.7</v>
      </c>
      <c r="F180" s="17">
        <v>10943.6</v>
      </c>
      <c r="G180" s="17">
        <v>10940.6</v>
      </c>
      <c r="H180" s="17">
        <v>10951.7</v>
      </c>
    </row>
    <row r="181" spans="1:8" x14ac:dyDescent="0.2">
      <c r="A181" s="17">
        <v>1034.5</v>
      </c>
      <c r="C181" s="17">
        <v>11040</v>
      </c>
      <c r="E181" s="17">
        <v>10950.7</v>
      </c>
      <c r="F181" s="17">
        <v>10945.3</v>
      </c>
      <c r="G181" s="17">
        <v>10942.4</v>
      </c>
      <c r="H181" s="17">
        <v>10953.6</v>
      </c>
    </row>
    <row r="182" spans="1:8" x14ac:dyDescent="0.2">
      <c r="A182" s="17">
        <v>1034.4000000000001</v>
      </c>
      <c r="C182" s="17">
        <v>10951.4</v>
      </c>
      <c r="E182" s="17">
        <v>10952.7</v>
      </c>
      <c r="F182" s="17">
        <v>10947.1</v>
      </c>
      <c r="G182" s="17">
        <v>10944.2</v>
      </c>
      <c r="H182" s="17">
        <v>10955.5</v>
      </c>
    </row>
    <row r="183" spans="1:8" x14ac:dyDescent="0.2">
      <c r="A183" s="17">
        <v>1034.3</v>
      </c>
      <c r="C183" s="17">
        <v>10989.7</v>
      </c>
      <c r="E183" s="17">
        <v>10954.6</v>
      </c>
      <c r="F183" s="17">
        <v>10948.9</v>
      </c>
      <c r="G183" s="17">
        <v>10946</v>
      </c>
      <c r="H183" s="17">
        <v>10957.4</v>
      </c>
    </row>
    <row r="184" spans="1:8" x14ac:dyDescent="0.2">
      <c r="A184" s="17">
        <v>1034.2</v>
      </c>
      <c r="C184" s="17">
        <v>10955.6</v>
      </c>
      <c r="E184" s="17">
        <v>10956.6</v>
      </c>
      <c r="F184" s="17">
        <v>10950.6</v>
      </c>
      <c r="G184" s="17">
        <v>10947.9</v>
      </c>
      <c r="H184" s="17">
        <v>10959.3</v>
      </c>
    </row>
    <row r="185" spans="1:8" x14ac:dyDescent="0.2">
      <c r="A185" s="17">
        <v>1034.0999999999999</v>
      </c>
      <c r="C185" s="17">
        <v>11000.2</v>
      </c>
      <c r="E185" s="17">
        <v>10958.5</v>
      </c>
      <c r="F185" s="17">
        <v>10952.4</v>
      </c>
      <c r="G185" s="17">
        <v>10949.7</v>
      </c>
      <c r="H185" s="17">
        <v>10961.3</v>
      </c>
    </row>
    <row r="186" spans="1:8" x14ac:dyDescent="0.2">
      <c r="A186" s="17">
        <v>1034</v>
      </c>
      <c r="C186" s="17">
        <v>11025.4</v>
      </c>
      <c r="E186" s="17">
        <v>10960.5</v>
      </c>
      <c r="F186" s="17">
        <v>10954.2</v>
      </c>
      <c r="G186" s="17">
        <v>10951.5</v>
      </c>
      <c r="H186" s="17">
        <v>10963.2</v>
      </c>
    </row>
    <row r="187" spans="1:8" x14ac:dyDescent="0.2">
      <c r="A187" s="17">
        <v>1033.9000000000001</v>
      </c>
      <c r="C187" s="17">
        <v>11051.7</v>
      </c>
      <c r="E187" s="17">
        <v>10962.5</v>
      </c>
      <c r="F187" s="17">
        <v>10955.9</v>
      </c>
      <c r="G187" s="17">
        <v>10953.3</v>
      </c>
      <c r="H187" s="17">
        <v>10965.1</v>
      </c>
    </row>
    <row r="188" spans="1:8" x14ac:dyDescent="0.2">
      <c r="A188" s="17">
        <v>1033.8</v>
      </c>
      <c r="C188" s="17">
        <v>11049.2</v>
      </c>
      <c r="E188" s="17">
        <v>10964.5</v>
      </c>
      <c r="F188" s="17">
        <v>10957.7</v>
      </c>
      <c r="G188" s="17">
        <v>10955.1</v>
      </c>
      <c r="H188" s="17">
        <v>10967.1</v>
      </c>
    </row>
    <row r="189" spans="1:8" x14ac:dyDescent="0.2">
      <c r="A189" s="17">
        <v>1033.7</v>
      </c>
      <c r="C189" s="17">
        <v>10978.6</v>
      </c>
      <c r="E189" s="17">
        <v>10966.5</v>
      </c>
      <c r="F189" s="17">
        <v>10959.5</v>
      </c>
      <c r="G189" s="17">
        <v>10956.9</v>
      </c>
      <c r="H189" s="17">
        <v>10969</v>
      </c>
    </row>
    <row r="190" spans="1:8" x14ac:dyDescent="0.2">
      <c r="A190" s="17">
        <v>1033.5999999999999</v>
      </c>
      <c r="C190" s="17">
        <v>10974.8</v>
      </c>
      <c r="E190" s="17">
        <v>10968.5</v>
      </c>
      <c r="F190" s="17">
        <v>10961.3</v>
      </c>
      <c r="G190" s="17">
        <v>10958.7</v>
      </c>
      <c r="H190" s="17">
        <v>10971</v>
      </c>
    </row>
    <row r="191" spans="1:8" x14ac:dyDescent="0.2">
      <c r="A191" s="17">
        <v>1033.5</v>
      </c>
      <c r="C191" s="17">
        <v>11006.9</v>
      </c>
      <c r="E191" s="17">
        <v>10970.4</v>
      </c>
      <c r="F191" s="17">
        <v>10963</v>
      </c>
      <c r="G191" s="17">
        <v>10960.5</v>
      </c>
      <c r="H191" s="17">
        <v>10972.9</v>
      </c>
    </row>
    <row r="192" spans="1:8" x14ac:dyDescent="0.2">
      <c r="A192" s="17">
        <v>1033.4000000000001</v>
      </c>
      <c r="C192" s="17">
        <v>11031.5</v>
      </c>
      <c r="E192" s="17">
        <v>10972.4</v>
      </c>
      <c r="F192" s="17">
        <v>10964.8</v>
      </c>
      <c r="G192" s="17">
        <v>10962.4</v>
      </c>
      <c r="H192" s="17">
        <v>10974.9</v>
      </c>
    </row>
    <row r="193" spans="1:8" x14ac:dyDescent="0.2">
      <c r="A193" s="17">
        <v>1033.3</v>
      </c>
      <c r="C193" s="17">
        <v>11008.7</v>
      </c>
      <c r="E193" s="17">
        <v>10974.5</v>
      </c>
      <c r="F193" s="17">
        <v>10966.6</v>
      </c>
      <c r="G193" s="17">
        <v>10964.2</v>
      </c>
      <c r="H193" s="17">
        <v>10976.9</v>
      </c>
    </row>
    <row r="194" spans="1:8" x14ac:dyDescent="0.2">
      <c r="A194" s="17">
        <v>1033.2</v>
      </c>
      <c r="C194" s="17">
        <v>11077.4</v>
      </c>
      <c r="E194" s="17">
        <v>10976.5</v>
      </c>
      <c r="F194" s="17">
        <v>10968.4</v>
      </c>
      <c r="G194" s="17">
        <v>10966</v>
      </c>
      <c r="H194" s="17">
        <v>10978.8</v>
      </c>
    </row>
    <row r="195" spans="1:8" x14ac:dyDescent="0.2">
      <c r="A195" s="17">
        <v>1033.0999999999999</v>
      </c>
      <c r="C195" s="17">
        <v>10941.5</v>
      </c>
      <c r="E195" s="17">
        <v>10978.5</v>
      </c>
      <c r="F195" s="17">
        <v>10970.1</v>
      </c>
      <c r="G195" s="17">
        <v>10967.8</v>
      </c>
      <c r="H195" s="17">
        <v>10980.8</v>
      </c>
    </row>
    <row r="196" spans="1:8" x14ac:dyDescent="0.2">
      <c r="A196" s="17">
        <v>1033</v>
      </c>
      <c r="C196" s="17">
        <v>10978.8</v>
      </c>
      <c r="E196" s="17">
        <v>10980.5</v>
      </c>
      <c r="F196" s="17">
        <v>10971.9</v>
      </c>
      <c r="G196" s="17">
        <v>10969.6</v>
      </c>
      <c r="H196" s="17">
        <v>10982.8</v>
      </c>
    </row>
    <row r="197" spans="1:8" x14ac:dyDescent="0.2">
      <c r="A197" s="17">
        <v>1032.9000000000001</v>
      </c>
      <c r="C197" s="17">
        <v>10931.1</v>
      </c>
      <c r="E197" s="17">
        <v>10982.5</v>
      </c>
      <c r="F197" s="17">
        <v>10973.7</v>
      </c>
      <c r="G197" s="17">
        <v>10971.4</v>
      </c>
      <c r="H197" s="17">
        <v>10984.8</v>
      </c>
    </row>
    <row r="198" spans="1:8" x14ac:dyDescent="0.2">
      <c r="A198" s="17">
        <v>1032.8</v>
      </c>
      <c r="C198" s="17">
        <v>10942.3</v>
      </c>
      <c r="E198" s="17">
        <v>10984.9</v>
      </c>
      <c r="F198" s="17">
        <v>10975.8</v>
      </c>
      <c r="G198" s="17">
        <v>10973.6</v>
      </c>
      <c r="H198" s="17">
        <v>10987.1</v>
      </c>
    </row>
    <row r="199" spans="1:8" x14ac:dyDescent="0.2">
      <c r="A199" s="17">
        <v>1032.7</v>
      </c>
      <c r="C199" s="17">
        <v>11063.4</v>
      </c>
      <c r="E199" s="17">
        <v>10987.3</v>
      </c>
      <c r="F199" s="17">
        <v>10977.9</v>
      </c>
      <c r="G199" s="17">
        <v>10975.7</v>
      </c>
      <c r="H199" s="17">
        <v>10989.5</v>
      </c>
    </row>
    <row r="200" spans="1:8" x14ac:dyDescent="0.2">
      <c r="A200" s="17">
        <v>1032.5999999999999</v>
      </c>
      <c r="C200" s="17">
        <v>11049.8</v>
      </c>
      <c r="E200" s="17">
        <v>10989.7</v>
      </c>
      <c r="F200" s="17">
        <v>10980</v>
      </c>
      <c r="G200" s="17">
        <v>10977.9</v>
      </c>
      <c r="H200" s="17">
        <v>10991.9</v>
      </c>
    </row>
    <row r="201" spans="1:8" x14ac:dyDescent="0.2">
      <c r="A201" s="17">
        <v>1032.5</v>
      </c>
      <c r="C201" s="17">
        <v>11069.6</v>
      </c>
      <c r="E201" s="17">
        <v>10992.1</v>
      </c>
      <c r="F201" s="17">
        <v>10982.2</v>
      </c>
      <c r="G201" s="17">
        <v>10980</v>
      </c>
      <c r="H201" s="17">
        <v>10994.2</v>
      </c>
    </row>
    <row r="202" spans="1:8" x14ac:dyDescent="0.2">
      <c r="A202" s="17">
        <v>1032.4000000000001</v>
      </c>
      <c r="C202" s="17">
        <v>10998.6</v>
      </c>
      <c r="E202" s="17">
        <v>10994.5</v>
      </c>
      <c r="F202" s="17">
        <v>10984.3</v>
      </c>
      <c r="G202" s="17">
        <v>10982.2</v>
      </c>
      <c r="H202" s="17">
        <v>10996.6</v>
      </c>
    </row>
    <row r="203" spans="1:8" x14ac:dyDescent="0.2">
      <c r="A203" s="17">
        <v>1032.3</v>
      </c>
      <c r="C203" s="17">
        <v>10984.8</v>
      </c>
      <c r="E203" s="17">
        <v>10996.9</v>
      </c>
      <c r="F203" s="17">
        <v>10986.4</v>
      </c>
      <c r="G203" s="17">
        <v>10984.3</v>
      </c>
      <c r="H203" s="17">
        <v>10999</v>
      </c>
    </row>
    <row r="204" spans="1:8" x14ac:dyDescent="0.2">
      <c r="A204" s="17">
        <v>1032.2</v>
      </c>
      <c r="C204" s="17">
        <v>11087.7</v>
      </c>
      <c r="E204" s="17">
        <v>10999.3</v>
      </c>
      <c r="F204" s="17">
        <v>10988.5</v>
      </c>
      <c r="G204" s="17">
        <v>10986.5</v>
      </c>
      <c r="H204" s="17">
        <v>11001.4</v>
      </c>
    </row>
    <row r="205" spans="1:8" x14ac:dyDescent="0.2">
      <c r="A205" s="17">
        <v>1032.0999999999999</v>
      </c>
      <c r="C205" s="17">
        <v>11058.2</v>
      </c>
      <c r="E205" s="17">
        <v>11001.7</v>
      </c>
      <c r="F205" s="17">
        <v>10990.6</v>
      </c>
      <c r="G205" s="17">
        <v>10988.6</v>
      </c>
      <c r="H205" s="17">
        <v>11003.8</v>
      </c>
    </row>
    <row r="206" spans="1:8" x14ac:dyDescent="0.2">
      <c r="A206" s="17">
        <v>1032</v>
      </c>
      <c r="C206" s="17">
        <v>11040.6</v>
      </c>
      <c r="E206" s="17">
        <v>11004.2</v>
      </c>
      <c r="F206" s="17">
        <v>10992.8</v>
      </c>
      <c r="G206" s="17">
        <v>10990.8</v>
      </c>
      <c r="H206" s="17">
        <v>11006.2</v>
      </c>
    </row>
    <row r="207" spans="1:8" x14ac:dyDescent="0.2">
      <c r="A207" s="17">
        <v>1031.9000000000001</v>
      </c>
      <c r="C207" s="17">
        <v>11076.5</v>
      </c>
      <c r="E207" s="17">
        <v>11006.6</v>
      </c>
      <c r="F207" s="17">
        <v>10994.9</v>
      </c>
      <c r="G207" s="17">
        <v>10992.9</v>
      </c>
      <c r="H207" s="17">
        <v>11008.6</v>
      </c>
    </row>
    <row r="208" spans="1:8" x14ac:dyDescent="0.2">
      <c r="A208" s="17">
        <v>1031.8</v>
      </c>
      <c r="C208" s="17">
        <v>11011</v>
      </c>
      <c r="E208" s="17">
        <v>11009.1</v>
      </c>
      <c r="F208" s="17">
        <v>10997</v>
      </c>
      <c r="G208" s="17">
        <v>10995.1</v>
      </c>
      <c r="H208" s="17">
        <v>11011</v>
      </c>
    </row>
    <row r="209" spans="1:8" x14ac:dyDescent="0.2">
      <c r="A209" s="17">
        <v>1031.7</v>
      </c>
      <c r="C209" s="17">
        <v>10990.1</v>
      </c>
      <c r="E209" s="17">
        <v>11011.5</v>
      </c>
      <c r="F209" s="17">
        <v>10999.1</v>
      </c>
      <c r="G209" s="17">
        <v>10997.2</v>
      </c>
      <c r="H209" s="17">
        <v>11013.5</v>
      </c>
    </row>
    <row r="210" spans="1:8" x14ac:dyDescent="0.2">
      <c r="A210" s="17">
        <v>1031.5999999999999</v>
      </c>
      <c r="C210" s="17">
        <v>10973.1</v>
      </c>
      <c r="E210" s="17">
        <v>11014</v>
      </c>
      <c r="F210" s="17">
        <v>11001.3</v>
      </c>
      <c r="G210" s="17">
        <v>10999.4</v>
      </c>
      <c r="H210" s="17">
        <v>11015.9</v>
      </c>
    </row>
    <row r="211" spans="1:8" x14ac:dyDescent="0.2">
      <c r="A211" s="17">
        <v>1031.5</v>
      </c>
      <c r="C211" s="17">
        <v>11067.2</v>
      </c>
      <c r="E211" s="17">
        <v>11016.5</v>
      </c>
      <c r="F211" s="17">
        <v>11003.4</v>
      </c>
      <c r="G211" s="17">
        <v>11001.5</v>
      </c>
      <c r="H211" s="17">
        <v>11018.4</v>
      </c>
    </row>
    <row r="212" spans="1:8" x14ac:dyDescent="0.2">
      <c r="A212" s="17">
        <v>1031.4000000000001</v>
      </c>
      <c r="C212" s="17">
        <v>11033.5</v>
      </c>
      <c r="E212" s="17">
        <v>11019</v>
      </c>
      <c r="F212" s="17">
        <v>11005.5</v>
      </c>
      <c r="G212" s="17">
        <v>11003.7</v>
      </c>
      <c r="H212" s="17">
        <v>11020.8</v>
      </c>
    </row>
    <row r="213" spans="1:8" x14ac:dyDescent="0.2">
      <c r="A213" s="17">
        <v>1031.3</v>
      </c>
      <c r="C213" s="17">
        <v>11050.6</v>
      </c>
      <c r="E213" s="17">
        <v>11021.5</v>
      </c>
      <c r="F213" s="17">
        <v>11007.6</v>
      </c>
      <c r="G213" s="17">
        <v>11005.8</v>
      </c>
      <c r="H213" s="17">
        <v>11023.3</v>
      </c>
    </row>
    <row r="214" spans="1:8" x14ac:dyDescent="0.2">
      <c r="A214" s="17">
        <v>1031.2</v>
      </c>
      <c r="C214" s="17">
        <v>10997.7</v>
      </c>
      <c r="E214" s="17">
        <v>11024</v>
      </c>
      <c r="F214" s="17">
        <v>11009.8</v>
      </c>
      <c r="G214" s="17">
        <v>11008</v>
      </c>
      <c r="H214" s="17">
        <v>11025.8</v>
      </c>
    </row>
    <row r="215" spans="1:8" x14ac:dyDescent="0.2">
      <c r="A215" s="17">
        <v>1031.0999999999999</v>
      </c>
      <c r="C215" s="17">
        <v>10966.3</v>
      </c>
      <c r="E215" s="17">
        <v>11026.6</v>
      </c>
      <c r="F215" s="17">
        <v>11011.9</v>
      </c>
      <c r="G215" s="17">
        <v>11010.1</v>
      </c>
      <c r="H215" s="17">
        <v>11028.4</v>
      </c>
    </row>
    <row r="216" spans="1:8" x14ac:dyDescent="0.2">
      <c r="A216" s="17">
        <v>1031</v>
      </c>
      <c r="C216" s="17">
        <v>11072.6</v>
      </c>
      <c r="E216" s="17">
        <v>11029.1</v>
      </c>
      <c r="F216" s="17">
        <v>11014</v>
      </c>
      <c r="G216" s="17">
        <v>11012.3</v>
      </c>
      <c r="H216" s="17">
        <v>11030.9</v>
      </c>
    </row>
    <row r="217" spans="1:8" x14ac:dyDescent="0.2">
      <c r="A217" s="17">
        <v>1030.9000000000001</v>
      </c>
      <c r="C217" s="17">
        <v>11046.9</v>
      </c>
      <c r="E217" s="17">
        <v>11031.7</v>
      </c>
      <c r="F217" s="17">
        <v>11016.2</v>
      </c>
      <c r="G217" s="17">
        <v>11014.4</v>
      </c>
      <c r="H217" s="17">
        <v>11033.4</v>
      </c>
    </row>
    <row r="218" spans="1:8" x14ac:dyDescent="0.2">
      <c r="A218" s="17">
        <v>1030.8</v>
      </c>
      <c r="C218" s="17">
        <v>11083.7</v>
      </c>
      <c r="E218" s="17">
        <v>11034.3</v>
      </c>
      <c r="F218" s="17">
        <v>11018.3</v>
      </c>
      <c r="G218" s="17">
        <v>11016.6</v>
      </c>
      <c r="H218" s="17">
        <v>11036</v>
      </c>
    </row>
    <row r="219" spans="1:8" x14ac:dyDescent="0.2">
      <c r="A219" s="17">
        <v>1030.7</v>
      </c>
      <c r="C219" s="17">
        <v>11085.5</v>
      </c>
      <c r="E219" s="17">
        <v>11036.9</v>
      </c>
      <c r="F219" s="17">
        <v>11020.4</v>
      </c>
      <c r="G219" s="17">
        <v>11018.7</v>
      </c>
      <c r="H219" s="17">
        <v>11038.6</v>
      </c>
    </row>
    <row r="220" spans="1:8" x14ac:dyDescent="0.2">
      <c r="A220" s="17">
        <v>1030.5999999999999</v>
      </c>
      <c r="C220" s="17">
        <v>11092</v>
      </c>
      <c r="E220" s="17">
        <v>11039.5</v>
      </c>
      <c r="F220" s="17">
        <v>11022.5</v>
      </c>
      <c r="G220" s="17">
        <v>11020.9</v>
      </c>
      <c r="H220" s="17">
        <v>11041.2</v>
      </c>
    </row>
    <row r="221" spans="1:8" x14ac:dyDescent="0.2">
      <c r="A221" s="17">
        <v>1030.5</v>
      </c>
      <c r="C221" s="17">
        <v>11106.4</v>
      </c>
      <c r="E221" s="17">
        <v>11042.2</v>
      </c>
      <c r="F221" s="17">
        <v>11024.7</v>
      </c>
      <c r="G221" s="17">
        <v>11023</v>
      </c>
      <c r="H221" s="17">
        <v>11043.8</v>
      </c>
    </row>
    <row r="222" spans="1:8" x14ac:dyDescent="0.2">
      <c r="A222" s="17">
        <v>1030.4000000000001</v>
      </c>
      <c r="C222" s="17">
        <v>11068.8</v>
      </c>
      <c r="E222" s="17">
        <v>11044.9</v>
      </c>
      <c r="F222" s="17">
        <v>11026.8</v>
      </c>
      <c r="G222" s="17">
        <v>11025.2</v>
      </c>
      <c r="H222" s="17">
        <v>11046.5</v>
      </c>
    </row>
    <row r="223" spans="1:8" x14ac:dyDescent="0.2">
      <c r="A223" s="17">
        <v>1030.3</v>
      </c>
      <c r="C223" s="17">
        <v>10890.1</v>
      </c>
      <c r="E223" s="17">
        <v>11047.6</v>
      </c>
      <c r="F223" s="17">
        <v>11028.9</v>
      </c>
      <c r="G223" s="17">
        <v>11027.3</v>
      </c>
      <c r="H223" s="17">
        <v>11049.2</v>
      </c>
    </row>
    <row r="224" spans="1:8" x14ac:dyDescent="0.2">
      <c r="A224" s="17">
        <v>1030.2</v>
      </c>
      <c r="C224" s="17">
        <v>11042.7</v>
      </c>
      <c r="E224" s="17">
        <v>11050.3</v>
      </c>
      <c r="F224" s="17">
        <v>11031.1</v>
      </c>
      <c r="G224" s="17">
        <v>11029.5</v>
      </c>
      <c r="H224" s="17">
        <v>11051.9</v>
      </c>
    </row>
    <row r="225" spans="1:8" x14ac:dyDescent="0.2">
      <c r="A225" s="17">
        <v>1030.0999999999999</v>
      </c>
      <c r="C225" s="17">
        <v>11105.4</v>
      </c>
      <c r="E225" s="17">
        <v>11054.2</v>
      </c>
      <c r="F225" s="17">
        <v>11034.4</v>
      </c>
      <c r="G225" s="17">
        <v>11032.8</v>
      </c>
      <c r="H225" s="17">
        <v>11055.8</v>
      </c>
    </row>
    <row r="226" spans="1:8" x14ac:dyDescent="0.2">
      <c r="A226" s="17">
        <v>1030</v>
      </c>
      <c r="C226" s="17">
        <v>11040.4</v>
      </c>
      <c r="E226" s="17">
        <v>11058.2</v>
      </c>
      <c r="F226" s="17">
        <v>11037.7</v>
      </c>
      <c r="G226" s="17">
        <v>11036.2</v>
      </c>
      <c r="H226" s="17">
        <v>11059.8</v>
      </c>
    </row>
    <row r="227" spans="1:8" x14ac:dyDescent="0.2">
      <c r="A227" s="17">
        <v>1029.9000000000001</v>
      </c>
      <c r="C227" s="17">
        <v>11133.5</v>
      </c>
      <c r="E227" s="17">
        <v>11062.3</v>
      </c>
      <c r="F227" s="17">
        <v>11041.1</v>
      </c>
      <c r="G227" s="17">
        <v>11039.5</v>
      </c>
      <c r="H227" s="17">
        <v>11063.8</v>
      </c>
    </row>
    <row r="228" spans="1:8" x14ac:dyDescent="0.2">
      <c r="A228" s="17">
        <v>1029.8</v>
      </c>
      <c r="C228" s="17">
        <v>11073.2</v>
      </c>
      <c r="E228" s="17">
        <v>11066.4</v>
      </c>
      <c r="F228" s="17">
        <v>11044.4</v>
      </c>
      <c r="G228" s="17">
        <v>11042.9</v>
      </c>
      <c r="H228" s="17">
        <v>11067.9</v>
      </c>
    </row>
    <row r="229" spans="1:8" x14ac:dyDescent="0.2">
      <c r="A229" s="17">
        <v>1029.7</v>
      </c>
      <c r="C229" s="17">
        <v>11113.6</v>
      </c>
      <c r="E229" s="17">
        <v>11070.5</v>
      </c>
      <c r="F229" s="17">
        <v>11047.7</v>
      </c>
      <c r="G229" s="17">
        <v>11046.2</v>
      </c>
      <c r="H229" s="17">
        <v>11072</v>
      </c>
    </row>
    <row r="230" spans="1:8" x14ac:dyDescent="0.2">
      <c r="A230" s="17">
        <v>1029.5999999999999</v>
      </c>
      <c r="C230" s="17">
        <v>11117.8</v>
      </c>
      <c r="E230" s="17">
        <v>11074.7</v>
      </c>
      <c r="F230" s="17">
        <v>11051.1</v>
      </c>
      <c r="G230" s="17">
        <v>11049.6</v>
      </c>
      <c r="H230" s="17">
        <v>11076.1</v>
      </c>
    </row>
    <row r="231" spans="1:8" x14ac:dyDescent="0.2">
      <c r="A231" s="17">
        <v>1029.5</v>
      </c>
      <c r="C231" s="17">
        <v>11080</v>
      </c>
      <c r="E231" s="17">
        <v>11078.9</v>
      </c>
      <c r="F231" s="17">
        <v>11054.4</v>
      </c>
      <c r="G231" s="17">
        <v>11053</v>
      </c>
      <c r="H231" s="17">
        <v>11080.4</v>
      </c>
    </row>
    <row r="232" spans="1:8" x14ac:dyDescent="0.2">
      <c r="A232" s="17">
        <v>1029.4000000000001</v>
      </c>
      <c r="C232" s="17">
        <v>11193.8</v>
      </c>
      <c r="E232" s="17">
        <v>11083.2</v>
      </c>
      <c r="F232" s="17">
        <v>11057.7</v>
      </c>
      <c r="G232" s="17">
        <v>11056.3</v>
      </c>
      <c r="H232" s="17">
        <v>11084.6</v>
      </c>
    </row>
    <row r="233" spans="1:8" x14ac:dyDescent="0.2">
      <c r="A233" s="17">
        <v>1029.3</v>
      </c>
      <c r="C233" s="17">
        <v>11171.1</v>
      </c>
      <c r="E233" s="17">
        <v>11087.6</v>
      </c>
      <c r="F233" s="17">
        <v>11061.1</v>
      </c>
      <c r="G233" s="17">
        <v>11059.7</v>
      </c>
      <c r="H233" s="17">
        <v>11089</v>
      </c>
    </row>
    <row r="234" spans="1:8" x14ac:dyDescent="0.2">
      <c r="A234" s="17">
        <v>1029.2</v>
      </c>
      <c r="C234" s="17">
        <v>11202.5</v>
      </c>
      <c r="E234" s="17">
        <v>11092.1</v>
      </c>
      <c r="F234" s="17">
        <v>11064.4</v>
      </c>
      <c r="G234" s="17">
        <v>11063</v>
      </c>
      <c r="H234" s="17">
        <v>11093.5</v>
      </c>
    </row>
    <row r="235" spans="1:8" x14ac:dyDescent="0.2">
      <c r="A235" s="17">
        <v>1029.0999999999999</v>
      </c>
      <c r="C235" s="17">
        <v>11154.5</v>
      </c>
      <c r="E235" s="17">
        <v>11096.6</v>
      </c>
      <c r="F235" s="17">
        <v>11067.8</v>
      </c>
      <c r="G235" s="17">
        <v>11066.4</v>
      </c>
      <c r="H235" s="17">
        <v>11098</v>
      </c>
    </row>
    <row r="236" spans="1:8" x14ac:dyDescent="0.2">
      <c r="A236" s="17">
        <v>1029</v>
      </c>
      <c r="C236" s="17">
        <v>11175.3</v>
      </c>
      <c r="E236" s="17">
        <v>11101.3</v>
      </c>
      <c r="F236" s="17">
        <v>11071.1</v>
      </c>
      <c r="G236" s="17">
        <v>11069.7</v>
      </c>
      <c r="H236" s="17">
        <v>11102.7</v>
      </c>
    </row>
    <row r="237" spans="1:8" x14ac:dyDescent="0.2">
      <c r="A237" s="17">
        <v>1028.9000000000001</v>
      </c>
      <c r="C237" s="17">
        <v>11231.9</v>
      </c>
      <c r="E237" s="17">
        <v>11106.1</v>
      </c>
      <c r="F237" s="17">
        <v>11074.4</v>
      </c>
      <c r="G237" s="17">
        <v>11073.1</v>
      </c>
      <c r="H237" s="17">
        <v>11107.5</v>
      </c>
    </row>
    <row r="238" spans="1:8" x14ac:dyDescent="0.2">
      <c r="A238" s="17">
        <v>1028.8</v>
      </c>
      <c r="C238" s="17">
        <v>11187.3</v>
      </c>
      <c r="E238" s="17">
        <v>11111.1</v>
      </c>
      <c r="F238" s="17">
        <v>11077.8</v>
      </c>
      <c r="G238" s="17">
        <v>11076.4</v>
      </c>
      <c r="H238" s="17">
        <v>11112.4</v>
      </c>
    </row>
    <row r="239" spans="1:8" x14ac:dyDescent="0.2">
      <c r="A239" s="17">
        <v>1028.7</v>
      </c>
      <c r="C239" s="17">
        <v>11150</v>
      </c>
      <c r="E239" s="17">
        <v>11116.1</v>
      </c>
      <c r="F239" s="17">
        <v>11081.1</v>
      </c>
      <c r="G239" s="17">
        <v>11079.8</v>
      </c>
      <c r="H239" s="17">
        <v>11117.5</v>
      </c>
    </row>
    <row r="240" spans="1:8" x14ac:dyDescent="0.2">
      <c r="A240" s="17">
        <v>1028.5999999999999</v>
      </c>
      <c r="C240" s="17">
        <v>11153.7</v>
      </c>
      <c r="E240" s="17">
        <v>11121.4</v>
      </c>
      <c r="F240" s="17">
        <v>11084.5</v>
      </c>
      <c r="G240" s="17">
        <v>11083.1</v>
      </c>
      <c r="H240" s="17">
        <v>11122.7</v>
      </c>
    </row>
    <row r="241" spans="1:8" x14ac:dyDescent="0.2">
      <c r="A241" s="17">
        <v>1028.5</v>
      </c>
      <c r="C241" s="17">
        <v>11224.4</v>
      </c>
      <c r="E241" s="17">
        <v>11126.9</v>
      </c>
      <c r="F241" s="17">
        <v>11087.8</v>
      </c>
      <c r="G241" s="17">
        <v>11086.5</v>
      </c>
      <c r="H241" s="17">
        <v>11128.2</v>
      </c>
    </row>
    <row r="242" spans="1:8" x14ac:dyDescent="0.2">
      <c r="A242" s="17">
        <v>1028.4000000000001</v>
      </c>
      <c r="C242" s="17">
        <v>11258.5</v>
      </c>
      <c r="E242" s="17">
        <v>11132.6</v>
      </c>
      <c r="F242" s="17">
        <v>11091.1</v>
      </c>
      <c r="G242" s="17">
        <v>11089.9</v>
      </c>
      <c r="H242" s="17">
        <v>11133.9</v>
      </c>
    </row>
    <row r="243" spans="1:8" x14ac:dyDescent="0.2">
      <c r="A243" s="17">
        <v>1028.3</v>
      </c>
      <c r="C243" s="17">
        <v>11178.1</v>
      </c>
      <c r="E243" s="17">
        <v>11138.5</v>
      </c>
      <c r="F243" s="17">
        <v>11094.5</v>
      </c>
      <c r="G243" s="17">
        <v>11093.2</v>
      </c>
      <c r="H243" s="17">
        <v>11139.8</v>
      </c>
    </row>
    <row r="244" spans="1:8" x14ac:dyDescent="0.2">
      <c r="A244" s="17">
        <v>1028.2</v>
      </c>
      <c r="C244" s="17">
        <v>11277.4</v>
      </c>
      <c r="E244" s="17">
        <v>11144.8</v>
      </c>
      <c r="F244" s="17">
        <v>11097.8</v>
      </c>
      <c r="G244" s="17">
        <v>11096.6</v>
      </c>
      <c r="H244" s="17">
        <v>11146</v>
      </c>
    </row>
    <row r="245" spans="1:8" x14ac:dyDescent="0.2">
      <c r="A245" s="17">
        <v>1028.0999999999999</v>
      </c>
      <c r="C245" s="17">
        <v>11282.4</v>
      </c>
      <c r="E245" s="17">
        <v>11151.3</v>
      </c>
      <c r="F245" s="17">
        <v>11101.2</v>
      </c>
      <c r="G245" s="17">
        <v>11099.9</v>
      </c>
      <c r="H245" s="17">
        <v>11152.5</v>
      </c>
    </row>
    <row r="246" spans="1:8" x14ac:dyDescent="0.2">
      <c r="A246" s="17">
        <v>1028</v>
      </c>
      <c r="C246" s="17">
        <v>11293.4</v>
      </c>
      <c r="E246" s="17">
        <v>11158.2</v>
      </c>
      <c r="F246" s="17">
        <v>11104.5</v>
      </c>
      <c r="G246" s="17">
        <v>11103.3</v>
      </c>
      <c r="H246" s="17">
        <v>11159.4</v>
      </c>
    </row>
    <row r="247" spans="1:8" x14ac:dyDescent="0.2">
      <c r="A247" s="17">
        <v>1027.9000000000001</v>
      </c>
      <c r="C247" s="17">
        <v>11339.1</v>
      </c>
      <c r="E247" s="17">
        <v>11165.4</v>
      </c>
      <c r="F247" s="17">
        <v>11107.8</v>
      </c>
      <c r="G247" s="17">
        <v>11106.6</v>
      </c>
      <c r="H247" s="17">
        <v>11166.6</v>
      </c>
    </row>
    <row r="248" spans="1:8" x14ac:dyDescent="0.2">
      <c r="A248" s="17">
        <v>1027.8</v>
      </c>
      <c r="C248" s="17">
        <v>11288.5</v>
      </c>
      <c r="E248" s="17">
        <v>11173.1</v>
      </c>
      <c r="F248" s="17">
        <v>11111.2</v>
      </c>
      <c r="G248" s="17">
        <v>11110</v>
      </c>
      <c r="H248" s="17">
        <v>11174.3</v>
      </c>
    </row>
    <row r="249" spans="1:8" x14ac:dyDescent="0.2">
      <c r="A249" s="17">
        <v>1027.7</v>
      </c>
      <c r="C249" s="17">
        <v>11239.8</v>
      </c>
      <c r="E249" s="17">
        <v>11181.2</v>
      </c>
      <c r="F249" s="17">
        <v>11114.5</v>
      </c>
      <c r="G249" s="17">
        <v>11113.3</v>
      </c>
      <c r="H249" s="17">
        <v>11182.4</v>
      </c>
    </row>
    <row r="250" spans="1:8" x14ac:dyDescent="0.2">
      <c r="A250" s="17">
        <v>1027.5999999999999</v>
      </c>
      <c r="C250" s="17">
        <v>11265</v>
      </c>
      <c r="E250" s="17">
        <v>11189.9</v>
      </c>
      <c r="F250" s="17">
        <v>11117.9</v>
      </c>
      <c r="G250" s="17">
        <v>11116.7</v>
      </c>
      <c r="H250" s="17">
        <v>11191</v>
      </c>
    </row>
    <row r="251" spans="1:8" x14ac:dyDescent="0.2">
      <c r="A251" s="17">
        <v>1027.5</v>
      </c>
      <c r="C251" s="17">
        <v>11295.7</v>
      </c>
      <c r="E251" s="17">
        <v>11199</v>
      </c>
      <c r="F251" s="17">
        <v>11121.2</v>
      </c>
      <c r="G251" s="17">
        <v>11120</v>
      </c>
      <c r="H251" s="17">
        <v>11200.2</v>
      </c>
    </row>
    <row r="252" spans="1:8" x14ac:dyDescent="0.2">
      <c r="A252" s="17">
        <v>1027.4000000000001</v>
      </c>
      <c r="C252" s="17">
        <v>11293.8</v>
      </c>
      <c r="E252" s="17">
        <v>11208.8</v>
      </c>
      <c r="F252" s="17">
        <v>11124.5</v>
      </c>
      <c r="G252" s="17">
        <v>11123.4</v>
      </c>
      <c r="H252" s="17">
        <v>11210</v>
      </c>
    </row>
    <row r="253" spans="1:8" x14ac:dyDescent="0.2">
      <c r="A253" s="17">
        <v>1027.3</v>
      </c>
      <c r="C253" s="17">
        <v>11320.6</v>
      </c>
      <c r="E253" s="17">
        <v>11219.2</v>
      </c>
      <c r="F253" s="17">
        <v>11127.9</v>
      </c>
      <c r="G253" s="17">
        <v>11126.7</v>
      </c>
      <c r="H253" s="17">
        <v>11220.4</v>
      </c>
    </row>
    <row r="254" spans="1:8" x14ac:dyDescent="0.2">
      <c r="A254" s="17">
        <v>1027.2</v>
      </c>
      <c r="C254" s="17">
        <v>11282</v>
      </c>
      <c r="E254" s="17">
        <v>11230.4</v>
      </c>
      <c r="F254" s="17">
        <v>11131.2</v>
      </c>
      <c r="G254" s="17">
        <v>11130.1</v>
      </c>
      <c r="H254" s="17">
        <v>11231.5</v>
      </c>
    </row>
    <row r="255" spans="1:8" x14ac:dyDescent="0.2">
      <c r="A255" s="17">
        <v>1027.0999999999999</v>
      </c>
      <c r="C255" s="17">
        <v>11403.4</v>
      </c>
      <c r="E255" s="17">
        <v>11242.2</v>
      </c>
      <c r="F255" s="17">
        <v>11134.6</v>
      </c>
      <c r="G255" s="17">
        <v>11133.5</v>
      </c>
      <c r="H255" s="17">
        <v>11243.3</v>
      </c>
    </row>
    <row r="256" spans="1:8" x14ac:dyDescent="0.2">
      <c r="A256" s="17">
        <v>1027</v>
      </c>
      <c r="C256" s="17">
        <v>11377.7</v>
      </c>
      <c r="E256" s="17">
        <v>11254.9</v>
      </c>
      <c r="F256" s="17">
        <v>11137.9</v>
      </c>
      <c r="G256" s="17">
        <v>11136.8</v>
      </c>
      <c r="H256" s="17">
        <v>11256</v>
      </c>
    </row>
    <row r="257" spans="1:8" x14ac:dyDescent="0.2">
      <c r="A257" s="17">
        <v>1026.9000000000001</v>
      </c>
      <c r="C257" s="17">
        <v>11392</v>
      </c>
      <c r="E257" s="17">
        <v>11268.4</v>
      </c>
      <c r="F257" s="17">
        <v>11141.3</v>
      </c>
      <c r="G257" s="17">
        <v>11140.2</v>
      </c>
      <c r="H257" s="17">
        <v>11269.4</v>
      </c>
    </row>
    <row r="258" spans="1:8" x14ac:dyDescent="0.2">
      <c r="A258" s="17">
        <v>1026.8</v>
      </c>
      <c r="C258" s="17">
        <v>11404.6</v>
      </c>
      <c r="E258" s="17">
        <v>11282.7</v>
      </c>
      <c r="F258" s="17">
        <v>11144.6</v>
      </c>
      <c r="G258" s="17">
        <v>11143.5</v>
      </c>
      <c r="H258" s="17">
        <v>11283.8</v>
      </c>
    </row>
    <row r="259" spans="1:8" x14ac:dyDescent="0.2">
      <c r="A259" s="17">
        <v>1026.7</v>
      </c>
      <c r="C259" s="17">
        <v>11440.5</v>
      </c>
      <c r="E259" s="17">
        <v>11298</v>
      </c>
      <c r="F259" s="17">
        <v>11147.9</v>
      </c>
      <c r="G259" s="17">
        <v>11146.9</v>
      </c>
      <c r="H259" s="17">
        <v>11299.1</v>
      </c>
    </row>
    <row r="260" spans="1:8" x14ac:dyDescent="0.2">
      <c r="A260" s="17">
        <v>1026.5999999999999</v>
      </c>
      <c r="C260" s="17">
        <v>11326.1</v>
      </c>
      <c r="E260" s="17">
        <v>11314.3</v>
      </c>
      <c r="F260" s="17">
        <v>11151.3</v>
      </c>
      <c r="G260" s="17">
        <v>11150.2</v>
      </c>
      <c r="H260" s="17">
        <v>11315.4</v>
      </c>
    </row>
    <row r="261" spans="1:8" x14ac:dyDescent="0.2">
      <c r="A261" s="17">
        <v>1026.5</v>
      </c>
      <c r="C261" s="17">
        <v>11527.7</v>
      </c>
      <c r="E261" s="17">
        <v>11331.6</v>
      </c>
      <c r="F261" s="17">
        <v>11154.6</v>
      </c>
      <c r="G261" s="17">
        <v>11153.6</v>
      </c>
      <c r="H261" s="17">
        <v>11332.7</v>
      </c>
    </row>
    <row r="262" spans="1:8" x14ac:dyDescent="0.2">
      <c r="A262" s="17">
        <v>1026.4000000000001</v>
      </c>
      <c r="C262" s="17">
        <v>11490.5</v>
      </c>
      <c r="E262" s="17">
        <v>11350</v>
      </c>
      <c r="F262" s="17">
        <v>11158</v>
      </c>
      <c r="G262" s="17">
        <v>11156.9</v>
      </c>
      <c r="H262" s="17">
        <v>11351</v>
      </c>
    </row>
    <row r="263" spans="1:8" x14ac:dyDescent="0.2">
      <c r="A263" s="17">
        <v>1026.3</v>
      </c>
      <c r="C263" s="17">
        <v>11405.1</v>
      </c>
      <c r="E263" s="17">
        <v>11369.4</v>
      </c>
      <c r="F263" s="17">
        <v>11161.3</v>
      </c>
      <c r="G263" s="17">
        <v>11160.3</v>
      </c>
      <c r="H263" s="17">
        <v>11370.4</v>
      </c>
    </row>
    <row r="264" spans="1:8" x14ac:dyDescent="0.2">
      <c r="A264" s="17">
        <v>1026.2</v>
      </c>
      <c r="C264" s="17">
        <v>11480.8</v>
      </c>
      <c r="E264" s="17">
        <v>11389.9</v>
      </c>
      <c r="F264" s="17">
        <v>11164.7</v>
      </c>
      <c r="G264" s="17">
        <v>11163.6</v>
      </c>
      <c r="H264" s="17">
        <v>11390.9</v>
      </c>
    </row>
    <row r="265" spans="1:8" x14ac:dyDescent="0.2">
      <c r="A265" s="17">
        <v>1026.0999999999999</v>
      </c>
      <c r="C265" s="17">
        <v>11564.1</v>
      </c>
      <c r="E265" s="17">
        <v>11411.5</v>
      </c>
      <c r="F265" s="17">
        <v>11168</v>
      </c>
      <c r="G265" s="17">
        <v>11167</v>
      </c>
      <c r="H265" s="17">
        <v>11412.5</v>
      </c>
    </row>
    <row r="266" spans="1:8" x14ac:dyDescent="0.2">
      <c r="A266" s="17">
        <v>1026</v>
      </c>
      <c r="C266" s="17">
        <v>11497.3</v>
      </c>
      <c r="E266" s="17">
        <v>11434.2</v>
      </c>
      <c r="F266" s="17">
        <v>11171.4</v>
      </c>
      <c r="G266" s="17">
        <v>11170.4</v>
      </c>
      <c r="H266" s="17">
        <v>11435.2</v>
      </c>
    </row>
    <row r="267" spans="1:8" x14ac:dyDescent="0.2">
      <c r="A267" s="17">
        <v>1025.9000000000001</v>
      </c>
      <c r="C267" s="17">
        <v>11585.8</v>
      </c>
      <c r="E267" s="17">
        <v>11457.9</v>
      </c>
      <c r="F267" s="17">
        <v>11174.7</v>
      </c>
      <c r="G267" s="17">
        <v>11173.7</v>
      </c>
      <c r="H267" s="17">
        <v>11458.9</v>
      </c>
    </row>
    <row r="268" spans="1:8" x14ac:dyDescent="0.2">
      <c r="A268" s="17">
        <v>1025.8</v>
      </c>
      <c r="C268" s="17">
        <v>11618.5</v>
      </c>
      <c r="E268" s="17">
        <v>11482.8</v>
      </c>
      <c r="F268" s="17">
        <v>11178</v>
      </c>
      <c r="G268" s="17">
        <v>11177.1</v>
      </c>
      <c r="H268" s="17">
        <v>11483.8</v>
      </c>
    </row>
    <row r="269" spans="1:8" x14ac:dyDescent="0.2">
      <c r="A269" s="17">
        <v>1025.7</v>
      </c>
      <c r="C269" s="17">
        <v>11698.1</v>
      </c>
      <c r="E269" s="17">
        <v>11508.7</v>
      </c>
      <c r="F269" s="17">
        <v>11181.4</v>
      </c>
      <c r="G269" s="17">
        <v>11180.4</v>
      </c>
      <c r="H269" s="17">
        <v>11509.7</v>
      </c>
    </row>
    <row r="270" spans="1:8" x14ac:dyDescent="0.2">
      <c r="A270" s="17">
        <v>1025.5999999999999</v>
      </c>
      <c r="C270" s="17">
        <v>11598</v>
      </c>
      <c r="E270" s="17">
        <v>11535.6</v>
      </c>
      <c r="F270" s="17">
        <v>11184.7</v>
      </c>
      <c r="G270" s="17">
        <v>11183.8</v>
      </c>
      <c r="H270" s="17">
        <v>11536.6</v>
      </c>
    </row>
    <row r="271" spans="1:8" x14ac:dyDescent="0.2">
      <c r="A271" s="17">
        <v>1025.5</v>
      </c>
      <c r="C271" s="17">
        <v>11617.7</v>
      </c>
      <c r="E271" s="17">
        <v>11563.5</v>
      </c>
      <c r="F271" s="17">
        <v>11188.1</v>
      </c>
      <c r="G271" s="17">
        <v>11187.1</v>
      </c>
      <c r="H271" s="17">
        <v>11564.4</v>
      </c>
    </row>
    <row r="272" spans="1:8" x14ac:dyDescent="0.2">
      <c r="A272" s="17">
        <v>1025.4000000000001</v>
      </c>
      <c r="C272" s="17">
        <v>11753.2</v>
      </c>
      <c r="E272" s="17">
        <v>11592.2</v>
      </c>
      <c r="F272" s="17">
        <v>11191.4</v>
      </c>
      <c r="G272" s="17">
        <v>11190.5</v>
      </c>
      <c r="H272" s="17">
        <v>11593.1</v>
      </c>
    </row>
    <row r="273" spans="1:8" x14ac:dyDescent="0.2">
      <c r="A273" s="17">
        <v>1025.3</v>
      </c>
      <c r="C273" s="17">
        <v>11736.6</v>
      </c>
      <c r="E273" s="17">
        <v>11621.7</v>
      </c>
      <c r="F273" s="17">
        <v>11194.8</v>
      </c>
      <c r="G273" s="17">
        <v>11193.8</v>
      </c>
      <c r="H273" s="17">
        <v>11622.6</v>
      </c>
    </row>
    <row r="274" spans="1:8" x14ac:dyDescent="0.2">
      <c r="A274" s="17">
        <v>1025.2</v>
      </c>
      <c r="C274" s="17">
        <v>11662</v>
      </c>
      <c r="E274" s="17">
        <v>11651.9</v>
      </c>
      <c r="F274" s="17">
        <v>11198.1</v>
      </c>
      <c r="G274" s="17">
        <v>11197.2</v>
      </c>
      <c r="H274" s="17">
        <v>11652.8</v>
      </c>
    </row>
    <row r="275" spans="1:8" x14ac:dyDescent="0.2">
      <c r="A275" s="17">
        <v>1025.0999999999999</v>
      </c>
      <c r="C275" s="17">
        <v>11747.6</v>
      </c>
      <c r="E275" s="17">
        <v>11682.7</v>
      </c>
      <c r="F275" s="17">
        <v>11201.5</v>
      </c>
      <c r="G275" s="17">
        <v>11200.5</v>
      </c>
      <c r="H275" s="17">
        <v>11683.6</v>
      </c>
    </row>
    <row r="276" spans="1:8" x14ac:dyDescent="0.2">
      <c r="A276" s="17">
        <v>1025</v>
      </c>
      <c r="C276" s="17">
        <v>11807.9</v>
      </c>
      <c r="E276" s="17">
        <v>11713.9</v>
      </c>
      <c r="F276" s="17">
        <v>11204.8</v>
      </c>
      <c r="G276" s="17">
        <v>11203.9</v>
      </c>
      <c r="H276" s="17">
        <v>11714.8</v>
      </c>
    </row>
    <row r="277" spans="1:8" x14ac:dyDescent="0.2">
      <c r="A277" s="17">
        <v>1024.9000000000001</v>
      </c>
      <c r="C277" s="17">
        <v>11847.4</v>
      </c>
      <c r="E277" s="17">
        <v>11745.4</v>
      </c>
      <c r="F277" s="17">
        <v>11208.1</v>
      </c>
      <c r="G277" s="17">
        <v>11207.2</v>
      </c>
      <c r="H277" s="17">
        <v>11746.3</v>
      </c>
    </row>
    <row r="278" spans="1:8" x14ac:dyDescent="0.2">
      <c r="A278" s="17">
        <v>1024.8</v>
      </c>
      <c r="C278" s="17">
        <v>11794</v>
      </c>
      <c r="E278" s="17">
        <v>11777.1</v>
      </c>
      <c r="F278" s="17">
        <v>11211.5</v>
      </c>
      <c r="G278" s="17">
        <v>11210.6</v>
      </c>
      <c r="H278" s="17">
        <v>11778</v>
      </c>
    </row>
    <row r="279" spans="1:8" x14ac:dyDescent="0.2">
      <c r="A279" s="17">
        <v>1024.7</v>
      </c>
      <c r="C279" s="17">
        <v>11780.9</v>
      </c>
      <c r="E279" s="17">
        <v>11808.7</v>
      </c>
      <c r="F279" s="17">
        <v>11214.8</v>
      </c>
      <c r="G279" s="17">
        <v>11214</v>
      </c>
      <c r="H279" s="17">
        <v>11809.6</v>
      </c>
    </row>
    <row r="280" spans="1:8" x14ac:dyDescent="0.2">
      <c r="A280" s="17">
        <v>1024.5999999999999</v>
      </c>
      <c r="C280" s="17">
        <v>11720.5</v>
      </c>
      <c r="E280" s="17">
        <v>11840.1</v>
      </c>
      <c r="F280" s="17">
        <v>11218.2</v>
      </c>
      <c r="G280" s="17">
        <v>11217.3</v>
      </c>
      <c r="H280" s="17">
        <v>11840.9</v>
      </c>
    </row>
    <row r="281" spans="1:8" x14ac:dyDescent="0.2">
      <c r="A281" s="17">
        <v>1024.5</v>
      </c>
      <c r="C281" s="17">
        <v>11887.3</v>
      </c>
      <c r="E281" s="17">
        <v>11871</v>
      </c>
      <c r="F281" s="17">
        <v>11221.5</v>
      </c>
      <c r="G281" s="17">
        <v>11220.7</v>
      </c>
      <c r="H281" s="17">
        <v>11871.8</v>
      </c>
    </row>
    <row r="282" spans="1:8" x14ac:dyDescent="0.2">
      <c r="A282" s="17">
        <v>1024.4000000000001</v>
      </c>
      <c r="C282" s="17">
        <v>11877.4</v>
      </c>
      <c r="E282" s="17">
        <v>11901.2</v>
      </c>
      <c r="F282" s="17">
        <v>11224.9</v>
      </c>
      <c r="G282" s="17">
        <v>11224</v>
      </c>
      <c r="H282" s="17">
        <v>11902.1</v>
      </c>
    </row>
    <row r="283" spans="1:8" x14ac:dyDescent="0.2">
      <c r="A283" s="17">
        <v>1024.3</v>
      </c>
      <c r="C283" s="17">
        <v>11862.4</v>
      </c>
      <c r="E283" s="17">
        <v>11930.5</v>
      </c>
      <c r="F283" s="17">
        <v>11228.2</v>
      </c>
      <c r="G283" s="17">
        <v>11227.4</v>
      </c>
      <c r="H283" s="17">
        <v>11931.4</v>
      </c>
    </row>
    <row r="284" spans="1:8" x14ac:dyDescent="0.2">
      <c r="A284" s="17">
        <v>1024.2</v>
      </c>
      <c r="C284" s="17">
        <v>11886.3</v>
      </c>
      <c r="E284" s="17">
        <v>11958.7</v>
      </c>
      <c r="F284" s="17">
        <v>11231.6</v>
      </c>
      <c r="G284" s="17">
        <v>11230.7</v>
      </c>
      <c r="H284" s="17">
        <v>11959.5</v>
      </c>
    </row>
    <row r="285" spans="1:8" x14ac:dyDescent="0.2">
      <c r="A285" s="17">
        <v>1024.0999999999999</v>
      </c>
      <c r="C285" s="17">
        <v>12023.7</v>
      </c>
      <c r="E285" s="17">
        <v>11985.4</v>
      </c>
      <c r="F285" s="17">
        <v>11234.9</v>
      </c>
      <c r="G285" s="17">
        <v>11234.1</v>
      </c>
      <c r="H285" s="17">
        <v>11986.2</v>
      </c>
    </row>
    <row r="286" spans="1:8" x14ac:dyDescent="0.2">
      <c r="A286" s="17">
        <v>1024</v>
      </c>
      <c r="C286" s="17">
        <v>11912.6</v>
      </c>
      <c r="E286" s="17">
        <v>12010.4</v>
      </c>
      <c r="F286" s="17">
        <v>11238.3</v>
      </c>
      <c r="G286" s="17">
        <v>11237.4</v>
      </c>
      <c r="H286" s="17">
        <v>12011.3</v>
      </c>
    </row>
    <row r="287" spans="1:8" x14ac:dyDescent="0.2">
      <c r="A287" s="17">
        <v>1023.9</v>
      </c>
      <c r="C287" s="17">
        <v>12046.1</v>
      </c>
      <c r="E287" s="17">
        <v>12033.5</v>
      </c>
      <c r="F287" s="17">
        <v>11241.6</v>
      </c>
      <c r="G287" s="17">
        <v>11240.8</v>
      </c>
      <c r="H287" s="17">
        <v>12034.3</v>
      </c>
    </row>
    <row r="288" spans="1:8" x14ac:dyDescent="0.2">
      <c r="A288" s="17">
        <v>1023.8</v>
      </c>
      <c r="C288" s="17">
        <v>11916.3</v>
      </c>
      <c r="E288" s="17">
        <v>12054.4</v>
      </c>
      <c r="F288" s="17">
        <v>11245</v>
      </c>
      <c r="G288" s="17">
        <v>11244.1</v>
      </c>
      <c r="H288" s="17">
        <v>12055.2</v>
      </c>
    </row>
    <row r="289" spans="1:8" x14ac:dyDescent="0.2">
      <c r="A289" s="17">
        <v>1023.7</v>
      </c>
      <c r="C289" s="17">
        <v>12094.1</v>
      </c>
      <c r="E289" s="17">
        <v>12072.8</v>
      </c>
      <c r="F289" s="17">
        <v>11248.3</v>
      </c>
      <c r="G289" s="17">
        <v>11247.5</v>
      </c>
      <c r="H289" s="17">
        <v>12073.6</v>
      </c>
    </row>
    <row r="290" spans="1:8" x14ac:dyDescent="0.2">
      <c r="A290" s="17">
        <v>1023.6</v>
      </c>
      <c r="C290" s="17">
        <v>12070.5</v>
      </c>
      <c r="E290" s="17">
        <v>12088.5</v>
      </c>
      <c r="F290" s="17">
        <v>11251.7</v>
      </c>
      <c r="G290" s="17">
        <v>11250.9</v>
      </c>
      <c r="H290" s="17">
        <v>12089.3</v>
      </c>
    </row>
    <row r="291" spans="1:8" x14ac:dyDescent="0.2">
      <c r="A291" s="17">
        <v>1023.5</v>
      </c>
      <c r="C291" s="17">
        <v>12041.5</v>
      </c>
      <c r="E291" s="17">
        <v>12101.3</v>
      </c>
      <c r="F291" s="17">
        <v>11255</v>
      </c>
      <c r="G291" s="17">
        <v>11254.2</v>
      </c>
      <c r="H291" s="17">
        <v>12102.1</v>
      </c>
    </row>
    <row r="292" spans="1:8" x14ac:dyDescent="0.2">
      <c r="A292" s="17">
        <v>1023.4</v>
      </c>
      <c r="C292" s="17">
        <v>12078</v>
      </c>
      <c r="E292" s="17">
        <v>12111.2</v>
      </c>
      <c r="F292" s="17">
        <v>11258.3</v>
      </c>
      <c r="G292" s="17">
        <v>11257.6</v>
      </c>
      <c r="H292" s="17">
        <v>12112</v>
      </c>
    </row>
    <row r="293" spans="1:8" x14ac:dyDescent="0.2">
      <c r="A293" s="17">
        <v>1023.3</v>
      </c>
      <c r="C293" s="17">
        <v>12177.1</v>
      </c>
      <c r="E293" s="17">
        <v>12117.9</v>
      </c>
      <c r="F293" s="17">
        <v>11261.7</v>
      </c>
      <c r="G293" s="17">
        <v>11260.9</v>
      </c>
      <c r="H293" s="17">
        <v>12118.7</v>
      </c>
    </row>
    <row r="294" spans="1:8" x14ac:dyDescent="0.2">
      <c r="A294" s="17">
        <v>1023.2</v>
      </c>
      <c r="C294" s="17">
        <v>12080.2</v>
      </c>
      <c r="E294" s="17">
        <v>12121.4</v>
      </c>
      <c r="F294" s="17">
        <v>11265</v>
      </c>
      <c r="G294" s="17">
        <v>11264.3</v>
      </c>
      <c r="H294" s="17">
        <v>12122.2</v>
      </c>
    </row>
    <row r="295" spans="1:8" x14ac:dyDescent="0.2">
      <c r="A295" s="17">
        <v>1023.1</v>
      </c>
      <c r="C295" s="17">
        <v>12134.3</v>
      </c>
      <c r="E295" s="17">
        <v>12121.7</v>
      </c>
      <c r="F295" s="17">
        <v>11268.4</v>
      </c>
      <c r="G295" s="17">
        <v>11267.6</v>
      </c>
      <c r="H295" s="17">
        <v>12122.5</v>
      </c>
    </row>
    <row r="296" spans="1:8" x14ac:dyDescent="0.2">
      <c r="A296" s="17">
        <v>1023</v>
      </c>
      <c r="C296" s="17">
        <v>12123.7</v>
      </c>
      <c r="E296" s="17">
        <v>12118.9</v>
      </c>
      <c r="F296" s="17">
        <v>11271.7</v>
      </c>
      <c r="G296" s="17">
        <v>11271</v>
      </c>
      <c r="H296" s="17">
        <v>12119.7</v>
      </c>
    </row>
    <row r="297" spans="1:8" x14ac:dyDescent="0.2">
      <c r="A297" s="17">
        <v>1022.9</v>
      </c>
      <c r="C297" s="17">
        <v>12197.4</v>
      </c>
      <c r="E297" s="17">
        <v>12113.1</v>
      </c>
      <c r="F297" s="17">
        <v>11275.1</v>
      </c>
      <c r="G297" s="17">
        <v>11274.3</v>
      </c>
      <c r="H297" s="17">
        <v>12113.8</v>
      </c>
    </row>
    <row r="298" spans="1:8" x14ac:dyDescent="0.2">
      <c r="A298" s="17">
        <v>1022.8</v>
      </c>
      <c r="C298" s="17">
        <v>12201.7</v>
      </c>
      <c r="E298" s="17">
        <v>12104.3</v>
      </c>
      <c r="F298" s="17">
        <v>11278.4</v>
      </c>
      <c r="G298" s="17">
        <v>11277.7</v>
      </c>
      <c r="H298" s="17">
        <v>12105.1</v>
      </c>
    </row>
    <row r="299" spans="1:8" x14ac:dyDescent="0.2">
      <c r="A299" s="17">
        <v>1022.7</v>
      </c>
      <c r="C299" s="17">
        <v>12129.9</v>
      </c>
      <c r="E299" s="17">
        <v>12092.9</v>
      </c>
      <c r="F299" s="17">
        <v>11281.8</v>
      </c>
      <c r="G299" s="17">
        <v>11281</v>
      </c>
      <c r="H299" s="17">
        <v>12093.6</v>
      </c>
    </row>
    <row r="300" spans="1:8" x14ac:dyDescent="0.2">
      <c r="A300" s="17">
        <v>1022.6</v>
      </c>
      <c r="C300" s="17">
        <v>12202.1</v>
      </c>
      <c r="E300" s="17">
        <v>12079</v>
      </c>
      <c r="F300" s="17">
        <v>11285.1</v>
      </c>
      <c r="G300" s="17">
        <v>11284.4</v>
      </c>
      <c r="H300" s="17">
        <v>12079.7</v>
      </c>
    </row>
    <row r="301" spans="1:8" x14ac:dyDescent="0.2">
      <c r="A301" s="17">
        <v>1022.5</v>
      </c>
      <c r="C301" s="17">
        <v>12075.5</v>
      </c>
      <c r="E301" s="17">
        <v>12062.8</v>
      </c>
      <c r="F301" s="17">
        <v>11288.5</v>
      </c>
      <c r="G301" s="17">
        <v>11287.7</v>
      </c>
      <c r="H301" s="17">
        <v>12063.6</v>
      </c>
    </row>
    <row r="302" spans="1:8" x14ac:dyDescent="0.2">
      <c r="A302" s="17">
        <v>1022.4</v>
      </c>
      <c r="C302" s="17">
        <v>12114.8</v>
      </c>
      <c r="E302" s="17">
        <v>12044.7</v>
      </c>
      <c r="F302" s="17">
        <v>11291.8</v>
      </c>
      <c r="G302" s="17">
        <v>11291.1</v>
      </c>
      <c r="H302" s="17">
        <v>12045.4</v>
      </c>
    </row>
    <row r="303" spans="1:8" x14ac:dyDescent="0.2">
      <c r="A303" s="17">
        <v>1022.3</v>
      </c>
      <c r="C303" s="17">
        <v>12061.1</v>
      </c>
      <c r="E303" s="17">
        <v>12024.9</v>
      </c>
      <c r="F303" s="17">
        <v>11295.2</v>
      </c>
      <c r="G303" s="17">
        <v>11294.5</v>
      </c>
      <c r="H303" s="17">
        <v>12025.6</v>
      </c>
    </row>
    <row r="304" spans="1:8" x14ac:dyDescent="0.2">
      <c r="A304" s="17">
        <v>1022.2</v>
      </c>
      <c r="C304" s="17">
        <v>12118</v>
      </c>
      <c r="E304" s="17">
        <v>12003.5</v>
      </c>
      <c r="F304" s="17">
        <v>11298.5</v>
      </c>
      <c r="G304" s="17">
        <v>11297.8</v>
      </c>
      <c r="H304" s="17">
        <v>12004.3</v>
      </c>
    </row>
    <row r="305" spans="1:8" x14ac:dyDescent="0.2">
      <c r="A305" s="17">
        <v>1022.1</v>
      </c>
      <c r="C305" s="17">
        <v>12040.8</v>
      </c>
      <c r="E305" s="17">
        <v>11981</v>
      </c>
      <c r="F305" s="17">
        <v>11301.9</v>
      </c>
      <c r="G305" s="17">
        <v>11301.2</v>
      </c>
      <c r="H305" s="17">
        <v>11981.7</v>
      </c>
    </row>
    <row r="306" spans="1:8" x14ac:dyDescent="0.2">
      <c r="A306" s="17">
        <v>1022</v>
      </c>
      <c r="C306" s="17">
        <v>12020.8</v>
      </c>
      <c r="E306" s="17">
        <v>11957.6</v>
      </c>
      <c r="F306" s="17">
        <v>11305.2</v>
      </c>
      <c r="G306" s="17">
        <v>11304.5</v>
      </c>
      <c r="H306" s="17">
        <v>11958.3</v>
      </c>
    </row>
    <row r="307" spans="1:8" x14ac:dyDescent="0.2">
      <c r="A307" s="17">
        <v>1021.9</v>
      </c>
      <c r="C307" s="17">
        <v>12028.9</v>
      </c>
      <c r="E307" s="17">
        <v>11933.5</v>
      </c>
      <c r="F307" s="17">
        <v>11308.6</v>
      </c>
      <c r="G307" s="17">
        <v>11307.9</v>
      </c>
      <c r="H307" s="17">
        <v>11934.1</v>
      </c>
    </row>
    <row r="308" spans="1:8" x14ac:dyDescent="0.2">
      <c r="A308" s="17">
        <v>1021.8</v>
      </c>
      <c r="C308" s="17">
        <v>11917.5</v>
      </c>
      <c r="E308" s="17">
        <v>11908.8</v>
      </c>
      <c r="F308" s="17">
        <v>11311.9</v>
      </c>
      <c r="G308" s="17">
        <v>11311.2</v>
      </c>
      <c r="H308" s="17">
        <v>11909.5</v>
      </c>
    </row>
    <row r="309" spans="1:8" x14ac:dyDescent="0.2">
      <c r="A309" s="17">
        <v>1021.7</v>
      </c>
      <c r="C309" s="17">
        <v>11949</v>
      </c>
      <c r="E309" s="17">
        <v>11883.9</v>
      </c>
      <c r="F309" s="17">
        <v>11315.3</v>
      </c>
      <c r="G309" s="17">
        <v>11314.6</v>
      </c>
      <c r="H309" s="17">
        <v>11884.6</v>
      </c>
    </row>
    <row r="310" spans="1:8" x14ac:dyDescent="0.2">
      <c r="A310" s="17">
        <v>1021.6</v>
      </c>
      <c r="C310" s="17">
        <v>11882.6</v>
      </c>
      <c r="E310" s="17">
        <v>11859</v>
      </c>
      <c r="F310" s="17">
        <v>11318.6</v>
      </c>
      <c r="G310" s="17">
        <v>11317.9</v>
      </c>
      <c r="H310" s="17">
        <v>11859.7</v>
      </c>
    </row>
    <row r="311" spans="1:8" x14ac:dyDescent="0.2">
      <c r="A311" s="17">
        <v>1021.5</v>
      </c>
      <c r="C311" s="17">
        <v>11735.1</v>
      </c>
      <c r="E311" s="17">
        <v>11834.2</v>
      </c>
      <c r="F311" s="17">
        <v>11322</v>
      </c>
      <c r="G311" s="17">
        <v>11321.3</v>
      </c>
      <c r="H311" s="17">
        <v>11834.8</v>
      </c>
    </row>
    <row r="312" spans="1:8" x14ac:dyDescent="0.2">
      <c r="A312" s="17">
        <v>1021.4</v>
      </c>
      <c r="C312" s="17">
        <v>11776.1</v>
      </c>
      <c r="E312" s="17">
        <v>11809.6</v>
      </c>
      <c r="F312" s="17">
        <v>11325.3</v>
      </c>
      <c r="G312" s="17">
        <v>11324.6</v>
      </c>
      <c r="H312" s="17">
        <v>11810.3</v>
      </c>
    </row>
    <row r="313" spans="1:8" x14ac:dyDescent="0.2">
      <c r="A313" s="17">
        <v>1021.3</v>
      </c>
      <c r="C313" s="17">
        <v>11754.5</v>
      </c>
      <c r="E313" s="17">
        <v>11785.5</v>
      </c>
      <c r="F313" s="17">
        <v>11328.7</v>
      </c>
      <c r="G313" s="17">
        <v>11328</v>
      </c>
      <c r="H313" s="17">
        <v>11786.2</v>
      </c>
    </row>
    <row r="314" spans="1:8" x14ac:dyDescent="0.2">
      <c r="A314" s="17">
        <v>1021.2</v>
      </c>
      <c r="C314" s="17">
        <v>11719</v>
      </c>
      <c r="E314" s="17">
        <v>11761.9</v>
      </c>
      <c r="F314" s="17">
        <v>11332</v>
      </c>
      <c r="G314" s="17">
        <v>11331.4</v>
      </c>
      <c r="H314" s="17">
        <v>11762.6</v>
      </c>
    </row>
    <row r="315" spans="1:8" x14ac:dyDescent="0.2">
      <c r="A315" s="17">
        <v>1021.1</v>
      </c>
      <c r="C315" s="17">
        <v>11678.1</v>
      </c>
      <c r="E315" s="17">
        <v>11739.1</v>
      </c>
      <c r="F315" s="17">
        <v>11335.4</v>
      </c>
      <c r="G315" s="17">
        <v>11334.7</v>
      </c>
      <c r="H315" s="17">
        <v>11739.7</v>
      </c>
    </row>
    <row r="316" spans="1:8" x14ac:dyDescent="0.2">
      <c r="A316" s="17">
        <v>1021</v>
      </c>
      <c r="C316" s="17">
        <v>11734.6</v>
      </c>
      <c r="E316" s="17">
        <v>11717</v>
      </c>
      <c r="F316" s="17">
        <v>11338.7</v>
      </c>
      <c r="G316" s="17">
        <v>11338.1</v>
      </c>
      <c r="H316" s="17">
        <v>11717.6</v>
      </c>
    </row>
    <row r="317" spans="1:8" x14ac:dyDescent="0.2">
      <c r="A317" s="17">
        <v>1020.9</v>
      </c>
      <c r="C317" s="17">
        <v>11702.9</v>
      </c>
      <c r="E317" s="17">
        <v>11695.7</v>
      </c>
      <c r="F317" s="17">
        <v>11342.1</v>
      </c>
      <c r="G317" s="17">
        <v>11341.4</v>
      </c>
      <c r="H317" s="17">
        <v>11696.4</v>
      </c>
    </row>
    <row r="318" spans="1:8" x14ac:dyDescent="0.2">
      <c r="A318" s="17">
        <v>1020.8</v>
      </c>
      <c r="C318" s="17">
        <v>11568.5</v>
      </c>
      <c r="E318" s="17">
        <v>11675.4</v>
      </c>
      <c r="F318" s="17">
        <v>11345.4</v>
      </c>
      <c r="G318" s="17">
        <v>11344.8</v>
      </c>
      <c r="H318" s="17">
        <v>11676.1</v>
      </c>
    </row>
    <row r="319" spans="1:8" x14ac:dyDescent="0.2">
      <c r="A319" s="17">
        <v>1020.7</v>
      </c>
      <c r="C319" s="17">
        <v>11611</v>
      </c>
      <c r="E319" s="17">
        <v>11656.1</v>
      </c>
      <c r="F319" s="17">
        <v>11348.8</v>
      </c>
      <c r="G319" s="17">
        <v>11348.1</v>
      </c>
      <c r="H319" s="17">
        <v>11656.8</v>
      </c>
    </row>
    <row r="320" spans="1:8" x14ac:dyDescent="0.2">
      <c r="A320" s="17">
        <v>1020.6</v>
      </c>
      <c r="C320" s="17">
        <v>11660.3</v>
      </c>
      <c r="E320" s="17">
        <v>11637.9</v>
      </c>
      <c r="F320" s="17">
        <v>11352.1</v>
      </c>
      <c r="G320" s="17">
        <v>11351.5</v>
      </c>
      <c r="H320" s="17">
        <v>11638.5</v>
      </c>
    </row>
    <row r="321" spans="1:8" x14ac:dyDescent="0.2">
      <c r="A321" s="17">
        <v>1020.5</v>
      </c>
      <c r="C321" s="17">
        <v>11584.5</v>
      </c>
      <c r="E321" s="17">
        <v>11620.7</v>
      </c>
      <c r="F321" s="17">
        <v>11355.5</v>
      </c>
      <c r="G321" s="17">
        <v>11354.8</v>
      </c>
      <c r="H321" s="17">
        <v>11621.3</v>
      </c>
    </row>
    <row r="322" spans="1:8" x14ac:dyDescent="0.2">
      <c r="A322" s="17">
        <v>1020.4</v>
      </c>
      <c r="C322" s="17">
        <v>11633.7</v>
      </c>
      <c r="E322" s="17">
        <v>11604.6</v>
      </c>
      <c r="F322" s="17">
        <v>11358.8</v>
      </c>
      <c r="G322" s="17">
        <v>11358.2</v>
      </c>
      <c r="H322" s="17">
        <v>11605.2</v>
      </c>
    </row>
    <row r="323" spans="1:8" x14ac:dyDescent="0.2">
      <c r="A323" s="17">
        <v>1020.3</v>
      </c>
      <c r="C323" s="17">
        <v>11619.3</v>
      </c>
      <c r="E323" s="17">
        <v>11589.6</v>
      </c>
      <c r="F323" s="17">
        <v>11362.2</v>
      </c>
      <c r="G323" s="17">
        <v>11361.5</v>
      </c>
      <c r="H323" s="17">
        <v>11590.2</v>
      </c>
    </row>
    <row r="324" spans="1:8" x14ac:dyDescent="0.2">
      <c r="A324" s="17">
        <v>1020.2</v>
      </c>
      <c r="C324" s="17">
        <v>11645.7</v>
      </c>
      <c r="E324" s="17">
        <v>11575.7</v>
      </c>
      <c r="F324" s="17">
        <v>11365.5</v>
      </c>
      <c r="G324" s="17">
        <v>11364.9</v>
      </c>
      <c r="H324" s="17">
        <v>11576.3</v>
      </c>
    </row>
    <row r="325" spans="1:8" x14ac:dyDescent="0.2">
      <c r="A325" s="17">
        <v>1020.1</v>
      </c>
      <c r="C325" s="17">
        <v>11594.1</v>
      </c>
      <c r="E325" s="17">
        <v>11562.9</v>
      </c>
      <c r="F325" s="17">
        <v>11368.8</v>
      </c>
      <c r="G325" s="17">
        <v>11368.2</v>
      </c>
      <c r="H325" s="17">
        <v>11563.5</v>
      </c>
    </row>
    <row r="326" spans="1:8" x14ac:dyDescent="0.2">
      <c r="A326" s="17">
        <v>1020</v>
      </c>
      <c r="C326" s="17">
        <v>11574.6</v>
      </c>
      <c r="E326" s="17">
        <v>11551.1</v>
      </c>
      <c r="F326" s="17">
        <v>11372.2</v>
      </c>
      <c r="G326" s="17">
        <v>11371.6</v>
      </c>
      <c r="H326" s="17">
        <v>11551.7</v>
      </c>
    </row>
    <row r="327" spans="1:8" x14ac:dyDescent="0.2">
      <c r="A327" s="17">
        <v>1019.9</v>
      </c>
      <c r="C327" s="17">
        <v>11541.9</v>
      </c>
      <c r="E327" s="17">
        <v>11540.4</v>
      </c>
      <c r="F327" s="17">
        <v>11375.5</v>
      </c>
      <c r="G327" s="17">
        <v>11375</v>
      </c>
      <c r="H327" s="17">
        <v>11541</v>
      </c>
    </row>
    <row r="328" spans="1:8" x14ac:dyDescent="0.2">
      <c r="A328" s="17">
        <v>1019.8</v>
      </c>
      <c r="C328" s="17">
        <v>11531.3</v>
      </c>
      <c r="E328" s="17">
        <v>11530.8</v>
      </c>
      <c r="F328" s="17">
        <v>11378.9</v>
      </c>
      <c r="G328" s="17">
        <v>11378.3</v>
      </c>
      <c r="H328" s="17">
        <v>11531.3</v>
      </c>
    </row>
    <row r="329" spans="1:8" x14ac:dyDescent="0.2">
      <c r="A329" s="17">
        <v>1019.7</v>
      </c>
      <c r="C329" s="17">
        <v>11631.5</v>
      </c>
      <c r="E329" s="17">
        <v>11522.1</v>
      </c>
      <c r="F329" s="17">
        <v>11382.2</v>
      </c>
      <c r="G329" s="17">
        <v>11381.7</v>
      </c>
      <c r="H329" s="17">
        <v>11522.6</v>
      </c>
    </row>
    <row r="330" spans="1:8" x14ac:dyDescent="0.2">
      <c r="A330" s="17">
        <v>1019.6</v>
      </c>
      <c r="C330" s="17">
        <v>11540</v>
      </c>
      <c r="E330" s="17">
        <v>11514.3</v>
      </c>
      <c r="F330" s="17">
        <v>11385.6</v>
      </c>
      <c r="G330" s="17">
        <v>11385</v>
      </c>
      <c r="H330" s="17">
        <v>11514.9</v>
      </c>
    </row>
    <row r="331" spans="1:8" x14ac:dyDescent="0.2">
      <c r="A331" s="17">
        <v>1019.5</v>
      </c>
      <c r="C331" s="17">
        <v>11539.1</v>
      </c>
      <c r="E331" s="17">
        <v>11507.4</v>
      </c>
      <c r="F331" s="17">
        <v>11388.9</v>
      </c>
      <c r="G331" s="17">
        <v>11388.4</v>
      </c>
      <c r="H331" s="17">
        <v>11508</v>
      </c>
    </row>
    <row r="332" spans="1:8" x14ac:dyDescent="0.2">
      <c r="A332" s="17">
        <v>1019.4</v>
      </c>
      <c r="C332" s="17">
        <v>11593.3</v>
      </c>
      <c r="E332" s="17">
        <v>11501.4</v>
      </c>
      <c r="F332" s="17">
        <v>11392.3</v>
      </c>
      <c r="G332" s="17">
        <v>11391.7</v>
      </c>
      <c r="H332" s="17">
        <v>11502</v>
      </c>
    </row>
    <row r="333" spans="1:8" x14ac:dyDescent="0.2">
      <c r="A333" s="17">
        <v>1019.3</v>
      </c>
      <c r="C333" s="17">
        <v>11550.4</v>
      </c>
      <c r="E333" s="17">
        <v>11496.2</v>
      </c>
      <c r="F333" s="17">
        <v>11395.6</v>
      </c>
      <c r="G333" s="17">
        <v>11395.1</v>
      </c>
      <c r="H333" s="17">
        <v>11496.7</v>
      </c>
    </row>
    <row r="334" spans="1:8" x14ac:dyDescent="0.2">
      <c r="A334" s="17">
        <v>1019.2</v>
      </c>
      <c r="C334" s="17">
        <v>11601.5</v>
      </c>
      <c r="E334" s="17">
        <v>11491.7</v>
      </c>
      <c r="F334" s="17">
        <v>11399</v>
      </c>
      <c r="G334" s="17">
        <v>11398.4</v>
      </c>
      <c r="H334" s="17">
        <v>11492.2</v>
      </c>
    </row>
    <row r="335" spans="1:8" x14ac:dyDescent="0.2">
      <c r="A335" s="17">
        <v>1019.1</v>
      </c>
      <c r="C335" s="17">
        <v>11536.1</v>
      </c>
      <c r="E335" s="17">
        <v>11487.9</v>
      </c>
      <c r="F335" s="17">
        <v>11402.3</v>
      </c>
      <c r="G335" s="17">
        <v>11401.8</v>
      </c>
      <c r="H335" s="17">
        <v>11488.5</v>
      </c>
    </row>
    <row r="336" spans="1:8" x14ac:dyDescent="0.2">
      <c r="A336" s="17">
        <v>1019</v>
      </c>
      <c r="C336" s="17">
        <v>11571.5</v>
      </c>
      <c r="E336" s="17">
        <v>11484.8</v>
      </c>
      <c r="F336" s="17">
        <v>11405.7</v>
      </c>
      <c r="G336" s="17">
        <v>11405.1</v>
      </c>
      <c r="H336" s="17">
        <v>11485.3</v>
      </c>
    </row>
    <row r="337" spans="1:8" x14ac:dyDescent="0.2">
      <c r="A337" s="17">
        <v>1018.9</v>
      </c>
      <c r="C337" s="17">
        <v>11531.9</v>
      </c>
      <c r="E337" s="17">
        <v>11482.2</v>
      </c>
      <c r="F337" s="17">
        <v>11409</v>
      </c>
      <c r="G337" s="17">
        <v>11408.5</v>
      </c>
      <c r="H337" s="17">
        <v>11482.8</v>
      </c>
    </row>
    <row r="338" spans="1:8" x14ac:dyDescent="0.2">
      <c r="A338" s="17">
        <v>1018.8</v>
      </c>
      <c r="C338" s="17">
        <v>11612.9</v>
      </c>
      <c r="E338" s="17">
        <v>11480.3</v>
      </c>
      <c r="F338" s="17">
        <v>11412.4</v>
      </c>
      <c r="G338" s="17">
        <v>11411.9</v>
      </c>
      <c r="H338" s="17">
        <v>11480.8</v>
      </c>
    </row>
    <row r="339" spans="1:8" x14ac:dyDescent="0.2">
      <c r="A339" s="17">
        <v>1018.7</v>
      </c>
      <c r="C339" s="17">
        <v>11627.1</v>
      </c>
      <c r="E339" s="17">
        <v>11478.8</v>
      </c>
      <c r="F339" s="17">
        <v>11415.7</v>
      </c>
      <c r="G339" s="17">
        <v>11415.2</v>
      </c>
      <c r="H339" s="17">
        <v>11479.3</v>
      </c>
    </row>
    <row r="340" spans="1:8" x14ac:dyDescent="0.2">
      <c r="A340" s="17">
        <v>1018.6</v>
      </c>
      <c r="C340" s="17">
        <v>11653</v>
      </c>
      <c r="E340" s="17">
        <v>11477.8</v>
      </c>
      <c r="F340" s="17">
        <v>11419.1</v>
      </c>
      <c r="G340" s="17">
        <v>11418.6</v>
      </c>
      <c r="H340" s="17">
        <v>11478.3</v>
      </c>
    </row>
    <row r="341" spans="1:8" x14ac:dyDescent="0.2">
      <c r="A341" s="17">
        <v>1018.5</v>
      </c>
      <c r="C341" s="17">
        <v>11687.7</v>
      </c>
      <c r="E341" s="17">
        <v>11477.2</v>
      </c>
      <c r="F341" s="17">
        <v>11422.4</v>
      </c>
      <c r="G341" s="17">
        <v>11421.9</v>
      </c>
      <c r="H341" s="17">
        <v>11477.7</v>
      </c>
    </row>
    <row r="342" spans="1:8" x14ac:dyDescent="0.2">
      <c r="A342" s="17">
        <v>1018.4</v>
      </c>
      <c r="C342" s="17">
        <v>11588.9</v>
      </c>
      <c r="E342" s="17">
        <v>11477</v>
      </c>
      <c r="F342" s="17">
        <v>11425.8</v>
      </c>
      <c r="G342" s="17">
        <v>11425.3</v>
      </c>
      <c r="H342" s="17">
        <v>11477.5</v>
      </c>
    </row>
    <row r="343" spans="1:8" x14ac:dyDescent="0.2">
      <c r="A343" s="17">
        <v>1018.3</v>
      </c>
      <c r="C343" s="17">
        <v>11574.8</v>
      </c>
      <c r="E343" s="17">
        <v>11477.1</v>
      </c>
      <c r="F343" s="17">
        <v>11429.1</v>
      </c>
      <c r="G343" s="17">
        <v>11428.6</v>
      </c>
      <c r="H343" s="17">
        <v>11477.7</v>
      </c>
    </row>
    <row r="344" spans="1:8" x14ac:dyDescent="0.2">
      <c r="A344" s="17">
        <v>1018.2</v>
      </c>
      <c r="C344" s="17">
        <v>11677.1</v>
      </c>
      <c r="E344" s="17">
        <v>11477.6</v>
      </c>
      <c r="F344" s="17">
        <v>11432.5</v>
      </c>
      <c r="G344" s="17">
        <v>11432</v>
      </c>
      <c r="H344" s="17">
        <v>11478.1</v>
      </c>
    </row>
    <row r="345" spans="1:8" x14ac:dyDescent="0.2">
      <c r="A345" s="17">
        <v>1018.1</v>
      </c>
      <c r="C345" s="17">
        <v>11729.3</v>
      </c>
      <c r="E345" s="17">
        <v>11478.3</v>
      </c>
      <c r="F345" s="17">
        <v>11435.9</v>
      </c>
      <c r="G345" s="17">
        <v>11435.3</v>
      </c>
      <c r="H345" s="17">
        <v>11478.8</v>
      </c>
    </row>
    <row r="346" spans="1:8" x14ac:dyDescent="0.2">
      <c r="A346" s="17">
        <v>1018</v>
      </c>
      <c r="C346" s="17">
        <v>11658.8</v>
      </c>
      <c r="E346" s="17">
        <v>11479.3</v>
      </c>
      <c r="F346" s="17">
        <v>11439.2</v>
      </c>
      <c r="G346" s="17">
        <v>11438.7</v>
      </c>
      <c r="H346" s="17">
        <v>11479.8</v>
      </c>
    </row>
    <row r="347" spans="1:8" x14ac:dyDescent="0.2">
      <c r="A347" s="17">
        <v>1017.9</v>
      </c>
      <c r="C347" s="17">
        <v>11623.3</v>
      </c>
      <c r="E347" s="17">
        <v>11480.5</v>
      </c>
      <c r="F347" s="17">
        <v>11442.6</v>
      </c>
      <c r="G347" s="17">
        <v>11442</v>
      </c>
      <c r="H347" s="17">
        <v>11481</v>
      </c>
    </row>
    <row r="348" spans="1:8" x14ac:dyDescent="0.2">
      <c r="A348" s="17">
        <v>1017.8</v>
      </c>
      <c r="C348" s="17">
        <v>11647.8</v>
      </c>
      <c r="E348" s="17">
        <v>11481.9</v>
      </c>
      <c r="F348" s="17">
        <v>11445.9</v>
      </c>
      <c r="G348" s="17">
        <v>11445.4</v>
      </c>
      <c r="H348" s="17">
        <v>11482.4</v>
      </c>
    </row>
    <row r="349" spans="1:8" x14ac:dyDescent="0.2">
      <c r="A349" s="17">
        <v>1017.7</v>
      </c>
      <c r="C349" s="17">
        <v>11628.3</v>
      </c>
      <c r="E349" s="17">
        <v>11483.5</v>
      </c>
      <c r="F349" s="17">
        <v>11449.3</v>
      </c>
      <c r="G349" s="17">
        <v>11448.7</v>
      </c>
      <c r="H349" s="17">
        <v>11484</v>
      </c>
    </row>
    <row r="350" spans="1:8" x14ac:dyDescent="0.2">
      <c r="A350" s="17">
        <v>1017.6</v>
      </c>
      <c r="C350" s="17">
        <v>11595.2</v>
      </c>
      <c r="E350" s="17">
        <v>11485.3</v>
      </c>
      <c r="F350" s="17">
        <v>11452.6</v>
      </c>
      <c r="G350" s="17">
        <v>11452.1</v>
      </c>
      <c r="H350" s="17">
        <v>11485.8</v>
      </c>
    </row>
    <row r="351" spans="1:8" x14ac:dyDescent="0.2">
      <c r="A351" s="17">
        <v>1017.5</v>
      </c>
      <c r="C351" s="17">
        <v>11687.2</v>
      </c>
      <c r="E351" s="17">
        <v>11487.2</v>
      </c>
      <c r="F351" s="17">
        <v>11456</v>
      </c>
      <c r="G351" s="17">
        <v>11455.5</v>
      </c>
      <c r="H351" s="17">
        <v>11487.7</v>
      </c>
    </row>
    <row r="352" spans="1:8" x14ac:dyDescent="0.2">
      <c r="A352" s="17">
        <v>1017.4</v>
      </c>
      <c r="C352" s="17">
        <v>11627.3</v>
      </c>
      <c r="E352" s="17">
        <v>11489.2</v>
      </c>
      <c r="F352" s="17">
        <v>11459.3</v>
      </c>
      <c r="G352" s="17">
        <v>11458.8</v>
      </c>
      <c r="H352" s="17">
        <v>11489.7</v>
      </c>
    </row>
    <row r="353" spans="1:8" x14ac:dyDescent="0.2">
      <c r="A353" s="17">
        <v>1017.3</v>
      </c>
      <c r="C353" s="17">
        <v>11581.3</v>
      </c>
      <c r="E353" s="17">
        <v>11491.3</v>
      </c>
      <c r="F353" s="17">
        <v>11462.7</v>
      </c>
      <c r="G353" s="17">
        <v>11462.2</v>
      </c>
      <c r="H353" s="17">
        <v>11491.8</v>
      </c>
    </row>
    <row r="354" spans="1:8" x14ac:dyDescent="0.2">
      <c r="A354" s="17">
        <v>1017.2</v>
      </c>
      <c r="C354" s="17">
        <v>11577</v>
      </c>
      <c r="E354" s="17">
        <v>11493.6</v>
      </c>
      <c r="F354" s="17">
        <v>11466</v>
      </c>
      <c r="G354" s="17">
        <v>11465.5</v>
      </c>
      <c r="H354" s="17">
        <v>11494</v>
      </c>
    </row>
    <row r="355" spans="1:8" x14ac:dyDescent="0.2">
      <c r="A355" s="17">
        <v>1017.1</v>
      </c>
      <c r="C355" s="17">
        <v>11573.9</v>
      </c>
      <c r="E355" s="17">
        <v>11495.9</v>
      </c>
      <c r="F355" s="17">
        <v>11469.4</v>
      </c>
      <c r="G355" s="17">
        <v>11468.9</v>
      </c>
      <c r="H355" s="17">
        <v>11496.4</v>
      </c>
    </row>
    <row r="356" spans="1:8" x14ac:dyDescent="0.2">
      <c r="A356" s="17">
        <v>1017</v>
      </c>
      <c r="C356" s="17">
        <v>11551.1</v>
      </c>
      <c r="E356" s="17">
        <v>11498.3</v>
      </c>
      <c r="F356" s="17">
        <v>11472.7</v>
      </c>
      <c r="G356" s="17">
        <v>11472.2</v>
      </c>
      <c r="H356" s="17">
        <v>11498.8</v>
      </c>
    </row>
    <row r="357" spans="1:8" x14ac:dyDescent="0.2">
      <c r="A357" s="17">
        <v>1016.9</v>
      </c>
      <c r="C357" s="17">
        <v>11599.9</v>
      </c>
      <c r="E357" s="17">
        <v>11500.7</v>
      </c>
      <c r="F357" s="17">
        <v>11476.1</v>
      </c>
      <c r="G357" s="17">
        <v>11475.6</v>
      </c>
      <c r="H357" s="17">
        <v>11501.2</v>
      </c>
    </row>
    <row r="358" spans="1:8" x14ac:dyDescent="0.2">
      <c r="A358" s="17">
        <v>1016.8</v>
      </c>
      <c r="C358" s="17">
        <v>11600.5</v>
      </c>
      <c r="E358" s="17">
        <v>11503.3</v>
      </c>
      <c r="F358" s="17">
        <v>11479.4</v>
      </c>
      <c r="G358" s="17">
        <v>11478.9</v>
      </c>
      <c r="H358" s="17">
        <v>11503.7</v>
      </c>
    </row>
    <row r="359" spans="1:8" x14ac:dyDescent="0.2">
      <c r="A359" s="17">
        <v>1016.7</v>
      </c>
      <c r="C359" s="17">
        <v>11638.7</v>
      </c>
      <c r="E359" s="17">
        <v>11505.8</v>
      </c>
      <c r="F359" s="17">
        <v>11482.8</v>
      </c>
      <c r="G359" s="17">
        <v>11482.3</v>
      </c>
      <c r="H359" s="17">
        <v>11506.3</v>
      </c>
    </row>
    <row r="360" spans="1:8" x14ac:dyDescent="0.2">
      <c r="A360" s="17">
        <v>1016.6</v>
      </c>
      <c r="C360" s="17">
        <v>11573.2</v>
      </c>
      <c r="E360" s="17">
        <v>11508.5</v>
      </c>
      <c r="F360" s="17">
        <v>11486.1</v>
      </c>
      <c r="G360" s="17">
        <v>11485.6</v>
      </c>
      <c r="H360" s="17">
        <v>11508.9</v>
      </c>
    </row>
    <row r="361" spans="1:8" x14ac:dyDescent="0.2">
      <c r="A361" s="17">
        <v>1016.5</v>
      </c>
      <c r="C361" s="17">
        <v>11603.3</v>
      </c>
      <c r="E361" s="17">
        <v>11511.1</v>
      </c>
      <c r="F361" s="17">
        <v>11489.5</v>
      </c>
      <c r="G361" s="17">
        <v>11489</v>
      </c>
      <c r="H361" s="17">
        <v>11511.6</v>
      </c>
    </row>
    <row r="362" spans="1:8" x14ac:dyDescent="0.2">
      <c r="A362" s="17">
        <v>1016.4</v>
      </c>
      <c r="C362" s="17">
        <v>11661.7</v>
      </c>
      <c r="E362" s="17">
        <v>11513.8</v>
      </c>
      <c r="F362" s="17">
        <v>11492.8</v>
      </c>
      <c r="G362" s="17">
        <v>11492.4</v>
      </c>
      <c r="H362" s="17">
        <v>11514.3</v>
      </c>
    </row>
    <row r="363" spans="1:8" x14ac:dyDescent="0.2">
      <c r="A363" s="17">
        <v>1016.3</v>
      </c>
      <c r="C363" s="17">
        <v>11606.6</v>
      </c>
      <c r="E363" s="17">
        <v>11516.6</v>
      </c>
      <c r="F363" s="17">
        <v>11496.2</v>
      </c>
      <c r="G363" s="17">
        <v>11495.7</v>
      </c>
      <c r="H363" s="17">
        <v>11517</v>
      </c>
    </row>
    <row r="364" spans="1:8" x14ac:dyDescent="0.2">
      <c r="A364" s="17">
        <v>1016.2</v>
      </c>
      <c r="C364" s="17">
        <v>11524.6</v>
      </c>
      <c r="E364" s="17">
        <v>11519.3</v>
      </c>
      <c r="F364" s="17">
        <v>11499.5</v>
      </c>
      <c r="G364" s="17">
        <v>11499.1</v>
      </c>
      <c r="H364" s="17">
        <v>11519.8</v>
      </c>
    </row>
    <row r="365" spans="1:8" x14ac:dyDescent="0.2">
      <c r="A365" s="17">
        <v>1016.1</v>
      </c>
      <c r="C365" s="17">
        <v>11636.1</v>
      </c>
      <c r="E365" s="17">
        <v>11522.1</v>
      </c>
      <c r="F365" s="17">
        <v>11502.9</v>
      </c>
      <c r="G365" s="17">
        <v>11502.4</v>
      </c>
      <c r="H365" s="17">
        <v>11522.6</v>
      </c>
    </row>
    <row r="366" spans="1:8" x14ac:dyDescent="0.2">
      <c r="A366" s="17">
        <v>1016</v>
      </c>
      <c r="C366" s="17">
        <v>11527.3</v>
      </c>
      <c r="E366" s="17">
        <v>11525</v>
      </c>
      <c r="F366" s="17">
        <v>11506.2</v>
      </c>
      <c r="G366" s="17">
        <v>11505.8</v>
      </c>
      <c r="H366" s="17">
        <v>11525.4</v>
      </c>
    </row>
    <row r="367" spans="1:8" x14ac:dyDescent="0.2">
      <c r="A367" s="17">
        <v>1015.9</v>
      </c>
      <c r="C367" s="17">
        <v>11525.2</v>
      </c>
      <c r="E367" s="17">
        <v>11527.8</v>
      </c>
      <c r="F367" s="17">
        <v>11509.6</v>
      </c>
      <c r="G367" s="17">
        <v>11509.1</v>
      </c>
      <c r="H367" s="17">
        <v>11528.3</v>
      </c>
    </row>
    <row r="368" spans="1:8" x14ac:dyDescent="0.2">
      <c r="A368" s="17">
        <v>1015.8</v>
      </c>
      <c r="C368" s="17">
        <v>11584.1</v>
      </c>
      <c r="E368" s="17">
        <v>11530.7</v>
      </c>
      <c r="F368" s="17">
        <v>11512.9</v>
      </c>
      <c r="G368" s="17">
        <v>11512.5</v>
      </c>
      <c r="H368" s="17">
        <v>11531.1</v>
      </c>
    </row>
    <row r="369" spans="1:8" x14ac:dyDescent="0.2">
      <c r="A369" s="17">
        <v>1015.7</v>
      </c>
      <c r="C369" s="17">
        <v>11496.2</v>
      </c>
      <c r="E369" s="17">
        <v>11533.6</v>
      </c>
      <c r="F369" s="17">
        <v>11516.3</v>
      </c>
      <c r="G369" s="17">
        <v>11515.8</v>
      </c>
      <c r="H369" s="17">
        <v>11534</v>
      </c>
    </row>
    <row r="370" spans="1:8" x14ac:dyDescent="0.2">
      <c r="A370" s="17">
        <v>1015.6</v>
      </c>
      <c r="C370" s="17">
        <v>11484.5</v>
      </c>
      <c r="E370" s="17">
        <v>11536.5</v>
      </c>
      <c r="F370" s="17">
        <v>11519.6</v>
      </c>
      <c r="G370" s="17">
        <v>11519.2</v>
      </c>
      <c r="H370" s="17">
        <v>11536.9</v>
      </c>
    </row>
    <row r="371" spans="1:8" x14ac:dyDescent="0.2">
      <c r="A371" s="17">
        <v>1015.5</v>
      </c>
      <c r="C371" s="17">
        <v>11534.7</v>
      </c>
      <c r="E371" s="17">
        <v>11539.4</v>
      </c>
      <c r="F371" s="17">
        <v>11523</v>
      </c>
      <c r="G371" s="17">
        <v>11522.5</v>
      </c>
      <c r="H371" s="17">
        <v>11539.9</v>
      </c>
    </row>
    <row r="372" spans="1:8" x14ac:dyDescent="0.2">
      <c r="A372" s="17">
        <v>1015.4</v>
      </c>
      <c r="C372" s="17">
        <v>11560.2</v>
      </c>
      <c r="E372" s="17">
        <v>11549.8</v>
      </c>
      <c r="F372" s="17">
        <v>11533.7</v>
      </c>
      <c r="G372" s="17">
        <v>11533.3</v>
      </c>
      <c r="H372" s="17">
        <v>11550.2</v>
      </c>
    </row>
    <row r="373" spans="1:8" x14ac:dyDescent="0.2">
      <c r="A373" s="17">
        <v>1015.3</v>
      </c>
      <c r="C373" s="17">
        <v>11537</v>
      </c>
      <c r="E373" s="17">
        <v>11560.2</v>
      </c>
      <c r="F373" s="17">
        <v>11544.5</v>
      </c>
      <c r="G373" s="17">
        <v>11544.1</v>
      </c>
      <c r="H373" s="17">
        <v>11560.6</v>
      </c>
    </row>
    <row r="374" spans="1:8" x14ac:dyDescent="0.2">
      <c r="A374" s="17">
        <v>1015.2</v>
      </c>
      <c r="C374" s="17">
        <v>11567.2</v>
      </c>
      <c r="E374" s="17">
        <v>11570.5</v>
      </c>
      <c r="F374" s="17">
        <v>11555.2</v>
      </c>
      <c r="G374" s="17">
        <v>11554.8</v>
      </c>
      <c r="H374" s="17">
        <v>11571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51C7-53E8-3744-BB86-83A372BFBB6F}">
  <dimension ref="A2:H343"/>
  <sheetViews>
    <sheetView zoomScale="115" zoomScaleNormal="115" workbookViewId="0">
      <selection activeCell="I1" sqref="I1:I1048576"/>
    </sheetView>
  </sheetViews>
  <sheetFormatPr baseColWidth="10" defaultRowHeight="15" x14ac:dyDescent="0.2"/>
  <cols>
    <col min="1" max="1" width="17.1640625" style="17" customWidth="1"/>
    <col min="2" max="2" width="6.33203125" style="17" bestFit="1" customWidth="1"/>
    <col min="3" max="3" width="23" style="17" bestFit="1" customWidth="1"/>
    <col min="4" max="4" width="4" style="17" bestFit="1" customWidth="1"/>
    <col min="5" max="8" width="23" style="17" bestFit="1" customWidth="1"/>
    <col min="9" max="255" width="8.83203125" style="17" customWidth="1"/>
    <col min="256" max="16384" width="10.83203125" style="17"/>
  </cols>
  <sheetData>
    <row r="2" spans="1:8" x14ac:dyDescent="0.2">
      <c r="A2" s="17" t="s">
        <v>219</v>
      </c>
      <c r="E2" s="17" t="s">
        <v>226</v>
      </c>
      <c r="F2" s="17" t="s">
        <v>227</v>
      </c>
      <c r="G2" s="17" t="s">
        <v>222</v>
      </c>
      <c r="H2" s="17" t="s">
        <v>223</v>
      </c>
    </row>
    <row r="3" spans="1:8" x14ac:dyDescent="0.2">
      <c r="A3" s="17" t="s">
        <v>224</v>
      </c>
      <c r="C3" s="17" t="s">
        <v>228</v>
      </c>
      <c r="E3" s="17" t="s">
        <v>228</v>
      </c>
      <c r="F3" s="17" t="s">
        <v>228</v>
      </c>
      <c r="G3" s="17" t="s">
        <v>228</v>
      </c>
      <c r="H3" s="17" t="s">
        <v>228</v>
      </c>
    </row>
    <row r="4" spans="1:8" x14ac:dyDescent="0.2">
      <c r="A4" s="17">
        <v>602</v>
      </c>
      <c r="C4" s="17">
        <v>20625.5</v>
      </c>
      <c r="E4" s="17">
        <v>20472.5</v>
      </c>
      <c r="F4" s="17">
        <v>20486.400000000001</v>
      </c>
      <c r="G4" s="17">
        <v>20464.2</v>
      </c>
      <c r="H4" s="17">
        <v>20494.7</v>
      </c>
    </row>
    <row r="5" spans="1:8" x14ac:dyDescent="0.2">
      <c r="A5" s="17">
        <v>601.9</v>
      </c>
      <c r="C5" s="17">
        <v>20438.599999999999</v>
      </c>
      <c r="E5" s="17">
        <v>20441.3</v>
      </c>
      <c r="F5" s="17">
        <v>20455.8</v>
      </c>
      <c r="G5" s="17">
        <v>20433.099999999999</v>
      </c>
      <c r="H5" s="17">
        <v>20464</v>
      </c>
    </row>
    <row r="6" spans="1:8" x14ac:dyDescent="0.2">
      <c r="A6" s="17">
        <v>601.79999999999995</v>
      </c>
      <c r="C6" s="17">
        <v>20410.2</v>
      </c>
      <c r="E6" s="17">
        <v>20433.5</v>
      </c>
      <c r="F6" s="17">
        <v>20448.400000000001</v>
      </c>
      <c r="G6" s="17">
        <v>20425.099999999999</v>
      </c>
      <c r="H6" s="17">
        <v>20456.7</v>
      </c>
    </row>
    <row r="7" spans="1:8" x14ac:dyDescent="0.2">
      <c r="A7" s="17">
        <v>601.70000000000005</v>
      </c>
      <c r="C7" s="17">
        <v>20308.3</v>
      </c>
      <c r="E7" s="17">
        <v>20433.5</v>
      </c>
      <c r="F7" s="17">
        <v>20448.900000000001</v>
      </c>
      <c r="G7" s="17">
        <v>20425.099999999999</v>
      </c>
      <c r="H7" s="17">
        <v>20457.3</v>
      </c>
    </row>
    <row r="8" spans="1:8" x14ac:dyDescent="0.2">
      <c r="A8" s="17">
        <v>601.6</v>
      </c>
      <c r="C8" s="17">
        <v>20343.099999999999</v>
      </c>
      <c r="E8" s="17">
        <v>20433.3</v>
      </c>
      <c r="F8" s="17">
        <v>20449.099999999999</v>
      </c>
      <c r="G8" s="17">
        <v>20424.8</v>
      </c>
      <c r="H8" s="17">
        <v>20457.599999999999</v>
      </c>
    </row>
    <row r="9" spans="1:8" x14ac:dyDescent="0.2">
      <c r="A9" s="17">
        <v>601.5</v>
      </c>
      <c r="C9" s="17">
        <v>20677</v>
      </c>
      <c r="E9" s="17">
        <v>20432.8</v>
      </c>
      <c r="F9" s="17">
        <v>20449.099999999999</v>
      </c>
      <c r="G9" s="17">
        <v>20424.2</v>
      </c>
      <c r="H9" s="17">
        <v>20457.599999999999</v>
      </c>
    </row>
    <row r="10" spans="1:8" x14ac:dyDescent="0.2">
      <c r="A10" s="17">
        <v>601.4</v>
      </c>
      <c r="C10" s="17">
        <v>20491.2</v>
      </c>
      <c r="E10" s="17">
        <v>20430.599999999999</v>
      </c>
      <c r="F10" s="17">
        <v>20447.5</v>
      </c>
      <c r="G10" s="17">
        <v>20422</v>
      </c>
      <c r="H10" s="17">
        <v>20456.099999999999</v>
      </c>
    </row>
    <row r="11" spans="1:8" x14ac:dyDescent="0.2">
      <c r="A11" s="17">
        <v>601.29999999999995</v>
      </c>
      <c r="C11" s="17">
        <v>20691.400000000001</v>
      </c>
      <c r="E11" s="17">
        <v>20427.599999999999</v>
      </c>
      <c r="F11" s="17">
        <v>20445</v>
      </c>
      <c r="G11" s="17">
        <v>20418.8</v>
      </c>
      <c r="H11" s="17">
        <v>20453.7</v>
      </c>
    </row>
    <row r="12" spans="1:8" x14ac:dyDescent="0.2">
      <c r="A12" s="17">
        <v>601.20000000000005</v>
      </c>
      <c r="C12" s="17">
        <v>20460.900000000001</v>
      </c>
      <c r="E12" s="17">
        <v>20423.400000000001</v>
      </c>
      <c r="F12" s="17">
        <v>20441.400000000001</v>
      </c>
      <c r="G12" s="17">
        <v>20414.599999999999</v>
      </c>
      <c r="H12" s="17">
        <v>20450.2</v>
      </c>
    </row>
    <row r="13" spans="1:8" x14ac:dyDescent="0.2">
      <c r="A13" s="17">
        <v>601.1</v>
      </c>
      <c r="C13" s="17">
        <v>20534.7</v>
      </c>
      <c r="E13" s="17">
        <v>20420.7</v>
      </c>
      <c r="F13" s="17">
        <v>20439.3</v>
      </c>
      <c r="G13" s="17">
        <v>20411.8</v>
      </c>
      <c r="H13" s="17">
        <v>20448.2</v>
      </c>
    </row>
    <row r="14" spans="1:8" x14ac:dyDescent="0.2">
      <c r="A14" s="17">
        <v>601</v>
      </c>
      <c r="C14" s="17">
        <v>20389.7</v>
      </c>
      <c r="E14" s="17">
        <v>20418.7</v>
      </c>
      <c r="F14" s="17">
        <v>20437.900000000001</v>
      </c>
      <c r="G14" s="17">
        <v>20409.7</v>
      </c>
      <c r="H14" s="17">
        <v>20446.900000000001</v>
      </c>
    </row>
    <row r="15" spans="1:8" x14ac:dyDescent="0.2">
      <c r="A15" s="17">
        <v>600.9</v>
      </c>
      <c r="C15" s="17">
        <v>20353.8</v>
      </c>
      <c r="E15" s="17">
        <v>20417.900000000001</v>
      </c>
      <c r="F15" s="17">
        <v>20437.8</v>
      </c>
      <c r="G15" s="17">
        <v>20408.900000000001</v>
      </c>
      <c r="H15" s="17">
        <v>20446.900000000001</v>
      </c>
    </row>
    <row r="16" spans="1:8" x14ac:dyDescent="0.2">
      <c r="A16" s="17">
        <v>600.79999999999995</v>
      </c>
      <c r="C16" s="17">
        <v>20460</v>
      </c>
      <c r="E16" s="17">
        <v>20417.599999999999</v>
      </c>
      <c r="F16" s="17">
        <v>20438.2</v>
      </c>
      <c r="G16" s="17">
        <v>20408.5</v>
      </c>
      <c r="H16" s="17">
        <v>20447.3</v>
      </c>
    </row>
    <row r="17" spans="1:8" x14ac:dyDescent="0.2">
      <c r="A17" s="17">
        <v>600.70000000000005</v>
      </c>
      <c r="C17" s="17">
        <v>20383.8</v>
      </c>
      <c r="E17" s="17">
        <v>20417.599999999999</v>
      </c>
      <c r="F17" s="17">
        <v>20438.900000000001</v>
      </c>
      <c r="G17" s="17">
        <v>20408.400000000001</v>
      </c>
      <c r="H17" s="17">
        <v>20448.099999999999</v>
      </c>
    </row>
    <row r="18" spans="1:8" x14ac:dyDescent="0.2">
      <c r="A18" s="17">
        <v>600.6</v>
      </c>
      <c r="C18" s="17">
        <v>20472.2</v>
      </c>
      <c r="E18" s="17">
        <v>20417.900000000001</v>
      </c>
      <c r="F18" s="17">
        <v>20440</v>
      </c>
      <c r="G18" s="17">
        <v>20408.599999999999</v>
      </c>
      <c r="H18" s="17">
        <v>20449.3</v>
      </c>
    </row>
    <row r="19" spans="1:8" x14ac:dyDescent="0.2">
      <c r="A19" s="17">
        <v>600.5</v>
      </c>
      <c r="C19" s="17">
        <v>20372</v>
      </c>
      <c r="E19" s="17">
        <v>20418.3</v>
      </c>
      <c r="F19" s="17">
        <v>20441.2</v>
      </c>
      <c r="G19" s="17">
        <v>20408.900000000001</v>
      </c>
      <c r="H19" s="17">
        <v>20450.599999999999</v>
      </c>
    </row>
    <row r="20" spans="1:8" x14ac:dyDescent="0.2">
      <c r="A20" s="17">
        <v>600.4</v>
      </c>
      <c r="C20" s="17">
        <v>20593.099999999999</v>
      </c>
      <c r="E20" s="17">
        <v>20418.7</v>
      </c>
      <c r="F20" s="17">
        <v>20442.400000000001</v>
      </c>
      <c r="G20" s="17">
        <v>20409.2</v>
      </c>
      <c r="H20" s="17">
        <v>20451.900000000001</v>
      </c>
    </row>
    <row r="21" spans="1:8" x14ac:dyDescent="0.2">
      <c r="A21" s="17">
        <v>600.29999999999995</v>
      </c>
      <c r="C21" s="17">
        <v>20312.099999999999</v>
      </c>
      <c r="E21" s="17">
        <v>20419</v>
      </c>
      <c r="F21" s="17">
        <v>20443.7</v>
      </c>
      <c r="G21" s="17">
        <v>20409.5</v>
      </c>
      <c r="H21" s="17">
        <v>20453.2</v>
      </c>
    </row>
    <row r="22" spans="1:8" x14ac:dyDescent="0.2">
      <c r="A22" s="17">
        <v>600.20000000000005</v>
      </c>
      <c r="C22" s="17">
        <v>20669.900000000001</v>
      </c>
      <c r="E22" s="17">
        <v>20419.400000000001</v>
      </c>
      <c r="F22" s="17">
        <v>20445</v>
      </c>
      <c r="G22" s="17">
        <v>20409.8</v>
      </c>
      <c r="H22" s="17">
        <v>20454.599999999999</v>
      </c>
    </row>
    <row r="23" spans="1:8" x14ac:dyDescent="0.2">
      <c r="A23" s="17">
        <v>600.1</v>
      </c>
      <c r="C23" s="17">
        <v>20618.8</v>
      </c>
      <c r="E23" s="17">
        <v>20419.8</v>
      </c>
      <c r="F23" s="17">
        <v>20446.3</v>
      </c>
      <c r="G23" s="17">
        <v>20410.099999999999</v>
      </c>
      <c r="H23" s="17">
        <v>20456</v>
      </c>
    </row>
    <row r="24" spans="1:8" x14ac:dyDescent="0.2">
      <c r="A24" s="17">
        <v>600</v>
      </c>
      <c r="C24" s="17">
        <v>20744.8</v>
      </c>
      <c r="E24" s="17">
        <v>20420.2</v>
      </c>
      <c r="F24" s="17">
        <v>20447.7</v>
      </c>
      <c r="G24" s="17">
        <v>20410.3</v>
      </c>
      <c r="H24" s="17">
        <v>20457.5</v>
      </c>
    </row>
    <row r="25" spans="1:8" x14ac:dyDescent="0.2">
      <c r="A25" s="17">
        <v>599.9</v>
      </c>
      <c r="C25" s="17">
        <v>20505.5</v>
      </c>
      <c r="E25" s="17">
        <v>20420.5</v>
      </c>
      <c r="F25" s="17">
        <v>20449.099999999999</v>
      </c>
      <c r="G25" s="17">
        <v>20410.599999999999</v>
      </c>
      <c r="H25" s="17">
        <v>20459</v>
      </c>
    </row>
    <row r="26" spans="1:8" x14ac:dyDescent="0.2">
      <c r="A26" s="17">
        <v>599.79999999999995</v>
      </c>
      <c r="C26" s="17">
        <v>20640.599999999999</v>
      </c>
      <c r="E26" s="17">
        <v>20420.900000000001</v>
      </c>
      <c r="F26" s="17">
        <v>20450.599999999999</v>
      </c>
      <c r="G26" s="17">
        <v>20410.900000000001</v>
      </c>
      <c r="H26" s="17">
        <v>20460.599999999999</v>
      </c>
    </row>
    <row r="27" spans="1:8" x14ac:dyDescent="0.2">
      <c r="A27" s="17">
        <v>599.70000000000005</v>
      </c>
      <c r="C27" s="17">
        <v>20430.5</v>
      </c>
      <c r="E27" s="17">
        <v>20421.3</v>
      </c>
      <c r="F27" s="17">
        <v>20452.099999999999</v>
      </c>
      <c r="G27" s="17">
        <v>20411.2</v>
      </c>
      <c r="H27" s="17">
        <v>20462.2</v>
      </c>
    </row>
    <row r="28" spans="1:8" x14ac:dyDescent="0.2">
      <c r="A28" s="17">
        <v>599.6</v>
      </c>
      <c r="C28" s="17">
        <v>20341.400000000001</v>
      </c>
      <c r="E28" s="17">
        <v>20421.7</v>
      </c>
      <c r="F28" s="17">
        <v>20453.7</v>
      </c>
      <c r="G28" s="17">
        <v>20411.5</v>
      </c>
      <c r="H28" s="17">
        <v>20463.900000000001</v>
      </c>
    </row>
    <row r="29" spans="1:8" x14ac:dyDescent="0.2">
      <c r="A29" s="17">
        <v>599.5</v>
      </c>
      <c r="C29" s="17">
        <v>20521.900000000001</v>
      </c>
      <c r="E29" s="17">
        <v>20422.099999999999</v>
      </c>
      <c r="F29" s="17">
        <v>20455.3</v>
      </c>
      <c r="G29" s="17">
        <v>20411.8</v>
      </c>
      <c r="H29" s="17">
        <v>20465.599999999999</v>
      </c>
    </row>
    <row r="30" spans="1:8" x14ac:dyDescent="0.2">
      <c r="A30" s="17">
        <v>599.4</v>
      </c>
      <c r="C30" s="17">
        <v>20625.900000000001</v>
      </c>
      <c r="E30" s="17">
        <v>20422.400000000001</v>
      </c>
      <c r="F30" s="17">
        <v>20457</v>
      </c>
      <c r="G30" s="17">
        <v>20412.099999999999</v>
      </c>
      <c r="H30" s="17">
        <v>20467.400000000001</v>
      </c>
    </row>
    <row r="31" spans="1:8" x14ac:dyDescent="0.2">
      <c r="A31" s="17">
        <v>599.29999999999995</v>
      </c>
      <c r="C31" s="17">
        <v>20348.2</v>
      </c>
      <c r="E31" s="17">
        <v>20422.8</v>
      </c>
      <c r="F31" s="17">
        <v>20458.7</v>
      </c>
      <c r="G31" s="17">
        <v>20412.3</v>
      </c>
      <c r="H31" s="17">
        <v>20469.2</v>
      </c>
    </row>
    <row r="32" spans="1:8" x14ac:dyDescent="0.2">
      <c r="A32" s="17">
        <v>599.20000000000005</v>
      </c>
      <c r="C32" s="17">
        <v>20416</v>
      </c>
      <c r="E32" s="17">
        <v>20423.2</v>
      </c>
      <c r="F32" s="17">
        <v>20460.5</v>
      </c>
      <c r="G32" s="17">
        <v>20412.599999999999</v>
      </c>
      <c r="H32" s="17">
        <v>20471.099999999999</v>
      </c>
    </row>
    <row r="33" spans="1:8" x14ac:dyDescent="0.2">
      <c r="A33" s="17">
        <v>599.1</v>
      </c>
      <c r="C33" s="17">
        <v>20535.3</v>
      </c>
      <c r="E33" s="17">
        <v>20423.599999999999</v>
      </c>
      <c r="F33" s="17">
        <v>20462.400000000001</v>
      </c>
      <c r="G33" s="17">
        <v>20412.900000000001</v>
      </c>
      <c r="H33" s="17">
        <v>20473.099999999999</v>
      </c>
    </row>
    <row r="34" spans="1:8" x14ac:dyDescent="0.2">
      <c r="A34" s="17">
        <v>599</v>
      </c>
      <c r="C34" s="17">
        <v>20629.599999999999</v>
      </c>
      <c r="E34" s="17">
        <v>20424</v>
      </c>
      <c r="F34" s="17">
        <v>20464.3</v>
      </c>
      <c r="G34" s="17">
        <v>20413.2</v>
      </c>
      <c r="H34" s="17">
        <v>20475.099999999999</v>
      </c>
    </row>
    <row r="35" spans="1:8" x14ac:dyDescent="0.2">
      <c r="A35" s="17">
        <v>598.9</v>
      </c>
      <c r="C35" s="17">
        <v>20527.8</v>
      </c>
      <c r="E35" s="17">
        <v>20424.400000000001</v>
      </c>
      <c r="F35" s="17">
        <v>20466.3</v>
      </c>
      <c r="G35" s="17">
        <v>20413.5</v>
      </c>
      <c r="H35" s="17">
        <v>20477.2</v>
      </c>
    </row>
    <row r="36" spans="1:8" x14ac:dyDescent="0.2">
      <c r="A36" s="17">
        <v>598.79999999999995</v>
      </c>
      <c r="C36" s="17">
        <v>20505.8</v>
      </c>
      <c r="E36" s="17">
        <v>20424.8</v>
      </c>
      <c r="F36" s="17">
        <v>20468.3</v>
      </c>
      <c r="G36" s="17">
        <v>20413.8</v>
      </c>
      <c r="H36" s="17">
        <v>20479.3</v>
      </c>
    </row>
    <row r="37" spans="1:8" x14ac:dyDescent="0.2">
      <c r="A37" s="17">
        <v>598.70000000000005</v>
      </c>
      <c r="C37" s="17">
        <v>20498</v>
      </c>
      <c r="E37" s="17">
        <v>20425.2</v>
      </c>
      <c r="F37" s="17">
        <v>20470.400000000001</v>
      </c>
      <c r="G37" s="17">
        <v>20414</v>
      </c>
      <c r="H37" s="17">
        <v>20481.599999999999</v>
      </c>
    </row>
    <row r="38" spans="1:8" x14ac:dyDescent="0.2">
      <c r="A38" s="17">
        <v>598.6</v>
      </c>
      <c r="C38" s="17">
        <v>20483.900000000001</v>
      </c>
      <c r="E38" s="17">
        <v>20425.599999999999</v>
      </c>
      <c r="F38" s="17">
        <v>20472.599999999999</v>
      </c>
      <c r="G38" s="17">
        <v>20414.3</v>
      </c>
      <c r="H38" s="17">
        <v>20483.900000000001</v>
      </c>
    </row>
    <row r="39" spans="1:8" x14ac:dyDescent="0.2">
      <c r="A39" s="17">
        <v>598.5</v>
      </c>
      <c r="C39" s="17">
        <v>20605.3</v>
      </c>
      <c r="E39" s="17">
        <v>20426</v>
      </c>
      <c r="F39" s="17">
        <v>20474.900000000001</v>
      </c>
      <c r="G39" s="17">
        <v>20414.599999999999</v>
      </c>
      <c r="H39" s="17">
        <v>20486.2</v>
      </c>
    </row>
    <row r="40" spans="1:8" x14ac:dyDescent="0.2">
      <c r="A40" s="17">
        <v>598.4</v>
      </c>
      <c r="C40" s="17">
        <v>20541.2</v>
      </c>
      <c r="E40" s="17">
        <v>20426.400000000001</v>
      </c>
      <c r="F40" s="17">
        <v>20477.2</v>
      </c>
      <c r="G40" s="17">
        <v>20414.900000000001</v>
      </c>
      <c r="H40" s="17">
        <v>20488.7</v>
      </c>
    </row>
    <row r="41" spans="1:8" x14ac:dyDescent="0.2">
      <c r="A41" s="17">
        <v>598.29999999999995</v>
      </c>
      <c r="C41" s="17">
        <v>20405.400000000001</v>
      </c>
      <c r="E41" s="17">
        <v>20426.8</v>
      </c>
      <c r="F41" s="17">
        <v>20479.599999999999</v>
      </c>
      <c r="G41" s="17">
        <v>20415.2</v>
      </c>
      <c r="H41" s="17">
        <v>20491.2</v>
      </c>
    </row>
    <row r="42" spans="1:8" x14ac:dyDescent="0.2">
      <c r="A42" s="17">
        <v>598.20000000000005</v>
      </c>
      <c r="C42" s="17">
        <v>20553</v>
      </c>
      <c r="E42" s="17">
        <v>20427.2</v>
      </c>
      <c r="F42" s="17">
        <v>20482.099999999999</v>
      </c>
      <c r="G42" s="17">
        <v>20415.5</v>
      </c>
      <c r="H42" s="17">
        <v>20493.8</v>
      </c>
    </row>
    <row r="43" spans="1:8" x14ac:dyDescent="0.2">
      <c r="A43" s="17">
        <v>598.1</v>
      </c>
      <c r="C43" s="17">
        <v>20479.400000000001</v>
      </c>
      <c r="E43" s="17">
        <v>20427.599999999999</v>
      </c>
      <c r="F43" s="17">
        <v>20484.7</v>
      </c>
      <c r="G43" s="17">
        <v>20415.7</v>
      </c>
      <c r="H43" s="17">
        <v>20496.5</v>
      </c>
    </row>
    <row r="44" spans="1:8" x14ac:dyDescent="0.2">
      <c r="A44" s="17">
        <v>598</v>
      </c>
      <c r="C44" s="17">
        <v>20602.2</v>
      </c>
      <c r="E44" s="17">
        <v>20428</v>
      </c>
      <c r="F44" s="17">
        <v>20487.400000000001</v>
      </c>
      <c r="G44" s="17">
        <v>20416</v>
      </c>
      <c r="H44" s="17">
        <v>20499.3</v>
      </c>
    </row>
    <row r="45" spans="1:8" x14ac:dyDescent="0.2">
      <c r="A45" s="17">
        <v>597.9</v>
      </c>
      <c r="C45" s="17">
        <v>20833.3</v>
      </c>
      <c r="E45" s="17">
        <v>20428.400000000001</v>
      </c>
      <c r="F45" s="17">
        <v>20490.099999999999</v>
      </c>
      <c r="G45" s="17">
        <v>20416.3</v>
      </c>
      <c r="H45" s="17">
        <v>20502.2</v>
      </c>
    </row>
    <row r="46" spans="1:8" x14ac:dyDescent="0.2">
      <c r="A46" s="17">
        <v>597.79999999999995</v>
      </c>
      <c r="C46" s="17">
        <v>20526.2</v>
      </c>
      <c r="E46" s="17">
        <v>20428.8</v>
      </c>
      <c r="F46" s="17">
        <v>20492.900000000001</v>
      </c>
      <c r="G46" s="17">
        <v>20416.599999999999</v>
      </c>
      <c r="H46" s="17">
        <v>20505.099999999999</v>
      </c>
    </row>
    <row r="47" spans="1:8" x14ac:dyDescent="0.2">
      <c r="A47" s="17">
        <v>597.70000000000005</v>
      </c>
      <c r="C47" s="17">
        <v>20521.3</v>
      </c>
      <c r="E47" s="17">
        <v>20429.2</v>
      </c>
      <c r="F47" s="17">
        <v>20495.8</v>
      </c>
      <c r="G47" s="17">
        <v>20416.900000000001</v>
      </c>
      <c r="H47" s="17">
        <v>20508.2</v>
      </c>
    </row>
    <row r="48" spans="1:8" x14ac:dyDescent="0.2">
      <c r="A48" s="17">
        <v>597.6</v>
      </c>
      <c r="C48" s="17">
        <v>20561.8</v>
      </c>
      <c r="E48" s="17">
        <v>20429.599999999999</v>
      </c>
      <c r="F48" s="17">
        <v>20498.8</v>
      </c>
      <c r="G48" s="17">
        <v>20417.2</v>
      </c>
      <c r="H48" s="17">
        <v>20511.3</v>
      </c>
    </row>
    <row r="49" spans="1:8" x14ac:dyDescent="0.2">
      <c r="A49" s="17">
        <v>597.5</v>
      </c>
      <c r="C49" s="17">
        <v>20794</v>
      </c>
      <c r="E49" s="17">
        <v>20430</v>
      </c>
      <c r="F49" s="17">
        <v>20501.900000000001</v>
      </c>
      <c r="G49" s="17">
        <v>20417.400000000001</v>
      </c>
      <c r="H49" s="17">
        <v>20514.5</v>
      </c>
    </row>
    <row r="50" spans="1:8" x14ac:dyDescent="0.2">
      <c r="A50" s="17">
        <v>597.4</v>
      </c>
      <c r="C50" s="17">
        <v>20517.5</v>
      </c>
      <c r="E50" s="17">
        <v>20430.5</v>
      </c>
      <c r="F50" s="17">
        <v>20505.099999999999</v>
      </c>
      <c r="G50" s="17">
        <v>20417.7</v>
      </c>
      <c r="H50" s="17">
        <v>20517.900000000001</v>
      </c>
    </row>
    <row r="51" spans="1:8" x14ac:dyDescent="0.2">
      <c r="A51" s="17">
        <v>597.29999999999995</v>
      </c>
      <c r="C51" s="17">
        <v>20579.3</v>
      </c>
      <c r="E51" s="17">
        <v>20430.900000000001</v>
      </c>
      <c r="F51" s="17">
        <v>20508.400000000001</v>
      </c>
      <c r="G51" s="17">
        <v>20418</v>
      </c>
      <c r="H51" s="17">
        <v>20521.3</v>
      </c>
    </row>
    <row r="52" spans="1:8" x14ac:dyDescent="0.2">
      <c r="A52" s="17">
        <v>597.20000000000005</v>
      </c>
      <c r="C52" s="17">
        <v>20374.2</v>
      </c>
      <c r="E52" s="17">
        <v>20431.3</v>
      </c>
      <c r="F52" s="17">
        <v>20511.8</v>
      </c>
      <c r="G52" s="17">
        <v>20418.3</v>
      </c>
      <c r="H52" s="17">
        <v>20524.8</v>
      </c>
    </row>
    <row r="53" spans="1:8" x14ac:dyDescent="0.2">
      <c r="A53" s="17">
        <v>597.1</v>
      </c>
      <c r="C53" s="17">
        <v>20326.400000000001</v>
      </c>
      <c r="E53" s="17">
        <v>20431.7</v>
      </c>
      <c r="F53" s="17">
        <v>20515.3</v>
      </c>
      <c r="G53" s="17">
        <v>20418.599999999999</v>
      </c>
      <c r="H53" s="17">
        <v>20528.400000000001</v>
      </c>
    </row>
    <row r="54" spans="1:8" x14ac:dyDescent="0.2">
      <c r="A54" s="17">
        <v>597</v>
      </c>
      <c r="C54" s="17">
        <v>20532.900000000001</v>
      </c>
      <c r="E54" s="17">
        <v>20432.2</v>
      </c>
      <c r="F54" s="17">
        <v>20518.8</v>
      </c>
      <c r="G54" s="17">
        <v>20418.900000000001</v>
      </c>
      <c r="H54" s="17">
        <v>20532.099999999999</v>
      </c>
    </row>
    <row r="55" spans="1:8" x14ac:dyDescent="0.2">
      <c r="A55" s="17">
        <v>596.9</v>
      </c>
      <c r="C55" s="17">
        <v>20499.099999999999</v>
      </c>
      <c r="E55" s="17">
        <v>20432.599999999999</v>
      </c>
      <c r="F55" s="17">
        <v>20522.5</v>
      </c>
      <c r="G55" s="17">
        <v>20419.099999999999</v>
      </c>
      <c r="H55" s="17">
        <v>20536</v>
      </c>
    </row>
    <row r="56" spans="1:8" x14ac:dyDescent="0.2">
      <c r="A56" s="17">
        <v>596.79999999999995</v>
      </c>
      <c r="C56" s="17">
        <v>20555.599999999999</v>
      </c>
      <c r="E56" s="17">
        <v>20433</v>
      </c>
      <c r="F56" s="17">
        <v>20526.3</v>
      </c>
      <c r="G56" s="17">
        <v>20419.400000000001</v>
      </c>
      <c r="H56" s="17">
        <v>20539.900000000001</v>
      </c>
    </row>
    <row r="57" spans="1:8" x14ac:dyDescent="0.2">
      <c r="A57" s="17">
        <v>596.70000000000005</v>
      </c>
      <c r="C57" s="17">
        <v>20476.3</v>
      </c>
      <c r="E57" s="17">
        <v>20433.5</v>
      </c>
      <c r="F57" s="17">
        <v>20530.2</v>
      </c>
      <c r="G57" s="17">
        <v>20419.7</v>
      </c>
      <c r="H57" s="17">
        <v>20543.900000000001</v>
      </c>
    </row>
    <row r="58" spans="1:8" x14ac:dyDescent="0.2">
      <c r="A58" s="17">
        <v>596.6</v>
      </c>
      <c r="C58" s="17">
        <v>20699.400000000001</v>
      </c>
      <c r="E58" s="17">
        <v>20433.900000000001</v>
      </c>
      <c r="F58" s="17">
        <v>20534.099999999999</v>
      </c>
      <c r="G58" s="17">
        <v>20420</v>
      </c>
      <c r="H58" s="17">
        <v>20548.099999999999</v>
      </c>
    </row>
    <row r="59" spans="1:8" x14ac:dyDescent="0.2">
      <c r="A59" s="17">
        <v>596.5</v>
      </c>
      <c r="C59" s="17">
        <v>20525.3</v>
      </c>
      <c r="E59" s="17">
        <v>20434.400000000001</v>
      </c>
      <c r="F59" s="17">
        <v>20538.2</v>
      </c>
      <c r="G59" s="17">
        <v>20420.3</v>
      </c>
      <c r="H59" s="17">
        <v>20552.3</v>
      </c>
    </row>
    <row r="60" spans="1:8" x14ac:dyDescent="0.2">
      <c r="A60" s="17">
        <v>596.4</v>
      </c>
      <c r="C60" s="17">
        <v>20409.900000000001</v>
      </c>
      <c r="E60" s="17">
        <v>20434.8</v>
      </c>
      <c r="F60" s="17">
        <v>20542.400000000001</v>
      </c>
      <c r="G60" s="17">
        <v>20420.599999999999</v>
      </c>
      <c r="H60" s="17">
        <v>20556.7</v>
      </c>
    </row>
    <row r="61" spans="1:8" x14ac:dyDescent="0.2">
      <c r="A61" s="17">
        <v>596.29999999999995</v>
      </c>
      <c r="C61" s="17">
        <v>20630.7</v>
      </c>
      <c r="E61" s="17">
        <v>20435.3</v>
      </c>
      <c r="F61" s="17">
        <v>20546.7</v>
      </c>
      <c r="G61" s="17">
        <v>20420.8</v>
      </c>
      <c r="H61" s="17">
        <v>20561.099999999999</v>
      </c>
    </row>
    <row r="62" spans="1:8" x14ac:dyDescent="0.2">
      <c r="A62" s="17">
        <v>596.20000000000005</v>
      </c>
      <c r="C62" s="17">
        <v>20536.8</v>
      </c>
      <c r="E62" s="17">
        <v>20435.7</v>
      </c>
      <c r="F62" s="17">
        <v>20551.099999999999</v>
      </c>
      <c r="G62" s="17">
        <v>20421.099999999999</v>
      </c>
      <c r="H62" s="17">
        <v>20565.7</v>
      </c>
    </row>
    <row r="63" spans="1:8" x14ac:dyDescent="0.2">
      <c r="A63" s="17">
        <v>596.1</v>
      </c>
      <c r="C63" s="17">
        <v>20497.3</v>
      </c>
      <c r="E63" s="17">
        <v>20436.2</v>
      </c>
      <c r="F63" s="17">
        <v>20555.599999999999</v>
      </c>
      <c r="G63" s="17">
        <v>20421.400000000001</v>
      </c>
      <c r="H63" s="17">
        <v>20570.400000000001</v>
      </c>
    </row>
    <row r="64" spans="1:8" x14ac:dyDescent="0.2">
      <c r="A64" s="17">
        <v>596</v>
      </c>
      <c r="C64" s="17">
        <v>20504.900000000001</v>
      </c>
      <c r="E64" s="17">
        <v>20436.7</v>
      </c>
      <c r="F64" s="17">
        <v>20560.2</v>
      </c>
      <c r="G64" s="17">
        <v>20421.7</v>
      </c>
      <c r="H64" s="17">
        <v>20575.2</v>
      </c>
    </row>
    <row r="65" spans="1:8" x14ac:dyDescent="0.2">
      <c r="A65" s="17">
        <v>595.9</v>
      </c>
      <c r="C65" s="17">
        <v>20514.8</v>
      </c>
      <c r="E65" s="17">
        <v>20437.2</v>
      </c>
      <c r="F65" s="17">
        <v>20564.900000000001</v>
      </c>
      <c r="G65" s="17">
        <v>20422</v>
      </c>
      <c r="H65" s="17">
        <v>20580.099999999999</v>
      </c>
    </row>
    <row r="66" spans="1:8" x14ac:dyDescent="0.2">
      <c r="A66" s="17">
        <v>595.79999999999995</v>
      </c>
      <c r="C66" s="17">
        <v>20608.599999999999</v>
      </c>
      <c r="E66" s="17">
        <v>20437.599999999999</v>
      </c>
      <c r="F66" s="17">
        <v>20569.8</v>
      </c>
      <c r="G66" s="17">
        <v>20422.3</v>
      </c>
      <c r="H66" s="17">
        <v>20585.099999999999</v>
      </c>
    </row>
    <row r="67" spans="1:8" x14ac:dyDescent="0.2">
      <c r="A67" s="17">
        <v>595.70000000000005</v>
      </c>
      <c r="C67" s="17">
        <v>20635.400000000001</v>
      </c>
      <c r="E67" s="17">
        <v>20438.099999999999</v>
      </c>
      <c r="F67" s="17">
        <v>20574.7</v>
      </c>
      <c r="G67" s="17">
        <v>20422.599999999999</v>
      </c>
      <c r="H67" s="17">
        <v>20590.3</v>
      </c>
    </row>
    <row r="68" spans="1:8" x14ac:dyDescent="0.2">
      <c r="A68" s="17">
        <v>595.6</v>
      </c>
      <c r="C68" s="17">
        <v>20796</v>
      </c>
      <c r="E68" s="17">
        <v>20438.599999999999</v>
      </c>
      <c r="F68" s="17">
        <v>20579.7</v>
      </c>
      <c r="G68" s="17">
        <v>20422.8</v>
      </c>
      <c r="H68" s="17">
        <v>20595.5</v>
      </c>
    </row>
    <row r="69" spans="1:8" x14ac:dyDescent="0.2">
      <c r="A69" s="17">
        <v>595.5</v>
      </c>
      <c r="C69" s="17">
        <v>20643.400000000001</v>
      </c>
      <c r="E69" s="17">
        <v>20439.099999999999</v>
      </c>
      <c r="F69" s="17">
        <v>20584.900000000001</v>
      </c>
      <c r="G69" s="17">
        <v>20423.099999999999</v>
      </c>
      <c r="H69" s="17">
        <v>20600.8</v>
      </c>
    </row>
    <row r="70" spans="1:8" x14ac:dyDescent="0.2">
      <c r="A70" s="17">
        <v>595.4</v>
      </c>
      <c r="C70" s="17">
        <v>20695.7</v>
      </c>
      <c r="E70" s="17">
        <v>20439.599999999999</v>
      </c>
      <c r="F70" s="17">
        <v>20590.099999999999</v>
      </c>
      <c r="G70" s="17">
        <v>20423.400000000001</v>
      </c>
      <c r="H70" s="17">
        <v>20606.3</v>
      </c>
    </row>
    <row r="71" spans="1:8" x14ac:dyDescent="0.2">
      <c r="A71" s="17">
        <v>595.29999999999995</v>
      </c>
      <c r="C71" s="17">
        <v>20513.900000000001</v>
      </c>
      <c r="E71" s="17">
        <v>20440.099999999999</v>
      </c>
      <c r="F71" s="17">
        <v>20595.5</v>
      </c>
      <c r="G71" s="17">
        <v>20423.7</v>
      </c>
      <c r="H71" s="17">
        <v>20611.900000000001</v>
      </c>
    </row>
    <row r="72" spans="1:8" x14ac:dyDescent="0.2">
      <c r="A72" s="17">
        <v>595.20000000000005</v>
      </c>
      <c r="C72" s="17">
        <v>20568.7</v>
      </c>
      <c r="E72" s="17">
        <v>20440.599999999999</v>
      </c>
      <c r="F72" s="17">
        <v>20600.900000000001</v>
      </c>
      <c r="G72" s="17">
        <v>20424</v>
      </c>
      <c r="H72" s="17">
        <v>20617.5</v>
      </c>
    </row>
    <row r="73" spans="1:8" x14ac:dyDescent="0.2">
      <c r="A73" s="17">
        <v>595.1</v>
      </c>
      <c r="C73" s="17">
        <v>20619.900000000001</v>
      </c>
      <c r="E73" s="17">
        <v>20441.099999999999</v>
      </c>
      <c r="F73" s="17">
        <v>20606.5</v>
      </c>
      <c r="G73" s="17">
        <v>20424.3</v>
      </c>
      <c r="H73" s="17">
        <v>20623.3</v>
      </c>
    </row>
    <row r="74" spans="1:8" x14ac:dyDescent="0.2">
      <c r="A74" s="17">
        <v>595</v>
      </c>
      <c r="C74" s="17">
        <v>20809.5</v>
      </c>
      <c r="E74" s="17">
        <v>20441.599999999999</v>
      </c>
      <c r="F74" s="17">
        <v>20612.099999999999</v>
      </c>
      <c r="G74" s="17">
        <v>20424.5</v>
      </c>
      <c r="H74" s="17">
        <v>20629.2</v>
      </c>
    </row>
    <row r="75" spans="1:8" x14ac:dyDescent="0.2">
      <c r="A75" s="17">
        <v>594.9</v>
      </c>
      <c r="C75" s="17">
        <v>20717.599999999999</v>
      </c>
      <c r="E75" s="17">
        <v>20442.2</v>
      </c>
      <c r="F75" s="17">
        <v>20617.8</v>
      </c>
      <c r="G75" s="17">
        <v>20424.8</v>
      </c>
      <c r="H75" s="17">
        <v>20635.2</v>
      </c>
    </row>
    <row r="76" spans="1:8" x14ac:dyDescent="0.2">
      <c r="A76" s="17">
        <v>594.79999999999995</v>
      </c>
      <c r="C76" s="17">
        <v>20518.599999999999</v>
      </c>
      <c r="E76" s="17">
        <v>20442.7</v>
      </c>
      <c r="F76" s="17">
        <v>20623.7</v>
      </c>
      <c r="G76" s="17">
        <v>20425.099999999999</v>
      </c>
      <c r="H76" s="17">
        <v>20641.3</v>
      </c>
    </row>
    <row r="77" spans="1:8" x14ac:dyDescent="0.2">
      <c r="A77" s="17">
        <v>594.70000000000005</v>
      </c>
      <c r="C77" s="17">
        <v>20548.3</v>
      </c>
      <c r="E77" s="17">
        <v>20443.3</v>
      </c>
      <c r="F77" s="17">
        <v>20629.599999999999</v>
      </c>
      <c r="G77" s="17">
        <v>20425.400000000001</v>
      </c>
      <c r="H77" s="17">
        <v>20647.5</v>
      </c>
    </row>
    <row r="78" spans="1:8" x14ac:dyDescent="0.2">
      <c r="A78" s="17">
        <v>594.6</v>
      </c>
      <c r="C78" s="17">
        <v>20746</v>
      </c>
      <c r="E78" s="17">
        <v>20443.8</v>
      </c>
      <c r="F78" s="17">
        <v>20635.599999999999</v>
      </c>
      <c r="G78" s="17">
        <v>20425.7</v>
      </c>
      <c r="H78" s="17">
        <v>20653.8</v>
      </c>
    </row>
    <row r="79" spans="1:8" x14ac:dyDescent="0.2">
      <c r="A79" s="17">
        <v>594.5</v>
      </c>
      <c r="C79" s="17">
        <v>20736.2</v>
      </c>
      <c r="E79" s="17">
        <v>20444.400000000001</v>
      </c>
      <c r="F79" s="17">
        <v>20641.7</v>
      </c>
      <c r="G79" s="17">
        <v>20426</v>
      </c>
      <c r="H79" s="17">
        <v>20660.2</v>
      </c>
    </row>
    <row r="80" spans="1:8" x14ac:dyDescent="0.2">
      <c r="A80" s="17">
        <v>594.4</v>
      </c>
      <c r="C80" s="17">
        <v>20798.599999999999</v>
      </c>
      <c r="E80" s="17">
        <v>20445</v>
      </c>
      <c r="F80" s="17">
        <v>20647.900000000001</v>
      </c>
      <c r="G80" s="17">
        <v>20426.2</v>
      </c>
      <c r="H80" s="17">
        <v>20666.7</v>
      </c>
    </row>
    <row r="81" spans="1:8" x14ac:dyDescent="0.2">
      <c r="A81" s="17">
        <v>594.29999999999995</v>
      </c>
      <c r="C81" s="17">
        <v>20594.400000000001</v>
      </c>
      <c r="E81" s="17">
        <v>20445.5</v>
      </c>
      <c r="F81" s="17">
        <v>20654.2</v>
      </c>
      <c r="G81" s="17">
        <v>20426.5</v>
      </c>
      <c r="H81" s="17">
        <v>20673.2</v>
      </c>
    </row>
    <row r="82" spans="1:8" x14ac:dyDescent="0.2">
      <c r="A82" s="17">
        <v>594.20000000000005</v>
      </c>
      <c r="C82" s="17">
        <v>20423.8</v>
      </c>
      <c r="E82" s="17">
        <v>20446.099999999999</v>
      </c>
      <c r="F82" s="17">
        <v>20660.599999999999</v>
      </c>
      <c r="G82" s="17">
        <v>20426.8</v>
      </c>
      <c r="H82" s="17">
        <v>20679.900000000001</v>
      </c>
    </row>
    <row r="83" spans="1:8" x14ac:dyDescent="0.2">
      <c r="A83" s="17">
        <v>594.1</v>
      </c>
      <c r="C83" s="17">
        <v>20716.2</v>
      </c>
      <c r="E83" s="17">
        <v>20446.7</v>
      </c>
      <c r="F83" s="17">
        <v>20667</v>
      </c>
      <c r="G83" s="17">
        <v>20427.099999999999</v>
      </c>
      <c r="H83" s="17">
        <v>20686.599999999999</v>
      </c>
    </row>
    <row r="84" spans="1:8" x14ac:dyDescent="0.2">
      <c r="A84" s="17">
        <v>594</v>
      </c>
      <c r="C84" s="17">
        <v>20612.400000000001</v>
      </c>
      <c r="E84" s="17">
        <v>20447.400000000001</v>
      </c>
      <c r="F84" s="17">
        <v>20673.5</v>
      </c>
      <c r="G84" s="17">
        <v>20427.400000000001</v>
      </c>
      <c r="H84" s="17">
        <v>20693.5</v>
      </c>
    </row>
    <row r="85" spans="1:8" x14ac:dyDescent="0.2">
      <c r="A85" s="17">
        <v>593.9</v>
      </c>
      <c r="C85" s="17">
        <v>20501.900000000001</v>
      </c>
      <c r="E85" s="17">
        <v>20448</v>
      </c>
      <c r="F85" s="17">
        <v>20680.099999999999</v>
      </c>
      <c r="G85" s="17">
        <v>20427.7</v>
      </c>
      <c r="H85" s="17">
        <v>20700.400000000001</v>
      </c>
    </row>
    <row r="86" spans="1:8" x14ac:dyDescent="0.2">
      <c r="A86" s="17">
        <v>593.79999999999995</v>
      </c>
      <c r="C86" s="17">
        <v>20719.3</v>
      </c>
      <c r="E86" s="17">
        <v>20448.599999999999</v>
      </c>
      <c r="F86" s="17">
        <v>20686.7</v>
      </c>
      <c r="G86" s="17">
        <v>20427.900000000001</v>
      </c>
      <c r="H86" s="17">
        <v>20707.400000000001</v>
      </c>
    </row>
    <row r="87" spans="1:8" x14ac:dyDescent="0.2">
      <c r="A87" s="17">
        <v>593.70000000000005</v>
      </c>
      <c r="C87" s="17">
        <v>20922.2</v>
      </c>
      <c r="E87" s="17">
        <v>20449.3</v>
      </c>
      <c r="F87" s="17">
        <v>20693.400000000001</v>
      </c>
      <c r="G87" s="17">
        <v>20428.2</v>
      </c>
      <c r="H87" s="17">
        <v>20714.400000000001</v>
      </c>
    </row>
    <row r="88" spans="1:8" x14ac:dyDescent="0.2">
      <c r="A88" s="17">
        <v>593.6</v>
      </c>
      <c r="C88" s="17">
        <v>20745.7</v>
      </c>
      <c r="E88" s="17">
        <v>20449.900000000001</v>
      </c>
      <c r="F88" s="17">
        <v>20700.099999999999</v>
      </c>
      <c r="G88" s="17">
        <v>20428.5</v>
      </c>
      <c r="H88" s="17">
        <v>20721.5</v>
      </c>
    </row>
    <row r="89" spans="1:8" x14ac:dyDescent="0.2">
      <c r="A89" s="17">
        <v>593.5</v>
      </c>
      <c r="C89" s="17">
        <v>20764.3</v>
      </c>
      <c r="E89" s="17">
        <v>20450.599999999999</v>
      </c>
      <c r="F89" s="17">
        <v>20706.900000000001</v>
      </c>
      <c r="G89" s="17">
        <v>20428.8</v>
      </c>
      <c r="H89" s="17">
        <v>20728.7</v>
      </c>
    </row>
    <row r="90" spans="1:8" x14ac:dyDescent="0.2">
      <c r="A90" s="17">
        <v>593.4</v>
      </c>
      <c r="C90" s="17">
        <v>20605.2</v>
      </c>
      <c r="E90" s="17">
        <v>20451.3</v>
      </c>
      <c r="F90" s="17">
        <v>20713.7</v>
      </c>
      <c r="G90" s="17">
        <v>20429.099999999999</v>
      </c>
      <c r="H90" s="17">
        <v>20735.900000000001</v>
      </c>
    </row>
    <row r="91" spans="1:8" x14ac:dyDescent="0.2">
      <c r="A91" s="17">
        <v>593.29999999999995</v>
      </c>
      <c r="C91" s="17">
        <v>20776</v>
      </c>
      <c r="E91" s="17">
        <v>20452</v>
      </c>
      <c r="F91" s="17">
        <v>20720.5</v>
      </c>
      <c r="G91" s="17">
        <v>20429.400000000001</v>
      </c>
      <c r="H91" s="17">
        <v>20743.2</v>
      </c>
    </row>
    <row r="92" spans="1:8" x14ac:dyDescent="0.2">
      <c r="A92" s="17">
        <v>593.20000000000005</v>
      </c>
      <c r="C92" s="17">
        <v>20638.099999999999</v>
      </c>
      <c r="E92" s="17">
        <v>20452.7</v>
      </c>
      <c r="F92" s="17">
        <v>20727.400000000001</v>
      </c>
      <c r="G92" s="17">
        <v>20429.599999999999</v>
      </c>
      <c r="H92" s="17">
        <v>20750.5</v>
      </c>
    </row>
    <row r="93" spans="1:8" x14ac:dyDescent="0.2">
      <c r="A93" s="17">
        <v>593.1</v>
      </c>
      <c r="C93" s="17">
        <v>20753.400000000001</v>
      </c>
      <c r="E93" s="17">
        <v>20453.5</v>
      </c>
      <c r="F93" s="17">
        <v>20734.3</v>
      </c>
      <c r="G93" s="17">
        <v>20429.900000000001</v>
      </c>
      <c r="H93" s="17">
        <v>20757.900000000001</v>
      </c>
    </row>
    <row r="94" spans="1:8" x14ac:dyDescent="0.2">
      <c r="A94" s="17">
        <v>593</v>
      </c>
      <c r="C94" s="17">
        <v>20811.2</v>
      </c>
      <c r="E94" s="17">
        <v>20454.3</v>
      </c>
      <c r="F94" s="17">
        <v>20741.3</v>
      </c>
      <c r="G94" s="17">
        <v>20430.2</v>
      </c>
      <c r="H94" s="17">
        <v>20765.3</v>
      </c>
    </row>
    <row r="95" spans="1:8" x14ac:dyDescent="0.2">
      <c r="A95" s="17">
        <v>592.9</v>
      </c>
      <c r="C95" s="17">
        <v>20944.099999999999</v>
      </c>
      <c r="E95" s="17">
        <v>20455</v>
      </c>
      <c r="F95" s="17">
        <v>20748.2</v>
      </c>
      <c r="G95" s="17">
        <v>20430.5</v>
      </c>
      <c r="H95" s="17">
        <v>20772.7</v>
      </c>
    </row>
    <row r="96" spans="1:8" x14ac:dyDescent="0.2">
      <c r="A96" s="17">
        <v>592.79999999999995</v>
      </c>
      <c r="C96" s="17">
        <v>20799.5</v>
      </c>
      <c r="E96" s="17">
        <v>20455.8</v>
      </c>
      <c r="F96" s="17">
        <v>20755.099999999999</v>
      </c>
      <c r="G96" s="17">
        <v>20430.8</v>
      </c>
      <c r="H96" s="17">
        <v>20780.2</v>
      </c>
    </row>
    <row r="97" spans="1:8" x14ac:dyDescent="0.2">
      <c r="A97" s="17">
        <v>592.70000000000005</v>
      </c>
      <c r="C97" s="17">
        <v>20784.5</v>
      </c>
      <c r="E97" s="17">
        <v>20456.7</v>
      </c>
      <c r="F97" s="17">
        <v>20762.099999999999</v>
      </c>
      <c r="G97" s="17">
        <v>20431.099999999999</v>
      </c>
      <c r="H97" s="17">
        <v>20787.7</v>
      </c>
    </row>
    <row r="98" spans="1:8" x14ac:dyDescent="0.2">
      <c r="A98" s="17">
        <v>592.6</v>
      </c>
      <c r="C98" s="17">
        <v>20817.8</v>
      </c>
      <c r="E98" s="17">
        <v>20457.5</v>
      </c>
      <c r="F98" s="17">
        <v>20769</v>
      </c>
      <c r="G98" s="17">
        <v>20431.3</v>
      </c>
      <c r="H98" s="17">
        <v>20795.2</v>
      </c>
    </row>
    <row r="99" spans="1:8" x14ac:dyDescent="0.2">
      <c r="A99" s="17">
        <v>592.5</v>
      </c>
      <c r="C99" s="17">
        <v>20967.7</v>
      </c>
      <c r="E99" s="17">
        <v>20458.400000000001</v>
      </c>
      <c r="F99" s="17">
        <v>20775.900000000001</v>
      </c>
      <c r="G99" s="17">
        <v>20431.599999999999</v>
      </c>
      <c r="H99" s="17">
        <v>20802.7</v>
      </c>
    </row>
    <row r="100" spans="1:8" x14ac:dyDescent="0.2">
      <c r="A100" s="17">
        <v>592.4</v>
      </c>
      <c r="C100" s="17">
        <v>20625.900000000001</v>
      </c>
      <c r="E100" s="17">
        <v>20459.3</v>
      </c>
      <c r="F100" s="17">
        <v>20782.8</v>
      </c>
      <c r="G100" s="17">
        <v>20431.900000000001</v>
      </c>
      <c r="H100" s="17">
        <v>20810.099999999999</v>
      </c>
    </row>
    <row r="101" spans="1:8" x14ac:dyDescent="0.2">
      <c r="A101" s="17">
        <v>592.29999999999995</v>
      </c>
      <c r="C101" s="17">
        <v>20717.8</v>
      </c>
      <c r="E101" s="17">
        <v>20460.2</v>
      </c>
      <c r="F101" s="17">
        <v>20789.599999999999</v>
      </c>
      <c r="G101" s="17">
        <v>20432.2</v>
      </c>
      <c r="H101" s="17">
        <v>20817.599999999999</v>
      </c>
    </row>
    <row r="102" spans="1:8" x14ac:dyDescent="0.2">
      <c r="A102" s="17">
        <v>592.20000000000005</v>
      </c>
      <c r="C102" s="17">
        <v>20638.099999999999</v>
      </c>
      <c r="E102" s="17">
        <v>20461.099999999999</v>
      </c>
      <c r="F102" s="17">
        <v>20796.400000000001</v>
      </c>
      <c r="G102" s="17">
        <v>20432.5</v>
      </c>
      <c r="H102" s="17">
        <v>20825.099999999999</v>
      </c>
    </row>
    <row r="103" spans="1:8" x14ac:dyDescent="0.2">
      <c r="A103" s="17">
        <v>592.1</v>
      </c>
      <c r="C103" s="17">
        <v>20653.7</v>
      </c>
      <c r="E103" s="17">
        <v>20462.099999999999</v>
      </c>
      <c r="F103" s="17">
        <v>20803.2</v>
      </c>
      <c r="G103" s="17">
        <v>20432.8</v>
      </c>
      <c r="H103" s="17">
        <v>20832.5</v>
      </c>
    </row>
    <row r="104" spans="1:8" x14ac:dyDescent="0.2">
      <c r="A104" s="17">
        <v>592</v>
      </c>
      <c r="C104" s="17">
        <v>20619.2</v>
      </c>
      <c r="E104" s="17">
        <v>20463.099999999999</v>
      </c>
      <c r="F104" s="17">
        <v>20809.900000000001</v>
      </c>
      <c r="G104" s="17">
        <v>20433.099999999999</v>
      </c>
      <c r="H104" s="17">
        <v>20839.900000000001</v>
      </c>
    </row>
    <row r="105" spans="1:8" x14ac:dyDescent="0.2">
      <c r="A105" s="17">
        <v>591.9</v>
      </c>
      <c r="C105" s="17">
        <v>21103.8</v>
      </c>
      <c r="E105" s="17">
        <v>20464.2</v>
      </c>
      <c r="F105" s="17">
        <v>20816.5</v>
      </c>
      <c r="G105" s="17">
        <v>20433.3</v>
      </c>
      <c r="H105" s="17">
        <v>20847.3</v>
      </c>
    </row>
    <row r="106" spans="1:8" x14ac:dyDescent="0.2">
      <c r="A106" s="17">
        <v>591.79999999999995</v>
      </c>
      <c r="C106" s="17">
        <v>21078.9</v>
      </c>
      <c r="E106" s="17">
        <v>20465.2</v>
      </c>
      <c r="F106" s="17">
        <v>20823</v>
      </c>
      <c r="G106" s="17">
        <v>20433.599999999999</v>
      </c>
      <c r="H106" s="17">
        <v>20854.599999999999</v>
      </c>
    </row>
    <row r="107" spans="1:8" x14ac:dyDescent="0.2">
      <c r="A107" s="17">
        <v>591.70000000000005</v>
      </c>
      <c r="C107" s="17">
        <v>20901</v>
      </c>
      <c r="E107" s="17">
        <v>20466.3</v>
      </c>
      <c r="F107" s="17">
        <v>20829.400000000001</v>
      </c>
      <c r="G107" s="17">
        <v>20433.900000000001</v>
      </c>
      <c r="H107" s="17">
        <v>20861.900000000001</v>
      </c>
    </row>
    <row r="108" spans="1:8" x14ac:dyDescent="0.2">
      <c r="A108" s="17">
        <v>591.6</v>
      </c>
      <c r="C108" s="17">
        <v>20827.900000000001</v>
      </c>
      <c r="E108" s="17">
        <v>20467.5</v>
      </c>
      <c r="F108" s="17">
        <v>20835.8</v>
      </c>
      <c r="G108" s="17">
        <v>20434.2</v>
      </c>
      <c r="H108" s="17">
        <v>20869</v>
      </c>
    </row>
    <row r="109" spans="1:8" x14ac:dyDescent="0.2">
      <c r="A109" s="17">
        <v>591.5</v>
      </c>
      <c r="C109" s="17">
        <v>20766.900000000001</v>
      </c>
      <c r="E109" s="17">
        <v>20468.599999999999</v>
      </c>
      <c r="F109" s="17">
        <v>20842</v>
      </c>
      <c r="G109" s="17">
        <v>20434.5</v>
      </c>
      <c r="H109" s="17">
        <v>20876.2</v>
      </c>
    </row>
    <row r="110" spans="1:8" x14ac:dyDescent="0.2">
      <c r="A110" s="17">
        <v>591.4</v>
      </c>
      <c r="C110" s="17">
        <v>20922.599999999999</v>
      </c>
      <c r="E110" s="17">
        <v>20469.8</v>
      </c>
      <c r="F110" s="17">
        <v>20848.099999999999</v>
      </c>
      <c r="G110" s="17">
        <v>20434.8</v>
      </c>
      <c r="H110" s="17">
        <v>20883.2</v>
      </c>
    </row>
    <row r="111" spans="1:8" x14ac:dyDescent="0.2">
      <c r="A111" s="17">
        <v>591.29999999999995</v>
      </c>
      <c r="C111" s="17">
        <v>20977.3</v>
      </c>
      <c r="E111" s="17">
        <v>20471.099999999999</v>
      </c>
      <c r="F111" s="17">
        <v>20854.099999999999</v>
      </c>
      <c r="G111" s="17">
        <v>20435</v>
      </c>
      <c r="H111" s="17">
        <v>20890.099999999999</v>
      </c>
    </row>
    <row r="112" spans="1:8" x14ac:dyDescent="0.2">
      <c r="A112" s="17">
        <v>591.20000000000005</v>
      </c>
      <c r="C112" s="17">
        <v>20871.2</v>
      </c>
      <c r="E112" s="17">
        <v>20472.400000000001</v>
      </c>
      <c r="F112" s="17">
        <v>20859.900000000001</v>
      </c>
      <c r="G112" s="17">
        <v>20435.3</v>
      </c>
      <c r="H112" s="17">
        <v>20897</v>
      </c>
    </row>
    <row r="113" spans="1:8" x14ac:dyDescent="0.2">
      <c r="A113" s="17">
        <v>591.1</v>
      </c>
      <c r="C113" s="17">
        <v>20742.3</v>
      </c>
      <c r="E113" s="17">
        <v>20473.7</v>
      </c>
      <c r="F113" s="17">
        <v>20865.599999999999</v>
      </c>
      <c r="G113" s="17">
        <v>20435.599999999999</v>
      </c>
      <c r="H113" s="17">
        <v>20903.7</v>
      </c>
    </row>
    <row r="114" spans="1:8" x14ac:dyDescent="0.2">
      <c r="A114" s="17">
        <v>591</v>
      </c>
      <c r="C114" s="17">
        <v>20981.200000000001</v>
      </c>
      <c r="E114" s="17">
        <v>20475.099999999999</v>
      </c>
      <c r="F114" s="17">
        <v>20871.099999999999</v>
      </c>
      <c r="G114" s="17">
        <v>20435.900000000001</v>
      </c>
      <c r="H114" s="17">
        <v>20910.3</v>
      </c>
    </row>
    <row r="115" spans="1:8" x14ac:dyDescent="0.2">
      <c r="A115" s="17">
        <v>590.9</v>
      </c>
      <c r="C115" s="17">
        <v>20768.3</v>
      </c>
      <c r="E115" s="17">
        <v>20476.5</v>
      </c>
      <c r="F115" s="17">
        <v>20876.5</v>
      </c>
      <c r="G115" s="17">
        <v>20436.2</v>
      </c>
      <c r="H115" s="17">
        <v>20916.8</v>
      </c>
    </row>
    <row r="116" spans="1:8" x14ac:dyDescent="0.2">
      <c r="A116" s="17">
        <v>590.79999999999995</v>
      </c>
      <c r="C116" s="17">
        <v>21050.799999999999</v>
      </c>
      <c r="E116" s="17">
        <v>20478</v>
      </c>
      <c r="F116" s="17">
        <v>20881.599999999999</v>
      </c>
      <c r="G116" s="17">
        <v>20436.5</v>
      </c>
      <c r="H116" s="17">
        <v>20923.2</v>
      </c>
    </row>
    <row r="117" spans="1:8" x14ac:dyDescent="0.2">
      <c r="A117" s="17">
        <v>590.70000000000005</v>
      </c>
      <c r="C117" s="17">
        <v>21024</v>
      </c>
      <c r="E117" s="17">
        <v>20479.5</v>
      </c>
      <c r="F117" s="17">
        <v>20886.599999999999</v>
      </c>
      <c r="G117" s="17">
        <v>20436.7</v>
      </c>
      <c r="H117" s="17">
        <v>20929.400000000001</v>
      </c>
    </row>
    <row r="118" spans="1:8" x14ac:dyDescent="0.2">
      <c r="A118" s="17">
        <v>590.6</v>
      </c>
      <c r="C118" s="17">
        <v>20950.2</v>
      </c>
      <c r="E118" s="17">
        <v>20481.099999999999</v>
      </c>
      <c r="F118" s="17">
        <v>20891.400000000001</v>
      </c>
      <c r="G118" s="17">
        <v>20437</v>
      </c>
      <c r="H118" s="17">
        <v>20935.5</v>
      </c>
    </row>
    <row r="119" spans="1:8" x14ac:dyDescent="0.2">
      <c r="A119" s="17">
        <v>590.5</v>
      </c>
      <c r="C119" s="17">
        <v>20944.7</v>
      </c>
      <c r="E119" s="17">
        <v>20482.7</v>
      </c>
      <c r="F119" s="17">
        <v>20895.900000000001</v>
      </c>
      <c r="G119" s="17">
        <v>20437.3</v>
      </c>
      <c r="H119" s="17">
        <v>20941.400000000001</v>
      </c>
    </row>
    <row r="120" spans="1:8" x14ac:dyDescent="0.2">
      <c r="A120" s="17">
        <v>590.4</v>
      </c>
      <c r="C120" s="17">
        <v>20992.7</v>
      </c>
      <c r="E120" s="17">
        <v>20484.400000000001</v>
      </c>
      <c r="F120" s="17">
        <v>20900.2</v>
      </c>
      <c r="G120" s="17">
        <v>20437.599999999999</v>
      </c>
      <c r="H120" s="17">
        <v>20947.099999999999</v>
      </c>
    </row>
    <row r="121" spans="1:8" x14ac:dyDescent="0.2">
      <c r="A121" s="17">
        <v>590.29999999999995</v>
      </c>
      <c r="C121" s="17">
        <v>20868.900000000001</v>
      </c>
      <c r="E121" s="17">
        <v>20486.2</v>
      </c>
      <c r="F121" s="17">
        <v>20904.3</v>
      </c>
      <c r="G121" s="17">
        <v>20437.900000000001</v>
      </c>
      <c r="H121" s="17">
        <v>20952.7</v>
      </c>
    </row>
    <row r="122" spans="1:8" x14ac:dyDescent="0.2">
      <c r="A122" s="17">
        <v>590.20000000000005</v>
      </c>
      <c r="C122" s="17">
        <v>21031.5</v>
      </c>
      <c r="E122" s="17">
        <v>20488</v>
      </c>
      <c r="F122" s="17">
        <v>20908.2</v>
      </c>
      <c r="G122" s="17">
        <v>20438.2</v>
      </c>
      <c r="H122" s="17">
        <v>20958</v>
      </c>
    </row>
    <row r="123" spans="1:8" x14ac:dyDescent="0.2">
      <c r="A123" s="17">
        <v>590.1</v>
      </c>
      <c r="C123" s="17">
        <v>20804.7</v>
      </c>
      <c r="E123" s="17">
        <v>20489.900000000001</v>
      </c>
      <c r="F123" s="17">
        <v>20911.8</v>
      </c>
      <c r="G123" s="17">
        <v>20438.400000000001</v>
      </c>
      <c r="H123" s="17">
        <v>20963.2</v>
      </c>
    </row>
    <row r="124" spans="1:8" x14ac:dyDescent="0.2">
      <c r="A124" s="17">
        <v>590</v>
      </c>
      <c r="C124" s="17">
        <v>20857.599999999999</v>
      </c>
      <c r="E124" s="17">
        <v>20491.8</v>
      </c>
      <c r="F124" s="17">
        <v>20915.099999999999</v>
      </c>
      <c r="G124" s="17">
        <v>20438.7</v>
      </c>
      <c r="H124" s="17">
        <v>20968.2</v>
      </c>
    </row>
    <row r="125" spans="1:8" x14ac:dyDescent="0.2">
      <c r="A125" s="17">
        <v>589.9</v>
      </c>
      <c r="C125" s="17">
        <v>20801.900000000001</v>
      </c>
      <c r="E125" s="17">
        <v>20493.8</v>
      </c>
      <c r="F125" s="17">
        <v>20918.2</v>
      </c>
      <c r="G125" s="17">
        <v>20439</v>
      </c>
      <c r="H125" s="17">
        <v>20973</v>
      </c>
    </row>
    <row r="126" spans="1:8" x14ac:dyDescent="0.2">
      <c r="A126" s="17">
        <v>589.79999999999995</v>
      </c>
      <c r="C126" s="17">
        <v>21055.5</v>
      </c>
      <c r="E126" s="17">
        <v>20495.900000000001</v>
      </c>
      <c r="F126" s="17">
        <v>20921</v>
      </c>
      <c r="G126" s="17">
        <v>20439.3</v>
      </c>
      <c r="H126" s="17">
        <v>20977.599999999999</v>
      </c>
    </row>
    <row r="127" spans="1:8" x14ac:dyDescent="0.2">
      <c r="A127" s="17">
        <v>589.70000000000005</v>
      </c>
      <c r="C127" s="17">
        <v>20896.3</v>
      </c>
      <c r="E127" s="17">
        <v>20498</v>
      </c>
      <c r="F127" s="17">
        <v>20923.5</v>
      </c>
      <c r="G127" s="17">
        <v>20439.599999999999</v>
      </c>
      <c r="H127" s="17">
        <v>20982</v>
      </c>
    </row>
    <row r="128" spans="1:8" x14ac:dyDescent="0.2">
      <c r="A128" s="17">
        <v>589.6</v>
      </c>
      <c r="C128" s="17">
        <v>21015.1</v>
      </c>
      <c r="E128" s="17">
        <v>20500.3</v>
      </c>
      <c r="F128" s="17">
        <v>20925.7</v>
      </c>
      <c r="G128" s="17">
        <v>20439.900000000001</v>
      </c>
      <c r="H128" s="17">
        <v>20986.1</v>
      </c>
    </row>
    <row r="129" spans="1:8" x14ac:dyDescent="0.2">
      <c r="A129" s="17">
        <v>589.5</v>
      </c>
      <c r="C129" s="17">
        <v>21122.5</v>
      </c>
      <c r="E129" s="17">
        <v>20502.599999999999</v>
      </c>
      <c r="F129" s="17">
        <v>20927.7</v>
      </c>
      <c r="G129" s="17">
        <v>20440.099999999999</v>
      </c>
      <c r="H129" s="17">
        <v>20990.1</v>
      </c>
    </row>
    <row r="130" spans="1:8" x14ac:dyDescent="0.2">
      <c r="A130" s="17">
        <v>589.4</v>
      </c>
      <c r="C130" s="17">
        <v>21198.6</v>
      </c>
      <c r="E130" s="17">
        <v>20504.900000000001</v>
      </c>
      <c r="F130" s="17">
        <v>20929.3</v>
      </c>
      <c r="G130" s="17">
        <v>20440.400000000001</v>
      </c>
      <c r="H130" s="17">
        <v>20993.8</v>
      </c>
    </row>
    <row r="131" spans="1:8" x14ac:dyDescent="0.2">
      <c r="A131" s="17">
        <v>589.29999999999995</v>
      </c>
      <c r="C131" s="17">
        <v>21127.5</v>
      </c>
      <c r="E131" s="17">
        <v>20507.400000000001</v>
      </c>
      <c r="F131" s="17">
        <v>20930.599999999999</v>
      </c>
      <c r="G131" s="17">
        <v>20440.7</v>
      </c>
      <c r="H131" s="17">
        <v>20997.3</v>
      </c>
    </row>
    <row r="132" spans="1:8" x14ac:dyDescent="0.2">
      <c r="A132" s="17">
        <v>589.20000000000005</v>
      </c>
      <c r="C132" s="17">
        <v>21085.1</v>
      </c>
      <c r="E132" s="17">
        <v>20509.900000000001</v>
      </c>
      <c r="F132" s="17">
        <v>20931.7</v>
      </c>
      <c r="G132" s="17">
        <v>20441</v>
      </c>
      <c r="H132" s="17">
        <v>21000.6</v>
      </c>
    </row>
    <row r="133" spans="1:8" x14ac:dyDescent="0.2">
      <c r="A133" s="17">
        <v>589.1</v>
      </c>
      <c r="C133" s="17">
        <v>21083.200000000001</v>
      </c>
      <c r="E133" s="17">
        <v>20512.599999999999</v>
      </c>
      <c r="F133" s="17">
        <v>20932.400000000001</v>
      </c>
      <c r="G133" s="17">
        <v>20441.3</v>
      </c>
      <c r="H133" s="17">
        <v>21003.7</v>
      </c>
    </row>
    <row r="134" spans="1:8" x14ac:dyDescent="0.2">
      <c r="A134" s="17">
        <v>589</v>
      </c>
      <c r="C134" s="17">
        <v>21003.9</v>
      </c>
      <c r="E134" s="17">
        <v>20515.3</v>
      </c>
      <c r="F134" s="17">
        <v>20932.8</v>
      </c>
      <c r="G134" s="17">
        <v>20441.599999999999</v>
      </c>
      <c r="H134" s="17">
        <v>21006.5</v>
      </c>
    </row>
    <row r="135" spans="1:8" x14ac:dyDescent="0.2">
      <c r="A135" s="17">
        <v>588.9</v>
      </c>
      <c r="C135" s="17">
        <v>21008.6</v>
      </c>
      <c r="E135" s="17">
        <v>20518.099999999999</v>
      </c>
      <c r="F135" s="17">
        <v>20932.900000000001</v>
      </c>
      <c r="G135" s="17">
        <v>20441.8</v>
      </c>
      <c r="H135" s="17">
        <v>21009.1</v>
      </c>
    </row>
    <row r="136" spans="1:8" x14ac:dyDescent="0.2">
      <c r="A136" s="17">
        <v>588.79999999999995</v>
      </c>
      <c r="C136" s="17">
        <v>21053.3</v>
      </c>
      <c r="E136" s="17">
        <v>20521</v>
      </c>
      <c r="F136" s="17">
        <v>20932.7</v>
      </c>
      <c r="G136" s="17">
        <v>20442.099999999999</v>
      </c>
      <c r="H136" s="17">
        <v>21011.599999999999</v>
      </c>
    </row>
    <row r="137" spans="1:8" x14ac:dyDescent="0.2">
      <c r="A137" s="17">
        <v>588.70000000000005</v>
      </c>
      <c r="C137" s="17">
        <v>20890</v>
      </c>
      <c r="E137" s="17">
        <v>20524</v>
      </c>
      <c r="F137" s="17">
        <v>20932.2</v>
      </c>
      <c r="G137" s="17">
        <v>20442.400000000001</v>
      </c>
      <c r="H137" s="17">
        <v>21013.8</v>
      </c>
    </row>
    <row r="138" spans="1:8" x14ac:dyDescent="0.2">
      <c r="A138" s="17">
        <v>588.6</v>
      </c>
      <c r="C138" s="17">
        <v>21011</v>
      </c>
      <c r="E138" s="17">
        <v>20527.099999999999</v>
      </c>
      <c r="F138" s="17">
        <v>20931.400000000001</v>
      </c>
      <c r="G138" s="17">
        <v>20442.7</v>
      </c>
      <c r="H138" s="17">
        <v>21015.7</v>
      </c>
    </row>
    <row r="139" spans="1:8" x14ac:dyDescent="0.2">
      <c r="A139" s="17">
        <v>588.5</v>
      </c>
      <c r="C139" s="17">
        <v>20858.3</v>
      </c>
      <c r="E139" s="17">
        <v>20530.2</v>
      </c>
      <c r="F139" s="17">
        <v>20930.3</v>
      </c>
      <c r="G139" s="17">
        <v>20443</v>
      </c>
      <c r="H139" s="17">
        <v>21017.5</v>
      </c>
    </row>
    <row r="140" spans="1:8" x14ac:dyDescent="0.2">
      <c r="A140" s="17">
        <v>588.4</v>
      </c>
      <c r="C140" s="17">
        <v>20884.8</v>
      </c>
      <c r="E140" s="17">
        <v>20533.5</v>
      </c>
      <c r="F140" s="17">
        <v>20928.900000000001</v>
      </c>
      <c r="G140" s="17">
        <v>20443.3</v>
      </c>
      <c r="H140" s="17">
        <v>21019.1</v>
      </c>
    </row>
    <row r="141" spans="1:8" x14ac:dyDescent="0.2">
      <c r="A141" s="17">
        <v>588.29999999999995</v>
      </c>
      <c r="C141" s="17">
        <v>21005.8</v>
      </c>
      <c r="E141" s="17">
        <v>20536.900000000001</v>
      </c>
      <c r="F141" s="17">
        <v>20927.2</v>
      </c>
      <c r="G141" s="17">
        <v>20443.5</v>
      </c>
      <c r="H141" s="17">
        <v>21020.5</v>
      </c>
    </row>
    <row r="142" spans="1:8" x14ac:dyDescent="0.2">
      <c r="A142" s="17">
        <v>588.20000000000005</v>
      </c>
      <c r="C142" s="17">
        <v>21264.1</v>
      </c>
      <c r="E142" s="17">
        <v>20540.400000000001</v>
      </c>
      <c r="F142" s="17">
        <v>20925.2</v>
      </c>
      <c r="G142" s="17">
        <v>20443.8</v>
      </c>
      <c r="H142" s="17">
        <v>21021.8</v>
      </c>
    </row>
    <row r="143" spans="1:8" x14ac:dyDescent="0.2">
      <c r="A143" s="17">
        <v>588.1</v>
      </c>
      <c r="C143" s="17">
        <v>20935.3</v>
      </c>
      <c r="E143" s="17">
        <v>20544</v>
      </c>
      <c r="F143" s="17">
        <v>20922.900000000001</v>
      </c>
      <c r="G143" s="17">
        <v>20444.099999999999</v>
      </c>
      <c r="H143" s="17">
        <v>21022.799999999999</v>
      </c>
    </row>
    <row r="144" spans="1:8" x14ac:dyDescent="0.2">
      <c r="A144" s="17">
        <v>588</v>
      </c>
      <c r="C144" s="17">
        <v>20918.599999999999</v>
      </c>
      <c r="E144" s="17">
        <v>20547.7</v>
      </c>
      <c r="F144" s="17">
        <v>20920.3</v>
      </c>
      <c r="G144" s="17">
        <v>20444.400000000001</v>
      </c>
      <c r="H144" s="17">
        <v>21023.7</v>
      </c>
    </row>
    <row r="145" spans="1:8" x14ac:dyDescent="0.2">
      <c r="A145" s="17">
        <v>587.9</v>
      </c>
      <c r="C145" s="17">
        <v>21148.799999999999</v>
      </c>
      <c r="E145" s="17">
        <v>20551.599999999999</v>
      </c>
      <c r="F145" s="17">
        <v>20917.5</v>
      </c>
      <c r="G145" s="17">
        <v>20444.7</v>
      </c>
      <c r="H145" s="17">
        <v>21024.400000000001</v>
      </c>
    </row>
    <row r="146" spans="1:8" x14ac:dyDescent="0.2">
      <c r="A146" s="17">
        <v>587.79999999999995</v>
      </c>
      <c r="C146" s="17">
        <v>20995.3</v>
      </c>
      <c r="E146" s="17">
        <v>20555.5</v>
      </c>
      <c r="F146" s="17">
        <v>20914.5</v>
      </c>
      <c r="G146" s="17">
        <v>20445</v>
      </c>
      <c r="H146" s="17">
        <v>21025</v>
      </c>
    </row>
    <row r="147" spans="1:8" x14ac:dyDescent="0.2">
      <c r="A147" s="17">
        <v>587.70000000000005</v>
      </c>
      <c r="C147" s="17">
        <v>20765.400000000001</v>
      </c>
      <c r="E147" s="17">
        <v>20559.599999999999</v>
      </c>
      <c r="F147" s="17">
        <v>20911.099999999999</v>
      </c>
      <c r="G147" s="17">
        <v>20445.3</v>
      </c>
      <c r="H147" s="17">
        <v>21025.4</v>
      </c>
    </row>
    <row r="148" spans="1:8" x14ac:dyDescent="0.2">
      <c r="A148" s="17">
        <v>587.6</v>
      </c>
      <c r="C148" s="17">
        <v>20995.4</v>
      </c>
      <c r="E148" s="17">
        <v>20563.7</v>
      </c>
      <c r="F148" s="17">
        <v>20907.599999999999</v>
      </c>
      <c r="G148" s="17">
        <v>20445.5</v>
      </c>
      <c r="H148" s="17">
        <v>21025.8</v>
      </c>
    </row>
    <row r="149" spans="1:8" x14ac:dyDescent="0.2">
      <c r="A149" s="17">
        <v>587.5</v>
      </c>
      <c r="C149" s="17">
        <v>21064.400000000001</v>
      </c>
      <c r="E149" s="17">
        <v>20568</v>
      </c>
      <c r="F149" s="17">
        <v>20903.8</v>
      </c>
      <c r="G149" s="17">
        <v>20445.8</v>
      </c>
      <c r="H149" s="17">
        <v>21026</v>
      </c>
    </row>
    <row r="150" spans="1:8" x14ac:dyDescent="0.2">
      <c r="A150" s="17">
        <v>587.4</v>
      </c>
      <c r="C150" s="17">
        <v>20960.5</v>
      </c>
      <c r="E150" s="17">
        <v>20572.400000000001</v>
      </c>
      <c r="F150" s="17">
        <v>20899.8</v>
      </c>
      <c r="G150" s="17">
        <v>20446.099999999999</v>
      </c>
      <c r="H150" s="17">
        <v>21026.1</v>
      </c>
    </row>
    <row r="151" spans="1:8" x14ac:dyDescent="0.2">
      <c r="A151" s="17">
        <v>587.29999999999995</v>
      </c>
      <c r="C151" s="17">
        <v>21128.9</v>
      </c>
      <c r="E151" s="17">
        <v>20576.900000000001</v>
      </c>
      <c r="F151" s="17">
        <v>20895.5</v>
      </c>
      <c r="G151" s="17">
        <v>20446.400000000001</v>
      </c>
      <c r="H151" s="17">
        <v>21026.1</v>
      </c>
    </row>
    <row r="152" spans="1:8" x14ac:dyDescent="0.2">
      <c r="A152" s="17">
        <v>587.20000000000005</v>
      </c>
      <c r="C152" s="17">
        <v>20845.7</v>
      </c>
      <c r="E152" s="17">
        <v>20581.599999999999</v>
      </c>
      <c r="F152" s="17">
        <v>20891.099999999999</v>
      </c>
      <c r="G152" s="17">
        <v>20446.7</v>
      </c>
      <c r="H152" s="17">
        <v>21026</v>
      </c>
    </row>
    <row r="153" spans="1:8" x14ac:dyDescent="0.2">
      <c r="A153" s="17">
        <v>587.1</v>
      </c>
      <c r="C153" s="17">
        <v>21088.2</v>
      </c>
      <c r="E153" s="17">
        <v>20586.400000000001</v>
      </c>
      <c r="F153" s="17">
        <v>20886.5</v>
      </c>
      <c r="G153" s="17">
        <v>20447</v>
      </c>
      <c r="H153" s="17">
        <v>21025.9</v>
      </c>
    </row>
    <row r="154" spans="1:8" x14ac:dyDescent="0.2">
      <c r="A154" s="17">
        <v>587</v>
      </c>
      <c r="C154" s="17">
        <v>21100.6</v>
      </c>
      <c r="E154" s="17">
        <v>20591.2</v>
      </c>
      <c r="F154" s="17">
        <v>20881.7</v>
      </c>
      <c r="G154" s="17">
        <v>20447.2</v>
      </c>
      <c r="H154" s="17">
        <v>21025.7</v>
      </c>
    </row>
    <row r="155" spans="1:8" x14ac:dyDescent="0.2">
      <c r="A155" s="17">
        <v>586.9</v>
      </c>
      <c r="C155" s="17">
        <v>20915.099999999999</v>
      </c>
      <c r="E155" s="17">
        <v>20596.3</v>
      </c>
      <c r="F155" s="17">
        <v>20876.7</v>
      </c>
      <c r="G155" s="17">
        <v>20447.5</v>
      </c>
      <c r="H155" s="17">
        <v>21025.4</v>
      </c>
    </row>
    <row r="156" spans="1:8" x14ac:dyDescent="0.2">
      <c r="A156" s="17">
        <v>586.79999999999995</v>
      </c>
      <c r="C156" s="17">
        <v>20997.4</v>
      </c>
      <c r="E156" s="17">
        <v>20601.400000000001</v>
      </c>
      <c r="F156" s="17">
        <v>20871.5</v>
      </c>
      <c r="G156" s="17">
        <v>20447.8</v>
      </c>
      <c r="H156" s="17">
        <v>21025.1</v>
      </c>
    </row>
    <row r="157" spans="1:8" x14ac:dyDescent="0.2">
      <c r="A157" s="17">
        <v>586.70000000000005</v>
      </c>
      <c r="C157" s="17">
        <v>20922.7</v>
      </c>
      <c r="E157" s="17">
        <v>20606.7</v>
      </c>
      <c r="F157" s="17">
        <v>20866.2</v>
      </c>
      <c r="G157" s="17">
        <v>20448.099999999999</v>
      </c>
      <c r="H157" s="17">
        <v>21024.799999999999</v>
      </c>
    </row>
    <row r="158" spans="1:8" x14ac:dyDescent="0.2">
      <c r="A158" s="17">
        <v>586.6</v>
      </c>
      <c r="C158" s="17">
        <v>21098.5</v>
      </c>
      <c r="E158" s="17">
        <v>20612</v>
      </c>
      <c r="F158" s="17">
        <v>20860.8</v>
      </c>
      <c r="G158" s="17">
        <v>20448.400000000001</v>
      </c>
      <c r="H158" s="17">
        <v>21024.5</v>
      </c>
    </row>
    <row r="159" spans="1:8" x14ac:dyDescent="0.2">
      <c r="A159" s="17">
        <v>586.5</v>
      </c>
      <c r="C159" s="17">
        <v>21137.200000000001</v>
      </c>
      <c r="E159" s="17">
        <v>20617.599999999999</v>
      </c>
      <c r="F159" s="17">
        <v>20855.3</v>
      </c>
      <c r="G159" s="17">
        <v>20448.7</v>
      </c>
      <c r="H159" s="17">
        <v>21024.2</v>
      </c>
    </row>
    <row r="160" spans="1:8" x14ac:dyDescent="0.2">
      <c r="A160" s="17">
        <v>586.4</v>
      </c>
      <c r="C160" s="17">
        <v>20993.9</v>
      </c>
      <c r="E160" s="17">
        <v>20623.2</v>
      </c>
      <c r="F160" s="17">
        <v>20849.599999999999</v>
      </c>
      <c r="G160" s="17">
        <v>20448.900000000001</v>
      </c>
      <c r="H160" s="17">
        <v>21023.8</v>
      </c>
    </row>
    <row r="161" spans="1:8" x14ac:dyDescent="0.2">
      <c r="A161" s="17">
        <v>586.29999999999995</v>
      </c>
      <c r="C161" s="17">
        <v>21193.7</v>
      </c>
      <c r="E161" s="17">
        <v>20629</v>
      </c>
      <c r="F161" s="17">
        <v>20843.8</v>
      </c>
      <c r="G161" s="17">
        <v>20449.2</v>
      </c>
      <c r="H161" s="17">
        <v>21023.5</v>
      </c>
    </row>
    <row r="162" spans="1:8" x14ac:dyDescent="0.2">
      <c r="A162" s="17">
        <v>586.20000000000005</v>
      </c>
      <c r="C162" s="17">
        <v>20826.099999999999</v>
      </c>
      <c r="E162" s="17">
        <v>20634.8</v>
      </c>
      <c r="F162" s="17">
        <v>20837.900000000001</v>
      </c>
      <c r="G162" s="17">
        <v>20449.5</v>
      </c>
      <c r="H162" s="17">
        <v>21023.200000000001</v>
      </c>
    </row>
    <row r="163" spans="1:8" x14ac:dyDescent="0.2">
      <c r="A163" s="17">
        <v>586.1</v>
      </c>
      <c r="C163" s="17">
        <v>21124.9</v>
      </c>
      <c r="E163" s="17">
        <v>20640.8</v>
      </c>
      <c r="F163" s="17">
        <v>20831.900000000001</v>
      </c>
      <c r="G163" s="17">
        <v>20449.8</v>
      </c>
      <c r="H163" s="17">
        <v>21023</v>
      </c>
    </row>
    <row r="164" spans="1:8" x14ac:dyDescent="0.2">
      <c r="A164" s="17">
        <v>586</v>
      </c>
      <c r="C164" s="17">
        <v>21280.5</v>
      </c>
      <c r="E164" s="17">
        <v>20647</v>
      </c>
      <c r="F164" s="17">
        <v>20825.900000000001</v>
      </c>
      <c r="G164" s="17">
        <v>20450.099999999999</v>
      </c>
      <c r="H164" s="17">
        <v>21022.799999999999</v>
      </c>
    </row>
    <row r="165" spans="1:8" x14ac:dyDescent="0.2">
      <c r="A165" s="17">
        <v>585.9</v>
      </c>
      <c r="C165" s="17">
        <v>21355.3</v>
      </c>
      <c r="E165" s="17">
        <v>20653.2</v>
      </c>
      <c r="F165" s="17">
        <v>20819.8</v>
      </c>
      <c r="G165" s="17">
        <v>20450.400000000001</v>
      </c>
      <c r="H165" s="17">
        <v>21022.6</v>
      </c>
    </row>
    <row r="166" spans="1:8" x14ac:dyDescent="0.2">
      <c r="A166" s="17">
        <v>585.79999999999995</v>
      </c>
      <c r="C166" s="17">
        <v>21060.2</v>
      </c>
      <c r="E166" s="17">
        <v>20659.599999999999</v>
      </c>
      <c r="F166" s="17">
        <v>20813.599999999999</v>
      </c>
      <c r="G166" s="17">
        <v>20450.599999999999</v>
      </c>
      <c r="H166" s="17">
        <v>21022.5</v>
      </c>
    </row>
    <row r="167" spans="1:8" x14ac:dyDescent="0.2">
      <c r="A167" s="17">
        <v>585.70000000000005</v>
      </c>
      <c r="C167" s="17">
        <v>20715.7</v>
      </c>
      <c r="E167" s="17">
        <v>20666.099999999999</v>
      </c>
      <c r="F167" s="17">
        <v>20807.3</v>
      </c>
      <c r="G167" s="17">
        <v>20450.900000000001</v>
      </c>
      <c r="H167" s="17">
        <v>21022.5</v>
      </c>
    </row>
    <row r="168" spans="1:8" x14ac:dyDescent="0.2">
      <c r="A168" s="17">
        <v>585.6</v>
      </c>
      <c r="C168" s="17">
        <v>21105.599999999999</v>
      </c>
      <c r="E168" s="17">
        <v>20672.7</v>
      </c>
      <c r="F168" s="17">
        <v>20801</v>
      </c>
      <c r="G168" s="17">
        <v>20451.2</v>
      </c>
      <c r="H168" s="17">
        <v>21022.5</v>
      </c>
    </row>
    <row r="169" spans="1:8" x14ac:dyDescent="0.2">
      <c r="A169" s="17">
        <v>585.5</v>
      </c>
      <c r="C169" s="17">
        <v>21032.1</v>
      </c>
      <c r="E169" s="17">
        <v>20679.400000000001</v>
      </c>
      <c r="F169" s="17">
        <v>20794.7</v>
      </c>
      <c r="G169" s="17">
        <v>20451.5</v>
      </c>
      <c r="H169" s="17">
        <v>21022.6</v>
      </c>
    </row>
    <row r="170" spans="1:8" x14ac:dyDescent="0.2">
      <c r="A170" s="17">
        <v>585.4</v>
      </c>
      <c r="C170" s="17">
        <v>21306.1</v>
      </c>
      <c r="E170" s="17">
        <v>20686.2</v>
      </c>
      <c r="F170" s="17">
        <v>20788.400000000001</v>
      </c>
      <c r="G170" s="17">
        <v>20451.8</v>
      </c>
      <c r="H170" s="17">
        <v>21022.799999999999</v>
      </c>
    </row>
    <row r="171" spans="1:8" x14ac:dyDescent="0.2">
      <c r="A171" s="17">
        <v>585.29999999999995</v>
      </c>
      <c r="C171" s="17">
        <v>20847</v>
      </c>
      <c r="E171" s="17">
        <v>20693.099999999999</v>
      </c>
      <c r="F171" s="17">
        <v>20782</v>
      </c>
      <c r="G171" s="17">
        <v>20452.099999999999</v>
      </c>
      <c r="H171" s="17">
        <v>21023.1</v>
      </c>
    </row>
    <row r="172" spans="1:8" x14ac:dyDescent="0.2">
      <c r="A172" s="17">
        <v>585.20000000000005</v>
      </c>
      <c r="C172" s="17">
        <v>21015.7</v>
      </c>
      <c r="E172" s="17">
        <v>20700.2</v>
      </c>
      <c r="F172" s="17">
        <v>20775.7</v>
      </c>
      <c r="G172" s="17">
        <v>20452.3</v>
      </c>
      <c r="H172" s="17">
        <v>21023.5</v>
      </c>
    </row>
    <row r="173" spans="1:8" x14ac:dyDescent="0.2">
      <c r="A173" s="17">
        <v>585.1</v>
      </c>
      <c r="C173" s="17">
        <v>21103.7</v>
      </c>
      <c r="E173" s="17">
        <v>20707.3</v>
      </c>
      <c r="F173" s="17">
        <v>20769.3</v>
      </c>
      <c r="G173" s="17">
        <v>20452.599999999999</v>
      </c>
      <c r="H173" s="17">
        <v>21024</v>
      </c>
    </row>
    <row r="174" spans="1:8" x14ac:dyDescent="0.2">
      <c r="A174" s="17">
        <v>585</v>
      </c>
      <c r="C174" s="17">
        <v>20847.599999999999</v>
      </c>
      <c r="E174" s="17">
        <v>20714.5</v>
      </c>
      <c r="F174" s="17">
        <v>20762.900000000001</v>
      </c>
      <c r="G174" s="17">
        <v>20452.900000000001</v>
      </c>
      <c r="H174" s="17">
        <v>21024.5</v>
      </c>
    </row>
    <row r="175" spans="1:8" x14ac:dyDescent="0.2">
      <c r="A175" s="17">
        <v>584.9</v>
      </c>
      <c r="C175" s="17">
        <v>21034.6</v>
      </c>
      <c r="E175" s="17">
        <v>20721.900000000001</v>
      </c>
      <c r="F175" s="17">
        <v>20756.599999999999</v>
      </c>
      <c r="G175" s="17">
        <v>20453.2</v>
      </c>
      <c r="H175" s="17">
        <v>21025.200000000001</v>
      </c>
    </row>
    <row r="176" spans="1:8" x14ac:dyDescent="0.2">
      <c r="A176" s="17">
        <v>584.79999999999995</v>
      </c>
      <c r="C176" s="17">
        <v>21107.3</v>
      </c>
      <c r="E176" s="17">
        <v>20729.3</v>
      </c>
      <c r="F176" s="17">
        <v>20750.2</v>
      </c>
      <c r="G176" s="17">
        <v>20453.5</v>
      </c>
      <c r="H176" s="17">
        <v>21026</v>
      </c>
    </row>
    <row r="177" spans="1:8" x14ac:dyDescent="0.2">
      <c r="A177" s="17">
        <v>584.70000000000005</v>
      </c>
      <c r="C177" s="17">
        <v>20876.400000000001</v>
      </c>
      <c r="E177" s="17">
        <v>20736.8</v>
      </c>
      <c r="F177" s="17">
        <v>20743.900000000001</v>
      </c>
      <c r="G177" s="17">
        <v>20453.8</v>
      </c>
      <c r="H177" s="17">
        <v>21026.9</v>
      </c>
    </row>
    <row r="178" spans="1:8" x14ac:dyDescent="0.2">
      <c r="A178" s="17">
        <v>584.6</v>
      </c>
      <c r="C178" s="17">
        <v>21039.5</v>
      </c>
      <c r="E178" s="17">
        <v>20744.400000000001</v>
      </c>
      <c r="F178" s="17">
        <v>20737.599999999999</v>
      </c>
      <c r="G178" s="17">
        <v>20454</v>
      </c>
      <c r="H178" s="17">
        <v>21027.9</v>
      </c>
    </row>
    <row r="179" spans="1:8" x14ac:dyDescent="0.2">
      <c r="A179" s="17">
        <v>584.5</v>
      </c>
      <c r="C179" s="17">
        <v>20778.7</v>
      </c>
      <c r="E179" s="17">
        <v>20752</v>
      </c>
      <c r="F179" s="17">
        <v>20731.400000000001</v>
      </c>
      <c r="G179" s="17">
        <v>20454.3</v>
      </c>
      <c r="H179" s="17">
        <v>21029.1</v>
      </c>
    </row>
    <row r="180" spans="1:8" x14ac:dyDescent="0.2">
      <c r="A180" s="17">
        <v>584.4</v>
      </c>
      <c r="C180" s="17">
        <v>20877.900000000001</v>
      </c>
      <c r="E180" s="17">
        <v>20759.8</v>
      </c>
      <c r="F180" s="17">
        <v>20725.2</v>
      </c>
      <c r="G180" s="17">
        <v>20454.599999999999</v>
      </c>
      <c r="H180" s="17">
        <v>21030.3</v>
      </c>
    </row>
    <row r="181" spans="1:8" x14ac:dyDescent="0.2">
      <c r="A181" s="17">
        <v>584.29999999999995</v>
      </c>
      <c r="C181" s="17">
        <v>20992.5</v>
      </c>
      <c r="E181" s="17">
        <v>20767.5</v>
      </c>
      <c r="F181" s="17">
        <v>20719</v>
      </c>
      <c r="G181" s="17">
        <v>20454.900000000001</v>
      </c>
      <c r="H181" s="17">
        <v>21031.7</v>
      </c>
    </row>
    <row r="182" spans="1:8" x14ac:dyDescent="0.2">
      <c r="A182" s="17">
        <v>584.20000000000005</v>
      </c>
      <c r="C182" s="17">
        <v>21196.2</v>
      </c>
      <c r="E182" s="17">
        <v>20775.400000000001</v>
      </c>
      <c r="F182" s="17">
        <v>20712.900000000001</v>
      </c>
      <c r="G182" s="17">
        <v>20455.2</v>
      </c>
      <c r="H182" s="17">
        <v>21033.1</v>
      </c>
    </row>
    <row r="183" spans="1:8" x14ac:dyDescent="0.2">
      <c r="A183" s="17">
        <v>584.1</v>
      </c>
      <c r="C183" s="17">
        <v>21050.6</v>
      </c>
      <c r="E183" s="17">
        <v>20783.3</v>
      </c>
      <c r="F183" s="17">
        <v>20706.900000000001</v>
      </c>
      <c r="G183" s="17">
        <v>20455.5</v>
      </c>
      <c r="H183" s="17">
        <v>21034.7</v>
      </c>
    </row>
    <row r="184" spans="1:8" x14ac:dyDescent="0.2">
      <c r="A184" s="17">
        <v>584</v>
      </c>
      <c r="C184" s="17">
        <v>20992.799999999999</v>
      </c>
      <c r="E184" s="17">
        <v>20791.3</v>
      </c>
      <c r="F184" s="17">
        <v>20700.900000000001</v>
      </c>
      <c r="G184" s="17">
        <v>20455.8</v>
      </c>
      <c r="H184" s="17">
        <v>21036.400000000001</v>
      </c>
    </row>
    <row r="185" spans="1:8" x14ac:dyDescent="0.2">
      <c r="A185" s="17">
        <v>583.9</v>
      </c>
      <c r="C185" s="17">
        <v>20998.5</v>
      </c>
      <c r="E185" s="17">
        <v>20799.3</v>
      </c>
      <c r="F185" s="17">
        <v>20695</v>
      </c>
      <c r="G185" s="17">
        <v>20456</v>
      </c>
      <c r="H185" s="17">
        <v>21038.2</v>
      </c>
    </row>
    <row r="186" spans="1:8" x14ac:dyDescent="0.2">
      <c r="A186" s="17">
        <v>583.79999999999995</v>
      </c>
      <c r="C186" s="17">
        <v>21002.9</v>
      </c>
      <c r="E186" s="17">
        <v>20807.3</v>
      </c>
      <c r="F186" s="17">
        <v>20689.099999999999</v>
      </c>
      <c r="G186" s="17">
        <v>20456.3</v>
      </c>
      <c r="H186" s="17">
        <v>21040.1</v>
      </c>
    </row>
    <row r="187" spans="1:8" x14ac:dyDescent="0.2">
      <c r="A187" s="17">
        <v>583.70000000000005</v>
      </c>
      <c r="C187" s="17">
        <v>21166.3</v>
      </c>
      <c r="E187" s="17">
        <v>20815.3</v>
      </c>
      <c r="F187" s="17">
        <v>20683.400000000001</v>
      </c>
      <c r="G187" s="17">
        <v>20456.599999999999</v>
      </c>
      <c r="H187" s="17">
        <v>21042.1</v>
      </c>
    </row>
    <row r="188" spans="1:8" x14ac:dyDescent="0.2">
      <c r="A188" s="17">
        <v>583.6</v>
      </c>
      <c r="C188" s="17">
        <v>21243.3</v>
      </c>
      <c r="E188" s="17">
        <v>20823.400000000001</v>
      </c>
      <c r="F188" s="17">
        <v>20677.7</v>
      </c>
      <c r="G188" s="17">
        <v>20456.900000000001</v>
      </c>
      <c r="H188" s="17">
        <v>21044.2</v>
      </c>
    </row>
    <row r="189" spans="1:8" x14ac:dyDescent="0.2">
      <c r="A189" s="17">
        <v>583.5</v>
      </c>
      <c r="C189" s="17">
        <v>21132.400000000001</v>
      </c>
      <c r="E189" s="17">
        <v>20831.5</v>
      </c>
      <c r="F189" s="17">
        <v>20672</v>
      </c>
      <c r="G189" s="17">
        <v>20457.2</v>
      </c>
      <c r="H189" s="17">
        <v>21046.400000000001</v>
      </c>
    </row>
    <row r="190" spans="1:8" x14ac:dyDescent="0.2">
      <c r="A190" s="17">
        <v>583.4</v>
      </c>
      <c r="C190" s="17">
        <v>20966.400000000001</v>
      </c>
      <c r="E190" s="17">
        <v>20839.599999999999</v>
      </c>
      <c r="F190" s="17">
        <v>20666.5</v>
      </c>
      <c r="G190" s="17">
        <v>20457.5</v>
      </c>
      <c r="H190" s="17">
        <v>21048.6</v>
      </c>
    </row>
    <row r="191" spans="1:8" x14ac:dyDescent="0.2">
      <c r="A191" s="17">
        <v>583.29999999999995</v>
      </c>
      <c r="C191" s="17">
        <v>21090.400000000001</v>
      </c>
      <c r="E191" s="17">
        <v>20847.599999999999</v>
      </c>
      <c r="F191" s="17">
        <v>20661.099999999999</v>
      </c>
      <c r="G191" s="17">
        <v>20457.7</v>
      </c>
      <c r="H191" s="17">
        <v>21051</v>
      </c>
    </row>
    <row r="192" spans="1:8" x14ac:dyDescent="0.2">
      <c r="A192" s="17">
        <v>583.20000000000005</v>
      </c>
      <c r="C192" s="17">
        <v>21121.1</v>
      </c>
      <c r="E192" s="17">
        <v>20855.7</v>
      </c>
      <c r="F192" s="17">
        <v>20655.7</v>
      </c>
      <c r="G192" s="17">
        <v>20458</v>
      </c>
      <c r="H192" s="17">
        <v>21053.4</v>
      </c>
    </row>
    <row r="193" spans="1:8" x14ac:dyDescent="0.2">
      <c r="A193" s="17">
        <v>583.1</v>
      </c>
      <c r="C193" s="17">
        <v>20927.400000000001</v>
      </c>
      <c r="E193" s="17">
        <v>20863.7</v>
      </c>
      <c r="F193" s="17">
        <v>20650.5</v>
      </c>
      <c r="G193" s="17">
        <v>20458.3</v>
      </c>
      <c r="H193" s="17">
        <v>21055.9</v>
      </c>
    </row>
    <row r="194" spans="1:8" x14ac:dyDescent="0.2">
      <c r="A194" s="17">
        <v>583</v>
      </c>
      <c r="C194" s="17">
        <v>21144.1</v>
      </c>
      <c r="E194" s="17">
        <v>20871.7</v>
      </c>
      <c r="F194" s="17">
        <v>20645.3</v>
      </c>
      <c r="G194" s="17">
        <v>20458.599999999999</v>
      </c>
      <c r="H194" s="17">
        <v>21058.400000000001</v>
      </c>
    </row>
    <row r="195" spans="1:8" x14ac:dyDescent="0.2">
      <c r="A195" s="17">
        <v>582.9</v>
      </c>
      <c r="C195" s="17">
        <v>20925.3</v>
      </c>
      <c r="E195" s="17">
        <v>20879.7</v>
      </c>
      <c r="F195" s="17">
        <v>20640.2</v>
      </c>
      <c r="G195" s="17">
        <v>20458.900000000001</v>
      </c>
      <c r="H195" s="17">
        <v>21061</v>
      </c>
    </row>
    <row r="196" spans="1:8" x14ac:dyDescent="0.2">
      <c r="A196" s="17">
        <v>582.79999999999995</v>
      </c>
      <c r="C196" s="17">
        <v>21232</v>
      </c>
      <c r="E196" s="17">
        <v>20887.599999999999</v>
      </c>
      <c r="F196" s="17">
        <v>20635.3</v>
      </c>
      <c r="G196" s="17">
        <v>20459.2</v>
      </c>
      <c r="H196" s="17">
        <v>21063.7</v>
      </c>
    </row>
    <row r="197" spans="1:8" x14ac:dyDescent="0.2">
      <c r="A197" s="17">
        <v>582.70000000000005</v>
      </c>
      <c r="C197" s="17">
        <v>21149.9</v>
      </c>
      <c r="E197" s="17">
        <v>20895.400000000001</v>
      </c>
      <c r="F197" s="17">
        <v>20630.400000000001</v>
      </c>
      <c r="G197" s="17">
        <v>20459.400000000001</v>
      </c>
      <c r="H197" s="17">
        <v>21066.400000000001</v>
      </c>
    </row>
    <row r="198" spans="1:8" x14ac:dyDescent="0.2">
      <c r="A198" s="17">
        <v>582.6</v>
      </c>
      <c r="C198" s="17">
        <v>20804.5</v>
      </c>
      <c r="E198" s="17">
        <v>20903.2</v>
      </c>
      <c r="F198" s="17">
        <v>20625.599999999999</v>
      </c>
      <c r="G198" s="17">
        <v>20459.7</v>
      </c>
      <c r="H198" s="17">
        <v>21069.1</v>
      </c>
    </row>
    <row r="199" spans="1:8" x14ac:dyDescent="0.2">
      <c r="A199" s="17">
        <v>582.5</v>
      </c>
      <c r="C199" s="17">
        <v>20901.900000000001</v>
      </c>
      <c r="E199" s="17">
        <v>20910.8</v>
      </c>
      <c r="F199" s="17">
        <v>20621</v>
      </c>
      <c r="G199" s="17">
        <v>20460</v>
      </c>
      <c r="H199" s="17">
        <v>21071.8</v>
      </c>
    </row>
    <row r="200" spans="1:8" x14ac:dyDescent="0.2">
      <c r="A200" s="17">
        <v>582.4</v>
      </c>
      <c r="C200" s="17">
        <v>21229.8</v>
      </c>
      <c r="E200" s="17">
        <v>20918.400000000001</v>
      </c>
      <c r="F200" s="17">
        <v>20616.400000000001</v>
      </c>
      <c r="G200" s="17">
        <v>20460.3</v>
      </c>
      <c r="H200" s="17">
        <v>21074.5</v>
      </c>
    </row>
    <row r="201" spans="1:8" x14ac:dyDescent="0.2">
      <c r="A201" s="17">
        <v>582.29999999999995</v>
      </c>
      <c r="C201" s="17">
        <v>21098.7</v>
      </c>
      <c r="E201" s="17">
        <v>20925.900000000001</v>
      </c>
      <c r="F201" s="17">
        <v>20612</v>
      </c>
      <c r="G201" s="17">
        <v>20460.599999999999</v>
      </c>
      <c r="H201" s="17">
        <v>21077.3</v>
      </c>
    </row>
    <row r="202" spans="1:8" x14ac:dyDescent="0.2">
      <c r="A202" s="17">
        <v>582.20000000000005</v>
      </c>
      <c r="C202" s="17">
        <v>20964.3</v>
      </c>
      <c r="E202" s="17">
        <v>20933.2</v>
      </c>
      <c r="F202" s="17">
        <v>20607.599999999999</v>
      </c>
      <c r="G202" s="17">
        <v>20460.900000000001</v>
      </c>
      <c r="H202" s="17">
        <v>21080</v>
      </c>
    </row>
    <row r="203" spans="1:8" x14ac:dyDescent="0.2">
      <c r="A203" s="17">
        <v>582.1</v>
      </c>
      <c r="C203" s="17">
        <v>21237.4</v>
      </c>
      <c r="E203" s="17">
        <v>20940.400000000001</v>
      </c>
      <c r="F203" s="17">
        <v>20603.400000000001</v>
      </c>
      <c r="G203" s="17">
        <v>20461.099999999999</v>
      </c>
      <c r="H203" s="17">
        <v>21082.7</v>
      </c>
    </row>
    <row r="204" spans="1:8" x14ac:dyDescent="0.2">
      <c r="A204" s="17">
        <v>582</v>
      </c>
      <c r="C204" s="17">
        <v>20912.900000000001</v>
      </c>
      <c r="E204" s="17">
        <v>20947.5</v>
      </c>
      <c r="F204" s="17">
        <v>20599.3</v>
      </c>
      <c r="G204" s="17">
        <v>20461.400000000001</v>
      </c>
      <c r="H204" s="17">
        <v>21085.3</v>
      </c>
    </row>
    <row r="205" spans="1:8" x14ac:dyDescent="0.2">
      <c r="A205" s="17">
        <v>581.9</v>
      </c>
      <c r="C205" s="17">
        <v>21106.1</v>
      </c>
      <c r="E205" s="17">
        <v>20954.400000000001</v>
      </c>
      <c r="F205" s="17">
        <v>20595.2</v>
      </c>
      <c r="G205" s="17">
        <v>20461.7</v>
      </c>
      <c r="H205" s="17">
        <v>21087.9</v>
      </c>
    </row>
    <row r="206" spans="1:8" x14ac:dyDescent="0.2">
      <c r="A206" s="17">
        <v>581.79999999999995</v>
      </c>
      <c r="C206" s="17">
        <v>21339</v>
      </c>
      <c r="E206" s="17">
        <v>20961.099999999999</v>
      </c>
      <c r="F206" s="17">
        <v>20591.3</v>
      </c>
      <c r="G206" s="17">
        <v>20462</v>
      </c>
      <c r="H206" s="17">
        <v>21090.5</v>
      </c>
    </row>
    <row r="207" spans="1:8" x14ac:dyDescent="0.2">
      <c r="A207" s="17">
        <v>581.70000000000005</v>
      </c>
      <c r="C207" s="17">
        <v>21180.2</v>
      </c>
      <c r="E207" s="17">
        <v>20967.7</v>
      </c>
      <c r="F207" s="17">
        <v>20587.5</v>
      </c>
      <c r="G207" s="17">
        <v>20462.3</v>
      </c>
      <c r="H207" s="17">
        <v>21092.9</v>
      </c>
    </row>
    <row r="208" spans="1:8" x14ac:dyDescent="0.2">
      <c r="A208" s="17">
        <v>581.6</v>
      </c>
      <c r="C208" s="17">
        <v>21227.7</v>
      </c>
      <c r="E208" s="17">
        <v>20974.1</v>
      </c>
      <c r="F208" s="17">
        <v>20583.8</v>
      </c>
      <c r="G208" s="17">
        <v>20462.599999999999</v>
      </c>
      <c r="H208" s="17">
        <v>21095.3</v>
      </c>
    </row>
    <row r="209" spans="1:8" x14ac:dyDescent="0.2">
      <c r="A209" s="17">
        <v>581.5</v>
      </c>
      <c r="C209" s="17">
        <v>21136.3</v>
      </c>
      <c r="E209" s="17">
        <v>20980.2</v>
      </c>
      <c r="F209" s="17">
        <v>20580.2</v>
      </c>
      <c r="G209" s="17">
        <v>20462.8</v>
      </c>
      <c r="H209" s="17">
        <v>21097.599999999999</v>
      </c>
    </row>
    <row r="210" spans="1:8" x14ac:dyDescent="0.2">
      <c r="A210" s="17">
        <v>581.4</v>
      </c>
      <c r="C210" s="17">
        <v>21105.1</v>
      </c>
      <c r="E210" s="17">
        <v>20986.2</v>
      </c>
      <c r="F210" s="17">
        <v>20576.7</v>
      </c>
      <c r="G210" s="17">
        <v>20463.099999999999</v>
      </c>
      <c r="H210" s="17">
        <v>21099.7</v>
      </c>
    </row>
    <row r="211" spans="1:8" x14ac:dyDescent="0.2">
      <c r="A211" s="17">
        <v>581.29999999999995</v>
      </c>
      <c r="C211" s="17">
        <v>21316.6</v>
      </c>
      <c r="E211" s="17">
        <v>20991.9</v>
      </c>
      <c r="F211" s="17">
        <v>20573.3</v>
      </c>
      <c r="G211" s="17">
        <v>20463.400000000001</v>
      </c>
      <c r="H211" s="17">
        <v>21101.7</v>
      </c>
    </row>
    <row r="212" spans="1:8" x14ac:dyDescent="0.2">
      <c r="A212" s="17">
        <v>581.20000000000005</v>
      </c>
      <c r="C212" s="17">
        <v>20995.4</v>
      </c>
      <c r="E212" s="17">
        <v>20997.3</v>
      </c>
      <c r="F212" s="17">
        <v>20570</v>
      </c>
      <c r="G212" s="17">
        <v>20463.7</v>
      </c>
      <c r="H212" s="17">
        <v>21103.599999999999</v>
      </c>
    </row>
    <row r="213" spans="1:8" x14ac:dyDescent="0.2">
      <c r="A213" s="17">
        <v>581.1</v>
      </c>
      <c r="C213" s="17">
        <v>21080.1</v>
      </c>
      <c r="E213" s="17">
        <v>21002.6</v>
      </c>
      <c r="F213" s="17">
        <v>20566.8</v>
      </c>
      <c r="G213" s="17">
        <v>20464</v>
      </c>
      <c r="H213" s="17">
        <v>21105.4</v>
      </c>
    </row>
    <row r="214" spans="1:8" x14ac:dyDescent="0.2">
      <c r="A214" s="17">
        <v>581</v>
      </c>
      <c r="C214" s="17">
        <v>20945.7</v>
      </c>
      <c r="E214" s="17">
        <v>21007.5</v>
      </c>
      <c r="F214" s="17">
        <v>20563.7</v>
      </c>
      <c r="G214" s="17">
        <v>20464.3</v>
      </c>
      <c r="H214" s="17">
        <v>21107</v>
      </c>
    </row>
    <row r="215" spans="1:8" x14ac:dyDescent="0.2">
      <c r="A215" s="17">
        <v>580.9</v>
      </c>
      <c r="C215" s="17">
        <v>21207.1</v>
      </c>
      <c r="E215" s="17">
        <v>21012.2</v>
      </c>
      <c r="F215" s="17">
        <v>20560.7</v>
      </c>
      <c r="G215" s="17">
        <v>20464.5</v>
      </c>
      <c r="H215" s="17">
        <v>21108.400000000001</v>
      </c>
    </row>
    <row r="216" spans="1:8" x14ac:dyDescent="0.2">
      <c r="A216" s="17">
        <v>580.79999999999995</v>
      </c>
      <c r="C216" s="17">
        <v>21081.4</v>
      </c>
      <c r="E216" s="17">
        <v>21016.6</v>
      </c>
      <c r="F216" s="17">
        <v>20557.8</v>
      </c>
      <c r="G216" s="17">
        <v>20464.8</v>
      </c>
      <c r="H216" s="17">
        <v>21109.599999999999</v>
      </c>
    </row>
    <row r="217" spans="1:8" x14ac:dyDescent="0.2">
      <c r="A217" s="17">
        <v>580.70000000000005</v>
      </c>
      <c r="C217" s="17">
        <v>21189.5</v>
      </c>
      <c r="E217" s="17">
        <v>21020.6</v>
      </c>
      <c r="F217" s="17">
        <v>20555</v>
      </c>
      <c r="G217" s="17">
        <v>20465.099999999999</v>
      </c>
      <c r="H217" s="17">
        <v>21110.6</v>
      </c>
    </row>
    <row r="218" spans="1:8" x14ac:dyDescent="0.2">
      <c r="A218" s="17">
        <v>580.6</v>
      </c>
      <c r="C218" s="17">
        <v>21256</v>
      </c>
      <c r="E218" s="17">
        <v>21024.400000000001</v>
      </c>
      <c r="F218" s="17">
        <v>20552.3</v>
      </c>
      <c r="G218" s="17">
        <v>20465.400000000001</v>
      </c>
      <c r="H218" s="17">
        <v>21111.4</v>
      </c>
    </row>
    <row r="219" spans="1:8" x14ac:dyDescent="0.2">
      <c r="A219" s="17">
        <v>580.5</v>
      </c>
      <c r="C219" s="17">
        <v>20944.3</v>
      </c>
      <c r="E219" s="17">
        <v>21027.9</v>
      </c>
      <c r="F219" s="17">
        <v>20549.7</v>
      </c>
      <c r="G219" s="17">
        <v>20465.7</v>
      </c>
      <c r="H219" s="17">
        <v>21111.9</v>
      </c>
    </row>
    <row r="220" spans="1:8" x14ac:dyDescent="0.2">
      <c r="A220" s="17">
        <v>580.4</v>
      </c>
      <c r="C220" s="17">
        <v>21177.4</v>
      </c>
      <c r="E220" s="17">
        <v>21031</v>
      </c>
      <c r="F220" s="17">
        <v>20547.2</v>
      </c>
      <c r="G220" s="17">
        <v>20466</v>
      </c>
      <c r="H220" s="17">
        <v>21112.3</v>
      </c>
    </row>
    <row r="221" spans="1:8" x14ac:dyDescent="0.2">
      <c r="A221" s="17">
        <v>580.29999999999995</v>
      </c>
      <c r="C221" s="17">
        <v>21172.9</v>
      </c>
      <c r="E221" s="17">
        <v>21033.8</v>
      </c>
      <c r="F221" s="17">
        <v>20544.8</v>
      </c>
      <c r="G221" s="17">
        <v>20466.3</v>
      </c>
      <c r="H221" s="17">
        <v>21112.400000000001</v>
      </c>
    </row>
    <row r="222" spans="1:8" x14ac:dyDescent="0.2">
      <c r="A222" s="17">
        <v>580.20000000000005</v>
      </c>
      <c r="C222" s="17">
        <v>20901</v>
      </c>
      <c r="E222" s="17">
        <v>21036.3</v>
      </c>
      <c r="F222" s="17">
        <v>20542.5</v>
      </c>
      <c r="G222" s="17">
        <v>20466.5</v>
      </c>
      <c r="H222" s="17">
        <v>21112.2</v>
      </c>
    </row>
    <row r="223" spans="1:8" x14ac:dyDescent="0.2">
      <c r="A223" s="17">
        <v>580.1</v>
      </c>
      <c r="C223" s="17">
        <v>21065.200000000001</v>
      </c>
      <c r="E223" s="17">
        <v>21038.400000000001</v>
      </c>
      <c r="F223" s="17">
        <v>20540.2</v>
      </c>
      <c r="G223" s="17">
        <v>20466.8</v>
      </c>
      <c r="H223" s="17">
        <v>21111.8</v>
      </c>
    </row>
    <row r="224" spans="1:8" x14ac:dyDescent="0.2">
      <c r="A224" s="17">
        <v>580</v>
      </c>
      <c r="C224" s="17">
        <v>21154.3</v>
      </c>
      <c r="E224" s="17">
        <v>21040.2</v>
      </c>
      <c r="F224" s="17">
        <v>20538.099999999999</v>
      </c>
      <c r="G224" s="17">
        <v>20467.099999999999</v>
      </c>
      <c r="H224" s="17">
        <v>21111.200000000001</v>
      </c>
    </row>
    <row r="225" spans="1:8" x14ac:dyDescent="0.2">
      <c r="A225" s="17">
        <v>579.9</v>
      </c>
      <c r="C225" s="17">
        <v>20777.599999999999</v>
      </c>
      <c r="E225" s="17">
        <v>21041.599999999999</v>
      </c>
      <c r="F225" s="17">
        <v>20536</v>
      </c>
      <c r="G225" s="17">
        <v>20467.400000000001</v>
      </c>
      <c r="H225" s="17">
        <v>21110.2</v>
      </c>
    </row>
    <row r="226" spans="1:8" x14ac:dyDescent="0.2">
      <c r="A226" s="17">
        <v>579.79999999999995</v>
      </c>
      <c r="C226" s="17">
        <v>20854.8</v>
      </c>
      <c r="E226" s="17">
        <v>21042.7</v>
      </c>
      <c r="F226" s="17">
        <v>20534</v>
      </c>
      <c r="G226" s="17">
        <v>20467.7</v>
      </c>
      <c r="H226" s="17">
        <v>21109</v>
      </c>
    </row>
    <row r="227" spans="1:8" x14ac:dyDescent="0.2">
      <c r="A227" s="17">
        <v>579.70000000000005</v>
      </c>
      <c r="C227" s="17">
        <v>21306.2</v>
      </c>
      <c r="E227" s="17">
        <v>21043.4</v>
      </c>
      <c r="F227" s="17">
        <v>20532.099999999999</v>
      </c>
      <c r="G227" s="17">
        <v>20468</v>
      </c>
      <c r="H227" s="17">
        <v>21107.5</v>
      </c>
    </row>
    <row r="228" spans="1:8" x14ac:dyDescent="0.2">
      <c r="A228" s="17">
        <v>579.6</v>
      </c>
      <c r="C228" s="17">
        <v>21123.7</v>
      </c>
      <c r="E228" s="17">
        <v>21043.7</v>
      </c>
      <c r="F228" s="17">
        <v>20530.3</v>
      </c>
      <c r="G228" s="17">
        <v>20468.2</v>
      </c>
      <c r="H228" s="17">
        <v>21105.7</v>
      </c>
    </row>
    <row r="229" spans="1:8" x14ac:dyDescent="0.2">
      <c r="A229" s="17">
        <v>579.5</v>
      </c>
      <c r="C229" s="17">
        <v>21128.2</v>
      </c>
      <c r="E229" s="17">
        <v>21043.7</v>
      </c>
      <c r="F229" s="17">
        <v>20528.5</v>
      </c>
      <c r="G229" s="17">
        <v>20468.5</v>
      </c>
      <c r="H229" s="17">
        <v>21103.7</v>
      </c>
    </row>
    <row r="230" spans="1:8" x14ac:dyDescent="0.2">
      <c r="A230" s="17">
        <v>579.4</v>
      </c>
      <c r="C230" s="17">
        <v>21411.3</v>
      </c>
      <c r="E230" s="17">
        <v>21043.3</v>
      </c>
      <c r="F230" s="17">
        <v>20526.8</v>
      </c>
      <c r="G230" s="17">
        <v>20468.8</v>
      </c>
      <c r="H230" s="17">
        <v>21101.3</v>
      </c>
    </row>
    <row r="231" spans="1:8" x14ac:dyDescent="0.2">
      <c r="A231" s="17">
        <v>579.29999999999995</v>
      </c>
      <c r="C231" s="17">
        <v>20952</v>
      </c>
      <c r="E231" s="17">
        <v>21042.6</v>
      </c>
      <c r="F231" s="17">
        <v>20525.2</v>
      </c>
      <c r="G231" s="17">
        <v>20469.099999999999</v>
      </c>
      <c r="H231" s="17">
        <v>21098.7</v>
      </c>
    </row>
    <row r="232" spans="1:8" x14ac:dyDescent="0.2">
      <c r="A232" s="17">
        <v>579.20000000000005</v>
      </c>
      <c r="C232" s="17">
        <v>21108.5</v>
      </c>
      <c r="E232" s="17">
        <v>21041.5</v>
      </c>
      <c r="F232" s="17">
        <v>20523.7</v>
      </c>
      <c r="G232" s="17">
        <v>20469.400000000001</v>
      </c>
      <c r="H232" s="17">
        <v>21095.7</v>
      </c>
    </row>
    <row r="233" spans="1:8" x14ac:dyDescent="0.2">
      <c r="A233" s="17">
        <v>579.1</v>
      </c>
      <c r="C233" s="17">
        <v>21135.1</v>
      </c>
      <c r="E233" s="17">
        <v>21040</v>
      </c>
      <c r="F233" s="17">
        <v>20522.2</v>
      </c>
      <c r="G233" s="17">
        <v>20469.7</v>
      </c>
      <c r="H233" s="17">
        <v>21092.5</v>
      </c>
    </row>
    <row r="234" spans="1:8" x14ac:dyDescent="0.2">
      <c r="A234" s="17">
        <v>579</v>
      </c>
      <c r="C234" s="17">
        <v>21244.2</v>
      </c>
      <c r="E234" s="17">
        <v>21038.2</v>
      </c>
      <c r="F234" s="17">
        <v>20520.8</v>
      </c>
      <c r="G234" s="17">
        <v>20469.900000000001</v>
      </c>
      <c r="H234" s="17">
        <v>21089</v>
      </c>
    </row>
    <row r="235" spans="1:8" x14ac:dyDescent="0.2">
      <c r="A235" s="17">
        <v>578.9</v>
      </c>
      <c r="C235" s="17">
        <v>21093.1</v>
      </c>
      <c r="E235" s="17">
        <v>21036.1</v>
      </c>
      <c r="F235" s="17">
        <v>20519.400000000001</v>
      </c>
      <c r="G235" s="17">
        <v>20470.2</v>
      </c>
      <c r="H235" s="17">
        <v>21085.3</v>
      </c>
    </row>
    <row r="236" spans="1:8" x14ac:dyDescent="0.2">
      <c r="A236" s="17">
        <v>578.79999999999995</v>
      </c>
      <c r="C236" s="17">
        <v>21037</v>
      </c>
      <c r="E236" s="17">
        <v>21033.599999999999</v>
      </c>
      <c r="F236" s="17">
        <v>20518.2</v>
      </c>
      <c r="G236" s="17">
        <v>20470.5</v>
      </c>
      <c r="H236" s="17">
        <v>21081.200000000001</v>
      </c>
    </row>
    <row r="237" spans="1:8" x14ac:dyDescent="0.2">
      <c r="A237" s="17">
        <v>578.70000000000005</v>
      </c>
      <c r="C237" s="17">
        <v>21078.7</v>
      </c>
      <c r="E237" s="17">
        <v>21030.799999999999</v>
      </c>
      <c r="F237" s="17">
        <v>20516.900000000001</v>
      </c>
      <c r="G237" s="17">
        <v>20470.8</v>
      </c>
      <c r="H237" s="17">
        <v>21076.9</v>
      </c>
    </row>
    <row r="238" spans="1:8" x14ac:dyDescent="0.2">
      <c r="A238" s="17">
        <v>578.6</v>
      </c>
      <c r="C238" s="17">
        <v>21078</v>
      </c>
      <c r="E238" s="17">
        <v>21027.7</v>
      </c>
      <c r="F238" s="17">
        <v>20515.8</v>
      </c>
      <c r="G238" s="17">
        <v>20471.099999999999</v>
      </c>
      <c r="H238" s="17">
        <v>21072.400000000001</v>
      </c>
    </row>
    <row r="239" spans="1:8" x14ac:dyDescent="0.2">
      <c r="A239" s="17">
        <v>578.5</v>
      </c>
      <c r="C239" s="17">
        <v>21009.599999999999</v>
      </c>
      <c r="E239" s="17">
        <v>21024.3</v>
      </c>
      <c r="F239" s="17">
        <v>20514.7</v>
      </c>
      <c r="G239" s="17">
        <v>20471.400000000001</v>
      </c>
      <c r="H239" s="17">
        <v>21067.599999999999</v>
      </c>
    </row>
    <row r="240" spans="1:8" x14ac:dyDescent="0.2">
      <c r="A240" s="17">
        <v>578.4</v>
      </c>
      <c r="C240" s="17">
        <v>20979.9</v>
      </c>
      <c r="E240" s="17">
        <v>21020.5</v>
      </c>
      <c r="F240" s="17">
        <v>20513.599999999999</v>
      </c>
      <c r="G240" s="17">
        <v>20471.599999999999</v>
      </c>
      <c r="H240" s="17">
        <v>21062.5</v>
      </c>
    </row>
    <row r="241" spans="1:8" x14ac:dyDescent="0.2">
      <c r="A241" s="17">
        <v>578.29999999999995</v>
      </c>
      <c r="C241" s="17">
        <v>20871.900000000001</v>
      </c>
      <c r="E241" s="17">
        <v>21016.5</v>
      </c>
      <c r="F241" s="17">
        <v>20512.599999999999</v>
      </c>
      <c r="G241" s="17">
        <v>20471.900000000001</v>
      </c>
      <c r="H241" s="17">
        <v>21057.200000000001</v>
      </c>
    </row>
    <row r="242" spans="1:8" x14ac:dyDescent="0.2">
      <c r="A242" s="17">
        <v>578.20000000000005</v>
      </c>
      <c r="C242" s="17">
        <v>21027.3</v>
      </c>
      <c r="E242" s="17">
        <v>21012.2</v>
      </c>
      <c r="F242" s="17">
        <v>20511.7</v>
      </c>
      <c r="G242" s="17">
        <v>20472.2</v>
      </c>
      <c r="H242" s="17">
        <v>21051.7</v>
      </c>
    </row>
    <row r="243" spans="1:8" x14ac:dyDescent="0.2">
      <c r="A243" s="17">
        <v>578.1</v>
      </c>
      <c r="C243" s="17">
        <v>20954.2</v>
      </c>
      <c r="E243" s="17">
        <v>21007.599999999999</v>
      </c>
      <c r="F243" s="17">
        <v>20510.8</v>
      </c>
      <c r="G243" s="17">
        <v>20472.5</v>
      </c>
      <c r="H243" s="17">
        <v>21045.9</v>
      </c>
    </row>
    <row r="244" spans="1:8" x14ac:dyDescent="0.2">
      <c r="A244" s="17">
        <v>578</v>
      </c>
      <c r="C244" s="17">
        <v>20990.9</v>
      </c>
      <c r="E244" s="17">
        <v>21002.799999999999</v>
      </c>
      <c r="F244" s="17">
        <v>20509.900000000001</v>
      </c>
      <c r="G244" s="17">
        <v>20472.8</v>
      </c>
      <c r="H244" s="17">
        <v>21040</v>
      </c>
    </row>
    <row r="245" spans="1:8" x14ac:dyDescent="0.2">
      <c r="A245" s="17">
        <v>577.9</v>
      </c>
      <c r="C245" s="17">
        <v>21071.3</v>
      </c>
      <c r="E245" s="17">
        <v>20997.7</v>
      </c>
      <c r="F245" s="17">
        <v>20509.099999999999</v>
      </c>
      <c r="G245" s="17">
        <v>20473.099999999999</v>
      </c>
      <c r="H245" s="17">
        <v>21033.8</v>
      </c>
    </row>
    <row r="246" spans="1:8" x14ac:dyDescent="0.2">
      <c r="A246" s="17">
        <v>577.79999999999995</v>
      </c>
      <c r="C246" s="17">
        <v>21135.5</v>
      </c>
      <c r="E246" s="17">
        <v>20992.400000000001</v>
      </c>
      <c r="F246" s="17">
        <v>20508.400000000001</v>
      </c>
      <c r="G246" s="17">
        <v>20473.3</v>
      </c>
      <c r="H246" s="17">
        <v>21027.5</v>
      </c>
    </row>
    <row r="247" spans="1:8" x14ac:dyDescent="0.2">
      <c r="A247" s="17">
        <v>577.70000000000005</v>
      </c>
      <c r="C247" s="17">
        <v>21096.799999999999</v>
      </c>
      <c r="E247" s="17">
        <v>20986.9</v>
      </c>
      <c r="F247" s="17">
        <v>20507.7</v>
      </c>
      <c r="G247" s="17">
        <v>20473.599999999999</v>
      </c>
      <c r="H247" s="17">
        <v>21020.9</v>
      </c>
    </row>
    <row r="248" spans="1:8" x14ac:dyDescent="0.2">
      <c r="A248" s="17">
        <v>577.6</v>
      </c>
      <c r="C248" s="17">
        <v>21045.599999999999</v>
      </c>
      <c r="E248" s="17">
        <v>20981.200000000001</v>
      </c>
      <c r="F248" s="17">
        <v>20507</v>
      </c>
      <c r="G248" s="17">
        <v>20473.900000000001</v>
      </c>
      <c r="H248" s="17">
        <v>21014.2</v>
      </c>
    </row>
    <row r="249" spans="1:8" x14ac:dyDescent="0.2">
      <c r="A249" s="17">
        <v>577.5</v>
      </c>
      <c r="C249" s="17">
        <v>20982.7</v>
      </c>
      <c r="E249" s="17">
        <v>20975.200000000001</v>
      </c>
      <c r="F249" s="17">
        <v>20506.3</v>
      </c>
      <c r="G249" s="17">
        <v>20474.2</v>
      </c>
      <c r="H249" s="17">
        <v>21007.4</v>
      </c>
    </row>
    <row r="250" spans="1:8" x14ac:dyDescent="0.2">
      <c r="A250" s="17">
        <v>577.4</v>
      </c>
      <c r="C250" s="17">
        <v>20959.7</v>
      </c>
      <c r="E250" s="17">
        <v>20969.099999999999</v>
      </c>
      <c r="F250" s="17">
        <v>20505.7</v>
      </c>
      <c r="G250" s="17">
        <v>20474.5</v>
      </c>
      <c r="H250" s="17">
        <v>21000.400000000001</v>
      </c>
    </row>
    <row r="251" spans="1:8" x14ac:dyDescent="0.2">
      <c r="A251" s="17">
        <v>577.29999999999995</v>
      </c>
      <c r="C251" s="17">
        <v>21061.4</v>
      </c>
      <c r="E251" s="17">
        <v>20962.8</v>
      </c>
      <c r="F251" s="17">
        <v>20505.2</v>
      </c>
      <c r="G251" s="17">
        <v>20474.8</v>
      </c>
      <c r="H251" s="17">
        <v>20993.200000000001</v>
      </c>
    </row>
    <row r="252" spans="1:8" x14ac:dyDescent="0.2">
      <c r="A252" s="17">
        <v>577.20000000000005</v>
      </c>
      <c r="C252" s="17">
        <v>20926.099999999999</v>
      </c>
      <c r="E252" s="17">
        <v>20956.400000000001</v>
      </c>
      <c r="F252" s="17">
        <v>20504.7</v>
      </c>
      <c r="G252" s="17">
        <v>20475</v>
      </c>
      <c r="H252" s="17">
        <v>20986</v>
      </c>
    </row>
    <row r="253" spans="1:8" x14ac:dyDescent="0.2">
      <c r="A253" s="17">
        <v>577.1</v>
      </c>
      <c r="C253" s="17">
        <v>21068.799999999999</v>
      </c>
      <c r="E253" s="17">
        <v>20949.8</v>
      </c>
      <c r="F253" s="17">
        <v>20504.2</v>
      </c>
      <c r="G253" s="17">
        <v>20475.3</v>
      </c>
      <c r="H253" s="17">
        <v>20978.6</v>
      </c>
    </row>
    <row r="254" spans="1:8" x14ac:dyDescent="0.2">
      <c r="A254" s="17">
        <v>577</v>
      </c>
      <c r="C254" s="17">
        <v>20909.400000000001</v>
      </c>
      <c r="E254" s="17">
        <v>20943</v>
      </c>
      <c r="F254" s="17">
        <v>20503.7</v>
      </c>
      <c r="G254" s="17">
        <v>20475.599999999999</v>
      </c>
      <c r="H254" s="17">
        <v>20971.099999999999</v>
      </c>
    </row>
    <row r="255" spans="1:8" x14ac:dyDescent="0.2">
      <c r="A255" s="17">
        <v>576.9</v>
      </c>
      <c r="C255" s="17">
        <v>20710.8</v>
      </c>
      <c r="E255" s="17">
        <v>20936.2</v>
      </c>
      <c r="F255" s="17">
        <v>20503.3</v>
      </c>
      <c r="G255" s="17">
        <v>20475.900000000001</v>
      </c>
      <c r="H255" s="17">
        <v>20963.5</v>
      </c>
    </row>
    <row r="256" spans="1:8" x14ac:dyDescent="0.2">
      <c r="A256" s="17">
        <v>576.79999999999995</v>
      </c>
      <c r="C256" s="17">
        <v>20910.3</v>
      </c>
      <c r="E256" s="17">
        <v>20929.2</v>
      </c>
      <c r="F256" s="17">
        <v>20502.900000000001</v>
      </c>
      <c r="G256" s="17">
        <v>20476.2</v>
      </c>
      <c r="H256" s="17">
        <v>20955.900000000001</v>
      </c>
    </row>
    <row r="257" spans="1:8" x14ac:dyDescent="0.2">
      <c r="A257" s="17">
        <v>576.70000000000005</v>
      </c>
      <c r="C257" s="17">
        <v>20910.599999999999</v>
      </c>
      <c r="E257" s="17">
        <v>20922.099999999999</v>
      </c>
      <c r="F257" s="17">
        <v>20502.5</v>
      </c>
      <c r="G257" s="17">
        <v>20476.5</v>
      </c>
      <c r="H257" s="17">
        <v>20948.2</v>
      </c>
    </row>
    <row r="258" spans="1:8" x14ac:dyDescent="0.2">
      <c r="A258" s="17">
        <v>576.6</v>
      </c>
      <c r="C258" s="17">
        <v>20847.400000000001</v>
      </c>
      <c r="E258" s="17">
        <v>20915</v>
      </c>
      <c r="F258" s="17">
        <v>20502.2</v>
      </c>
      <c r="G258" s="17">
        <v>20476.7</v>
      </c>
      <c r="H258" s="17">
        <v>20940.400000000001</v>
      </c>
    </row>
    <row r="259" spans="1:8" x14ac:dyDescent="0.2">
      <c r="A259" s="17">
        <v>576.5</v>
      </c>
      <c r="C259" s="17">
        <v>20919.7</v>
      </c>
      <c r="E259" s="17">
        <v>20907.7</v>
      </c>
      <c r="F259" s="17">
        <v>20501.8</v>
      </c>
      <c r="G259" s="17">
        <v>20477</v>
      </c>
      <c r="H259" s="17">
        <v>20932.5</v>
      </c>
    </row>
    <row r="260" spans="1:8" x14ac:dyDescent="0.2">
      <c r="A260" s="17">
        <v>576.4</v>
      </c>
      <c r="C260" s="17">
        <v>20947.099999999999</v>
      </c>
      <c r="E260" s="17">
        <v>20900.400000000001</v>
      </c>
      <c r="F260" s="17">
        <v>20501.5</v>
      </c>
      <c r="G260" s="17">
        <v>20477.3</v>
      </c>
      <c r="H260" s="17">
        <v>20924.599999999999</v>
      </c>
    </row>
    <row r="261" spans="1:8" x14ac:dyDescent="0.2">
      <c r="A261" s="17">
        <v>576.29999999999995</v>
      </c>
      <c r="C261" s="17">
        <v>20942</v>
      </c>
      <c r="E261" s="17">
        <v>20893</v>
      </c>
      <c r="F261" s="17">
        <v>20501.3</v>
      </c>
      <c r="G261" s="17">
        <v>20477.599999999999</v>
      </c>
      <c r="H261" s="17">
        <v>20916.7</v>
      </c>
    </row>
    <row r="262" spans="1:8" x14ac:dyDescent="0.2">
      <c r="A262" s="17">
        <v>576.20000000000005</v>
      </c>
      <c r="C262" s="17">
        <v>20802.400000000001</v>
      </c>
      <c r="E262" s="17">
        <v>20885.599999999999</v>
      </c>
      <c r="F262" s="17">
        <v>20501</v>
      </c>
      <c r="G262" s="17">
        <v>20477.900000000001</v>
      </c>
      <c r="H262" s="17">
        <v>20908.7</v>
      </c>
    </row>
    <row r="263" spans="1:8" x14ac:dyDescent="0.2">
      <c r="A263" s="17">
        <v>576.1</v>
      </c>
      <c r="C263" s="17">
        <v>20780.8</v>
      </c>
      <c r="E263" s="17">
        <v>20878.2</v>
      </c>
      <c r="F263" s="17">
        <v>20500.8</v>
      </c>
      <c r="G263" s="17">
        <v>20478.2</v>
      </c>
      <c r="H263" s="17">
        <v>20900.8</v>
      </c>
    </row>
    <row r="264" spans="1:8" x14ac:dyDescent="0.2">
      <c r="A264" s="17">
        <v>576</v>
      </c>
      <c r="C264" s="17">
        <v>20883.400000000001</v>
      </c>
      <c r="E264" s="17">
        <v>20870.7</v>
      </c>
      <c r="F264" s="17">
        <v>20500.599999999999</v>
      </c>
      <c r="G264" s="17">
        <v>20478.5</v>
      </c>
      <c r="H264" s="17">
        <v>20892.8</v>
      </c>
    </row>
    <row r="265" spans="1:8" x14ac:dyDescent="0.2">
      <c r="A265" s="17">
        <v>575.9</v>
      </c>
      <c r="C265" s="17">
        <v>20770.900000000001</v>
      </c>
      <c r="E265" s="17">
        <v>20863.2</v>
      </c>
      <c r="F265" s="17">
        <v>20500.400000000001</v>
      </c>
      <c r="G265" s="17">
        <v>20478.7</v>
      </c>
      <c r="H265" s="17">
        <v>20884.8</v>
      </c>
    </row>
    <row r="266" spans="1:8" x14ac:dyDescent="0.2">
      <c r="A266" s="17">
        <v>575.79999999999995</v>
      </c>
      <c r="C266" s="17">
        <v>20899.7</v>
      </c>
      <c r="E266" s="17">
        <v>20855.7</v>
      </c>
      <c r="F266" s="17">
        <v>20500.2</v>
      </c>
      <c r="G266" s="17">
        <v>20479</v>
      </c>
      <c r="H266" s="17">
        <v>20876.900000000001</v>
      </c>
    </row>
    <row r="267" spans="1:8" x14ac:dyDescent="0.2">
      <c r="A267" s="17">
        <v>575.70000000000005</v>
      </c>
      <c r="C267" s="17">
        <v>20899.599999999999</v>
      </c>
      <c r="E267" s="17">
        <v>20848.099999999999</v>
      </c>
      <c r="F267" s="17">
        <v>20500.099999999999</v>
      </c>
      <c r="G267" s="17">
        <v>20479.3</v>
      </c>
      <c r="H267" s="17">
        <v>20868.900000000001</v>
      </c>
    </row>
    <row r="268" spans="1:8" x14ac:dyDescent="0.2">
      <c r="A268" s="17">
        <v>575.6</v>
      </c>
      <c r="C268" s="17">
        <v>20918.7</v>
      </c>
      <c r="E268" s="17">
        <v>20840.599999999999</v>
      </c>
      <c r="F268" s="17">
        <v>20499.900000000001</v>
      </c>
      <c r="G268" s="17">
        <v>20479.599999999999</v>
      </c>
      <c r="H268" s="17">
        <v>20861</v>
      </c>
    </row>
    <row r="269" spans="1:8" x14ac:dyDescent="0.2">
      <c r="A269" s="17">
        <v>575.5</v>
      </c>
      <c r="C269" s="17">
        <v>20806.900000000001</v>
      </c>
      <c r="E269" s="17">
        <v>20833.099999999999</v>
      </c>
      <c r="F269" s="17">
        <v>20499.8</v>
      </c>
      <c r="G269" s="17">
        <v>20479.900000000001</v>
      </c>
      <c r="H269" s="17">
        <v>20853.099999999999</v>
      </c>
    </row>
    <row r="270" spans="1:8" x14ac:dyDescent="0.2">
      <c r="A270" s="17">
        <v>575.4</v>
      </c>
      <c r="C270" s="17">
        <v>20932.400000000001</v>
      </c>
      <c r="E270" s="17">
        <v>20825.7</v>
      </c>
      <c r="F270" s="17">
        <v>20499.7</v>
      </c>
      <c r="G270" s="17">
        <v>20480.2</v>
      </c>
      <c r="H270" s="17">
        <v>20845.2</v>
      </c>
    </row>
    <row r="271" spans="1:8" x14ac:dyDescent="0.2">
      <c r="A271" s="17">
        <v>575.29999999999995</v>
      </c>
      <c r="C271" s="17">
        <v>20962.2</v>
      </c>
      <c r="E271" s="17">
        <v>20818.2</v>
      </c>
      <c r="F271" s="17">
        <v>20499.599999999999</v>
      </c>
      <c r="G271" s="17">
        <v>20480.400000000001</v>
      </c>
      <c r="H271" s="17">
        <v>20837.400000000001</v>
      </c>
    </row>
    <row r="272" spans="1:8" x14ac:dyDescent="0.2">
      <c r="A272" s="17">
        <v>575.20000000000005</v>
      </c>
      <c r="C272" s="17">
        <v>20758.400000000001</v>
      </c>
      <c r="E272" s="17">
        <v>20810.8</v>
      </c>
      <c r="F272" s="17">
        <v>20499.5</v>
      </c>
      <c r="G272" s="17">
        <v>20480.7</v>
      </c>
      <c r="H272" s="17">
        <v>20829.7</v>
      </c>
    </row>
    <row r="273" spans="1:8" x14ac:dyDescent="0.2">
      <c r="A273" s="17">
        <v>575.1</v>
      </c>
      <c r="C273" s="17">
        <v>20654</v>
      </c>
      <c r="E273" s="17">
        <v>20803.5</v>
      </c>
      <c r="F273" s="17">
        <v>20499.5</v>
      </c>
      <c r="G273" s="17">
        <v>20481</v>
      </c>
      <c r="H273" s="17">
        <v>20822</v>
      </c>
    </row>
    <row r="274" spans="1:8" x14ac:dyDescent="0.2">
      <c r="A274" s="17">
        <v>575</v>
      </c>
      <c r="C274" s="17">
        <v>20815.099999999999</v>
      </c>
      <c r="E274" s="17">
        <v>20796.2</v>
      </c>
      <c r="F274" s="17">
        <v>20499.400000000001</v>
      </c>
      <c r="G274" s="17">
        <v>20481.3</v>
      </c>
      <c r="H274" s="17">
        <v>20814.3</v>
      </c>
    </row>
    <row r="275" spans="1:8" x14ac:dyDescent="0.2">
      <c r="A275" s="17">
        <v>574.9</v>
      </c>
      <c r="C275" s="17">
        <v>20893.8</v>
      </c>
      <c r="E275" s="17">
        <v>20788.900000000001</v>
      </c>
      <c r="F275" s="17">
        <v>20499.400000000001</v>
      </c>
      <c r="G275" s="17">
        <v>20481.599999999999</v>
      </c>
      <c r="H275" s="17">
        <v>20806.8</v>
      </c>
    </row>
    <row r="276" spans="1:8" x14ac:dyDescent="0.2">
      <c r="A276" s="17">
        <v>574.79999999999995</v>
      </c>
      <c r="C276" s="17">
        <v>20845</v>
      </c>
      <c r="E276" s="17">
        <v>20781.8</v>
      </c>
      <c r="F276" s="17">
        <v>20499.400000000001</v>
      </c>
      <c r="G276" s="17">
        <v>20481.900000000001</v>
      </c>
      <c r="H276" s="17">
        <v>20799.3</v>
      </c>
    </row>
    <row r="277" spans="1:8" x14ac:dyDescent="0.2">
      <c r="A277" s="17">
        <v>574.70000000000005</v>
      </c>
      <c r="C277" s="17">
        <v>20695.099999999999</v>
      </c>
      <c r="E277" s="17">
        <v>20774.7</v>
      </c>
      <c r="F277" s="17">
        <v>20499.400000000001</v>
      </c>
      <c r="G277" s="17">
        <v>20482.099999999999</v>
      </c>
      <c r="H277" s="17">
        <v>20791.900000000001</v>
      </c>
    </row>
    <row r="278" spans="1:8" x14ac:dyDescent="0.2">
      <c r="A278" s="17">
        <v>574.6</v>
      </c>
      <c r="C278" s="17">
        <v>20965.7</v>
      </c>
      <c r="E278" s="17">
        <v>20767.599999999999</v>
      </c>
      <c r="F278" s="17">
        <v>20499.400000000001</v>
      </c>
      <c r="G278" s="17">
        <v>20482.400000000001</v>
      </c>
      <c r="H278" s="17">
        <v>20784.5</v>
      </c>
    </row>
    <row r="279" spans="1:8" x14ac:dyDescent="0.2">
      <c r="A279" s="17">
        <v>574.5</v>
      </c>
      <c r="C279" s="17">
        <v>20583.5</v>
      </c>
      <c r="E279" s="17">
        <v>20760.7</v>
      </c>
      <c r="F279" s="17">
        <v>20499.400000000001</v>
      </c>
      <c r="G279" s="17">
        <v>20482.7</v>
      </c>
      <c r="H279" s="17">
        <v>20777.3</v>
      </c>
    </row>
    <row r="280" spans="1:8" x14ac:dyDescent="0.2">
      <c r="A280" s="17">
        <v>574.4</v>
      </c>
      <c r="C280" s="17">
        <v>20746.3</v>
      </c>
      <c r="E280" s="17">
        <v>20753.8</v>
      </c>
      <c r="F280" s="17">
        <v>20499.400000000001</v>
      </c>
      <c r="G280" s="17">
        <v>20483</v>
      </c>
      <c r="H280" s="17">
        <v>20770.2</v>
      </c>
    </row>
    <row r="281" spans="1:8" x14ac:dyDescent="0.2">
      <c r="A281" s="17">
        <v>574.29999999999995</v>
      </c>
      <c r="C281" s="17">
        <v>20813.5</v>
      </c>
      <c r="E281" s="17">
        <v>20747</v>
      </c>
      <c r="F281" s="17">
        <v>20499.400000000001</v>
      </c>
      <c r="G281" s="17">
        <v>20483.3</v>
      </c>
      <c r="H281" s="17">
        <v>20763.099999999999</v>
      </c>
    </row>
    <row r="282" spans="1:8" x14ac:dyDescent="0.2">
      <c r="A282" s="17">
        <v>574.20000000000005</v>
      </c>
      <c r="C282" s="17">
        <v>20927</v>
      </c>
      <c r="E282" s="17">
        <v>20740.3</v>
      </c>
      <c r="F282" s="17">
        <v>20499.400000000001</v>
      </c>
      <c r="G282" s="17">
        <v>20483.599999999999</v>
      </c>
      <c r="H282" s="17">
        <v>20756.2</v>
      </c>
    </row>
    <row r="283" spans="1:8" x14ac:dyDescent="0.2">
      <c r="A283" s="17">
        <v>574.1</v>
      </c>
      <c r="C283" s="17">
        <v>20719.3</v>
      </c>
      <c r="E283" s="17">
        <v>20733.7</v>
      </c>
      <c r="F283" s="17">
        <v>20499.5</v>
      </c>
      <c r="G283" s="17">
        <v>20483.8</v>
      </c>
      <c r="H283" s="17">
        <v>20749.3</v>
      </c>
    </row>
    <row r="284" spans="1:8" x14ac:dyDescent="0.2">
      <c r="A284" s="17">
        <v>574</v>
      </c>
      <c r="C284" s="17">
        <v>20666.400000000001</v>
      </c>
      <c r="E284" s="17">
        <v>20727.2</v>
      </c>
      <c r="F284" s="17">
        <v>20499.5</v>
      </c>
      <c r="G284" s="17">
        <v>20484.099999999999</v>
      </c>
      <c r="H284" s="17">
        <v>20742.599999999999</v>
      </c>
    </row>
    <row r="285" spans="1:8" x14ac:dyDescent="0.2">
      <c r="A285" s="17">
        <v>573.9</v>
      </c>
      <c r="C285" s="17">
        <v>20984.5</v>
      </c>
      <c r="E285" s="17">
        <v>20720.8</v>
      </c>
      <c r="F285" s="17">
        <v>20499.599999999999</v>
      </c>
      <c r="G285" s="17">
        <v>20484.400000000001</v>
      </c>
      <c r="H285" s="17">
        <v>20736</v>
      </c>
    </row>
    <row r="286" spans="1:8" x14ac:dyDescent="0.2">
      <c r="A286" s="17">
        <v>573.79999999999995</v>
      </c>
      <c r="C286" s="17">
        <v>20836.8</v>
      </c>
      <c r="E286" s="17">
        <v>20714.5</v>
      </c>
      <c r="F286" s="17">
        <v>20499.599999999999</v>
      </c>
      <c r="G286" s="17">
        <v>20484.7</v>
      </c>
      <c r="H286" s="17">
        <v>20729.5</v>
      </c>
    </row>
    <row r="287" spans="1:8" x14ac:dyDescent="0.2">
      <c r="A287" s="17">
        <v>573.70000000000005</v>
      </c>
      <c r="C287" s="17">
        <v>20748.2</v>
      </c>
      <c r="E287" s="17">
        <v>20708.3</v>
      </c>
      <c r="F287" s="17">
        <v>20499.7</v>
      </c>
      <c r="G287" s="17">
        <v>20485</v>
      </c>
      <c r="H287" s="17">
        <v>20723.099999999999</v>
      </c>
    </row>
    <row r="288" spans="1:8" x14ac:dyDescent="0.2">
      <c r="A288" s="17">
        <v>573.6</v>
      </c>
      <c r="C288" s="17">
        <v>20815.099999999999</v>
      </c>
      <c r="E288" s="17">
        <v>20702.3</v>
      </c>
      <c r="F288" s="17">
        <v>20499.8</v>
      </c>
      <c r="G288" s="17">
        <v>20485.3</v>
      </c>
      <c r="H288" s="17">
        <v>20716.8</v>
      </c>
    </row>
    <row r="289" spans="1:8" x14ac:dyDescent="0.2">
      <c r="A289" s="17">
        <v>573.5</v>
      </c>
      <c r="C289" s="17">
        <v>20858.599999999999</v>
      </c>
      <c r="E289" s="17">
        <v>20696.3</v>
      </c>
      <c r="F289" s="17">
        <v>20499.900000000001</v>
      </c>
      <c r="G289" s="17">
        <v>20485.5</v>
      </c>
      <c r="H289" s="17">
        <v>20710.599999999999</v>
      </c>
    </row>
    <row r="290" spans="1:8" x14ac:dyDescent="0.2">
      <c r="A290" s="17">
        <v>573.4</v>
      </c>
      <c r="C290" s="17">
        <v>20701.599999999999</v>
      </c>
      <c r="E290" s="17">
        <v>20690.5</v>
      </c>
      <c r="F290" s="17">
        <v>20499.900000000001</v>
      </c>
      <c r="G290" s="17">
        <v>20485.8</v>
      </c>
      <c r="H290" s="17">
        <v>20704.599999999999</v>
      </c>
    </row>
    <row r="291" spans="1:8" x14ac:dyDescent="0.2">
      <c r="A291" s="17">
        <v>573.29999999999995</v>
      </c>
      <c r="C291" s="17">
        <v>20720.400000000001</v>
      </c>
      <c r="E291" s="17">
        <v>20684.8</v>
      </c>
      <c r="F291" s="17">
        <v>20500</v>
      </c>
      <c r="G291" s="17">
        <v>20486.099999999999</v>
      </c>
      <c r="H291" s="17">
        <v>20698.7</v>
      </c>
    </row>
    <row r="292" spans="1:8" x14ac:dyDescent="0.2">
      <c r="A292" s="17">
        <v>573.20000000000005</v>
      </c>
      <c r="C292" s="17">
        <v>20762.599999999999</v>
      </c>
      <c r="E292" s="17">
        <v>20679.2</v>
      </c>
      <c r="F292" s="17">
        <v>20500.099999999999</v>
      </c>
      <c r="G292" s="17">
        <v>20486.400000000001</v>
      </c>
      <c r="H292" s="17">
        <v>20692.900000000001</v>
      </c>
    </row>
    <row r="293" spans="1:8" x14ac:dyDescent="0.2">
      <c r="A293" s="17">
        <v>573.1</v>
      </c>
      <c r="C293" s="17">
        <v>20553.8</v>
      </c>
      <c r="E293" s="17">
        <v>20673.7</v>
      </c>
      <c r="F293" s="17">
        <v>20500.2</v>
      </c>
      <c r="G293" s="17">
        <v>20486.7</v>
      </c>
      <c r="H293" s="17">
        <v>20687.3</v>
      </c>
    </row>
    <row r="294" spans="1:8" x14ac:dyDescent="0.2">
      <c r="A294" s="17">
        <v>573</v>
      </c>
      <c r="C294" s="17">
        <v>20780.8</v>
      </c>
      <c r="E294" s="17">
        <v>20668.400000000001</v>
      </c>
      <c r="F294" s="17">
        <v>20500.3</v>
      </c>
      <c r="G294" s="17">
        <v>20487</v>
      </c>
      <c r="H294" s="17">
        <v>20681.7</v>
      </c>
    </row>
    <row r="295" spans="1:8" x14ac:dyDescent="0.2">
      <c r="A295" s="17">
        <v>572.9</v>
      </c>
      <c r="C295" s="17">
        <v>20697</v>
      </c>
      <c r="E295" s="17">
        <v>20663.099999999999</v>
      </c>
      <c r="F295" s="17">
        <v>20500.5</v>
      </c>
      <c r="G295" s="17">
        <v>20487.2</v>
      </c>
      <c r="H295" s="17">
        <v>20676.3</v>
      </c>
    </row>
    <row r="296" spans="1:8" x14ac:dyDescent="0.2">
      <c r="A296" s="17">
        <v>572.79999999999995</v>
      </c>
      <c r="C296" s="17">
        <v>20579.8</v>
      </c>
      <c r="E296" s="17">
        <v>20658</v>
      </c>
      <c r="F296" s="17">
        <v>20500.599999999999</v>
      </c>
      <c r="G296" s="17">
        <v>20487.5</v>
      </c>
      <c r="H296" s="17">
        <v>20671.099999999999</v>
      </c>
    </row>
    <row r="297" spans="1:8" x14ac:dyDescent="0.2">
      <c r="A297" s="17">
        <v>572.70000000000005</v>
      </c>
      <c r="C297" s="17">
        <v>20529.3</v>
      </c>
      <c r="E297" s="17">
        <v>20653</v>
      </c>
      <c r="F297" s="17">
        <v>20500.7</v>
      </c>
      <c r="G297" s="17">
        <v>20487.8</v>
      </c>
      <c r="H297" s="17">
        <v>20665.900000000001</v>
      </c>
    </row>
    <row r="298" spans="1:8" x14ac:dyDescent="0.2">
      <c r="A298" s="17">
        <v>572.6</v>
      </c>
      <c r="C298" s="17">
        <v>20866.7</v>
      </c>
      <c r="E298" s="17">
        <v>20648.2</v>
      </c>
      <c r="F298" s="17">
        <v>20500.8</v>
      </c>
      <c r="G298" s="17">
        <v>20488.099999999999</v>
      </c>
      <c r="H298" s="17">
        <v>20660.900000000001</v>
      </c>
    </row>
    <row r="299" spans="1:8" x14ac:dyDescent="0.2">
      <c r="A299" s="17">
        <v>572.5</v>
      </c>
      <c r="C299" s="17">
        <v>20713.599999999999</v>
      </c>
      <c r="E299" s="17">
        <v>20643.400000000001</v>
      </c>
      <c r="F299" s="17">
        <v>20500.900000000001</v>
      </c>
      <c r="G299" s="17">
        <v>20488.400000000001</v>
      </c>
      <c r="H299" s="17">
        <v>20656</v>
      </c>
    </row>
    <row r="300" spans="1:8" x14ac:dyDescent="0.2">
      <c r="A300" s="17">
        <v>572.4</v>
      </c>
      <c r="C300" s="17">
        <v>20703.3</v>
      </c>
      <c r="E300" s="17">
        <v>20638.8</v>
      </c>
      <c r="F300" s="17">
        <v>20501.099999999999</v>
      </c>
      <c r="G300" s="17">
        <v>20488.7</v>
      </c>
      <c r="H300" s="17">
        <v>20651.3</v>
      </c>
    </row>
    <row r="301" spans="1:8" x14ac:dyDescent="0.2">
      <c r="A301" s="17">
        <v>572.29999999999995</v>
      </c>
      <c r="C301" s="17">
        <v>20775</v>
      </c>
      <c r="E301" s="17">
        <v>20634.400000000001</v>
      </c>
      <c r="F301" s="17">
        <v>20501.2</v>
      </c>
      <c r="G301" s="17">
        <v>20489</v>
      </c>
      <c r="H301" s="17">
        <v>20646.599999999999</v>
      </c>
    </row>
    <row r="302" spans="1:8" x14ac:dyDescent="0.2">
      <c r="A302" s="17">
        <v>572.20000000000005</v>
      </c>
      <c r="C302" s="17">
        <v>20832.400000000001</v>
      </c>
      <c r="E302" s="17">
        <v>20630</v>
      </c>
      <c r="F302" s="17">
        <v>20501.400000000001</v>
      </c>
      <c r="G302" s="17">
        <v>20489.2</v>
      </c>
      <c r="H302" s="17">
        <v>20642.099999999999</v>
      </c>
    </row>
    <row r="303" spans="1:8" x14ac:dyDescent="0.2">
      <c r="A303" s="17">
        <v>572.1</v>
      </c>
      <c r="C303" s="17">
        <v>20712.599999999999</v>
      </c>
      <c r="E303" s="17">
        <v>20625.8</v>
      </c>
      <c r="F303" s="17">
        <v>20501.5</v>
      </c>
      <c r="G303" s="17">
        <v>20489.5</v>
      </c>
      <c r="H303" s="17">
        <v>20637.7</v>
      </c>
    </row>
    <row r="304" spans="1:8" x14ac:dyDescent="0.2">
      <c r="A304" s="17">
        <v>572</v>
      </c>
      <c r="C304" s="17">
        <v>20629.400000000001</v>
      </c>
      <c r="E304" s="17">
        <v>20621.599999999999</v>
      </c>
      <c r="F304" s="17">
        <v>20501.599999999999</v>
      </c>
      <c r="G304" s="17">
        <v>20489.8</v>
      </c>
      <c r="H304" s="17">
        <v>20633.5</v>
      </c>
    </row>
    <row r="305" spans="1:8" x14ac:dyDescent="0.2">
      <c r="A305" s="17">
        <v>571.9</v>
      </c>
      <c r="C305" s="17">
        <v>20528.2</v>
      </c>
      <c r="E305" s="17">
        <v>20617.599999999999</v>
      </c>
      <c r="F305" s="17">
        <v>20501.8</v>
      </c>
      <c r="G305" s="17">
        <v>20490.099999999999</v>
      </c>
      <c r="H305" s="17">
        <v>20629.3</v>
      </c>
    </row>
    <row r="306" spans="1:8" x14ac:dyDescent="0.2">
      <c r="A306" s="17">
        <v>571.79999999999995</v>
      </c>
      <c r="C306" s="17">
        <v>20810.400000000001</v>
      </c>
      <c r="E306" s="17">
        <v>20613.8</v>
      </c>
      <c r="F306" s="17">
        <v>20501.900000000001</v>
      </c>
      <c r="G306" s="17">
        <v>20490.400000000001</v>
      </c>
      <c r="H306" s="17">
        <v>20625.3</v>
      </c>
    </row>
    <row r="307" spans="1:8" x14ac:dyDescent="0.2">
      <c r="A307" s="17">
        <v>571.70000000000005</v>
      </c>
      <c r="C307" s="17">
        <v>20748.8</v>
      </c>
      <c r="E307" s="17">
        <v>20610</v>
      </c>
      <c r="F307" s="17">
        <v>20502.099999999999</v>
      </c>
      <c r="G307" s="17">
        <v>20490.7</v>
      </c>
      <c r="H307" s="17">
        <v>20621.5</v>
      </c>
    </row>
    <row r="308" spans="1:8" x14ac:dyDescent="0.2">
      <c r="A308" s="17">
        <v>571.6</v>
      </c>
      <c r="C308" s="17">
        <v>20797.900000000001</v>
      </c>
      <c r="E308" s="17">
        <v>20606.400000000001</v>
      </c>
      <c r="F308" s="17">
        <v>20502.2</v>
      </c>
      <c r="G308" s="17">
        <v>20490.900000000001</v>
      </c>
      <c r="H308" s="17">
        <v>20617.7</v>
      </c>
    </row>
    <row r="309" spans="1:8" x14ac:dyDescent="0.2">
      <c r="A309" s="17">
        <v>571.5</v>
      </c>
      <c r="C309" s="17">
        <v>20748.5</v>
      </c>
      <c r="E309" s="17">
        <v>20602.900000000001</v>
      </c>
      <c r="F309" s="17">
        <v>20502.400000000001</v>
      </c>
      <c r="G309" s="17">
        <v>20491.2</v>
      </c>
      <c r="H309" s="17">
        <v>20614</v>
      </c>
    </row>
    <row r="310" spans="1:8" x14ac:dyDescent="0.2">
      <c r="A310" s="17">
        <v>571.4</v>
      </c>
      <c r="C310" s="17">
        <v>20524.400000000001</v>
      </c>
      <c r="E310" s="17">
        <v>20599.5</v>
      </c>
      <c r="F310" s="17">
        <v>20502.599999999999</v>
      </c>
      <c r="G310" s="17">
        <v>20491.5</v>
      </c>
      <c r="H310" s="17">
        <v>20610.5</v>
      </c>
    </row>
    <row r="311" spans="1:8" x14ac:dyDescent="0.2">
      <c r="A311" s="17">
        <v>571.29999999999995</v>
      </c>
      <c r="C311" s="17">
        <v>20727.8</v>
      </c>
      <c r="E311" s="17">
        <v>20596.2</v>
      </c>
      <c r="F311" s="17">
        <v>20502.7</v>
      </c>
      <c r="G311" s="17">
        <v>20491.8</v>
      </c>
      <c r="H311" s="17">
        <v>20607.099999999999</v>
      </c>
    </row>
    <row r="312" spans="1:8" x14ac:dyDescent="0.2">
      <c r="A312" s="17">
        <v>571.20000000000005</v>
      </c>
      <c r="C312" s="17">
        <v>20608.099999999999</v>
      </c>
      <c r="E312" s="17">
        <v>20593</v>
      </c>
      <c r="F312" s="17">
        <v>20502.900000000001</v>
      </c>
      <c r="G312" s="17">
        <v>20492.099999999999</v>
      </c>
      <c r="H312" s="17">
        <v>20603.8</v>
      </c>
    </row>
    <row r="313" spans="1:8" x14ac:dyDescent="0.2">
      <c r="A313" s="17">
        <v>571.1</v>
      </c>
      <c r="C313" s="17">
        <v>20861.5</v>
      </c>
      <c r="E313" s="17">
        <v>20589.900000000001</v>
      </c>
      <c r="F313" s="17">
        <v>20503.099999999999</v>
      </c>
      <c r="G313" s="17">
        <v>20492.400000000001</v>
      </c>
      <c r="H313" s="17">
        <v>20600.599999999999</v>
      </c>
    </row>
    <row r="314" spans="1:8" x14ac:dyDescent="0.2">
      <c r="A314" s="17">
        <v>571</v>
      </c>
      <c r="C314" s="17">
        <v>20559.900000000001</v>
      </c>
      <c r="E314" s="17">
        <v>20587</v>
      </c>
      <c r="F314" s="17">
        <v>20503.2</v>
      </c>
      <c r="G314" s="17">
        <v>20492.599999999999</v>
      </c>
      <c r="H314" s="17">
        <v>20597.5</v>
      </c>
    </row>
    <row r="315" spans="1:8" x14ac:dyDescent="0.2">
      <c r="A315" s="17">
        <v>570.9</v>
      </c>
      <c r="C315" s="17">
        <v>20580.599999999999</v>
      </c>
      <c r="E315" s="17">
        <v>20584.099999999999</v>
      </c>
      <c r="F315" s="17">
        <v>20503.400000000001</v>
      </c>
      <c r="G315" s="17">
        <v>20492.900000000001</v>
      </c>
      <c r="H315" s="17">
        <v>20594.599999999999</v>
      </c>
    </row>
    <row r="316" spans="1:8" x14ac:dyDescent="0.2">
      <c r="A316" s="17">
        <v>570.79999999999995</v>
      </c>
      <c r="C316" s="17">
        <v>20691.2</v>
      </c>
      <c r="E316" s="17">
        <v>20581.400000000001</v>
      </c>
      <c r="F316" s="17">
        <v>20503.599999999999</v>
      </c>
      <c r="G316" s="17">
        <v>20493.2</v>
      </c>
      <c r="H316" s="17">
        <v>20591.7</v>
      </c>
    </row>
    <row r="317" spans="1:8" x14ac:dyDescent="0.2">
      <c r="A317" s="17">
        <v>570.70000000000005</v>
      </c>
      <c r="C317" s="17">
        <v>20407.900000000001</v>
      </c>
      <c r="E317" s="17">
        <v>20578.7</v>
      </c>
      <c r="F317" s="17">
        <v>20503.8</v>
      </c>
      <c r="G317" s="17">
        <v>20493.5</v>
      </c>
      <c r="H317" s="17">
        <v>20589</v>
      </c>
    </row>
    <row r="318" spans="1:8" x14ac:dyDescent="0.2">
      <c r="A318" s="17">
        <v>570.6</v>
      </c>
      <c r="C318" s="17">
        <v>20539.599999999999</v>
      </c>
      <c r="E318" s="17">
        <v>20576.099999999999</v>
      </c>
      <c r="F318" s="17">
        <v>20503.900000000001</v>
      </c>
      <c r="G318" s="17">
        <v>20493.8</v>
      </c>
      <c r="H318" s="17">
        <v>20586.3</v>
      </c>
    </row>
    <row r="319" spans="1:8" x14ac:dyDescent="0.2">
      <c r="A319" s="17">
        <v>570.5</v>
      </c>
      <c r="C319" s="17">
        <v>20509.5</v>
      </c>
      <c r="E319" s="17">
        <v>20573.7</v>
      </c>
      <c r="F319" s="17">
        <v>20504.099999999999</v>
      </c>
      <c r="G319" s="17">
        <v>20494.099999999999</v>
      </c>
      <c r="H319" s="17">
        <v>20583.7</v>
      </c>
    </row>
    <row r="320" spans="1:8" x14ac:dyDescent="0.2">
      <c r="A320" s="17">
        <v>570.4</v>
      </c>
      <c r="C320" s="17">
        <v>20609.599999999999</v>
      </c>
      <c r="E320" s="17">
        <v>20571.3</v>
      </c>
      <c r="F320" s="17">
        <v>20504.3</v>
      </c>
      <c r="G320" s="17">
        <v>20494.3</v>
      </c>
      <c r="H320" s="17">
        <v>20581.3</v>
      </c>
    </row>
    <row r="321" spans="1:8" x14ac:dyDescent="0.2">
      <c r="A321" s="17">
        <v>570.29999999999995</v>
      </c>
      <c r="C321" s="17">
        <v>20498.2</v>
      </c>
      <c r="E321" s="17">
        <v>20569.099999999999</v>
      </c>
      <c r="F321" s="17">
        <v>20504.5</v>
      </c>
      <c r="G321" s="17">
        <v>20494.599999999999</v>
      </c>
      <c r="H321" s="17">
        <v>20578.900000000001</v>
      </c>
    </row>
    <row r="322" spans="1:8" x14ac:dyDescent="0.2">
      <c r="A322" s="17">
        <v>570.20000000000005</v>
      </c>
      <c r="C322" s="17">
        <v>20357.3</v>
      </c>
      <c r="E322" s="17">
        <v>20566.900000000001</v>
      </c>
      <c r="F322" s="17">
        <v>20504.7</v>
      </c>
      <c r="G322" s="17">
        <v>20494.900000000001</v>
      </c>
      <c r="H322" s="17">
        <v>20576.599999999999</v>
      </c>
    </row>
    <row r="323" spans="1:8" x14ac:dyDescent="0.2">
      <c r="A323" s="17">
        <v>570.1</v>
      </c>
      <c r="C323" s="17">
        <v>20672</v>
      </c>
      <c r="E323" s="17">
        <v>20564.8</v>
      </c>
      <c r="F323" s="17">
        <v>20504.8</v>
      </c>
      <c r="G323" s="17">
        <v>20495.2</v>
      </c>
      <c r="H323" s="17">
        <v>20574.5</v>
      </c>
    </row>
    <row r="324" spans="1:8" x14ac:dyDescent="0.2">
      <c r="A324" s="17">
        <v>570</v>
      </c>
      <c r="C324" s="17">
        <v>20394.900000000001</v>
      </c>
      <c r="E324" s="17">
        <v>20562.8</v>
      </c>
      <c r="F324" s="17">
        <v>20505</v>
      </c>
      <c r="G324" s="17">
        <v>20495.5</v>
      </c>
      <c r="H324" s="17">
        <v>20572.400000000001</v>
      </c>
    </row>
    <row r="325" spans="1:8" x14ac:dyDescent="0.2">
      <c r="A325" s="17">
        <v>569.9</v>
      </c>
      <c r="C325" s="17">
        <v>20598.599999999999</v>
      </c>
      <c r="E325" s="17">
        <v>20560.900000000001</v>
      </c>
      <c r="F325" s="17">
        <v>20505.2</v>
      </c>
      <c r="G325" s="17">
        <v>20495.8</v>
      </c>
      <c r="H325" s="17">
        <v>20570.400000000001</v>
      </c>
    </row>
    <row r="326" spans="1:8" x14ac:dyDescent="0.2">
      <c r="A326" s="17">
        <v>569.79999999999995</v>
      </c>
      <c r="C326" s="17">
        <v>20521.7</v>
      </c>
      <c r="E326" s="17">
        <v>20559.099999999999</v>
      </c>
      <c r="F326" s="17">
        <v>20505.400000000001</v>
      </c>
      <c r="G326" s="17">
        <v>20496</v>
      </c>
      <c r="H326" s="17">
        <v>20568.400000000001</v>
      </c>
    </row>
    <row r="327" spans="1:8" x14ac:dyDescent="0.2">
      <c r="A327" s="17">
        <v>569.70000000000005</v>
      </c>
      <c r="C327" s="17">
        <v>20485</v>
      </c>
      <c r="E327" s="17">
        <v>20558</v>
      </c>
      <c r="F327" s="17">
        <v>20506.3</v>
      </c>
      <c r="G327" s="17">
        <v>20497</v>
      </c>
      <c r="H327" s="17">
        <v>20567.3</v>
      </c>
    </row>
    <row r="328" spans="1:8" x14ac:dyDescent="0.2">
      <c r="A328" s="17">
        <v>569.6</v>
      </c>
      <c r="C328" s="17">
        <v>20480.099999999999</v>
      </c>
      <c r="E328" s="17">
        <v>20557</v>
      </c>
      <c r="F328" s="17">
        <v>20507.2</v>
      </c>
      <c r="G328" s="17">
        <v>20498</v>
      </c>
      <c r="H328" s="17">
        <v>20566.2</v>
      </c>
    </row>
    <row r="329" spans="1:8" x14ac:dyDescent="0.2">
      <c r="A329" s="17">
        <v>569.5</v>
      </c>
      <c r="C329" s="17">
        <v>20628.3</v>
      </c>
      <c r="E329" s="17">
        <v>20556.099999999999</v>
      </c>
      <c r="F329" s="17">
        <v>20508</v>
      </c>
      <c r="G329" s="17">
        <v>20498.900000000001</v>
      </c>
      <c r="H329" s="17">
        <v>20565.2</v>
      </c>
    </row>
    <row r="330" spans="1:8" x14ac:dyDescent="0.2">
      <c r="A330" s="17">
        <v>569.4</v>
      </c>
      <c r="C330" s="17">
        <v>20664.8</v>
      </c>
      <c r="E330" s="17">
        <v>20555.2</v>
      </c>
      <c r="F330" s="17">
        <v>20508.900000000001</v>
      </c>
      <c r="G330" s="17">
        <v>20499.900000000001</v>
      </c>
      <c r="H330" s="17">
        <v>20564.2</v>
      </c>
    </row>
    <row r="331" spans="1:8" x14ac:dyDescent="0.2">
      <c r="A331" s="17">
        <v>569.29999999999995</v>
      </c>
      <c r="C331" s="17">
        <v>20441.599999999999</v>
      </c>
      <c r="E331" s="17">
        <v>20554.400000000001</v>
      </c>
      <c r="F331" s="17">
        <v>20509.8</v>
      </c>
      <c r="G331" s="17">
        <v>20500.900000000001</v>
      </c>
      <c r="H331" s="17">
        <v>20563.400000000001</v>
      </c>
    </row>
    <row r="332" spans="1:8" x14ac:dyDescent="0.2">
      <c r="A332" s="17">
        <v>569.20000000000005</v>
      </c>
      <c r="C332" s="17">
        <v>20616.400000000001</v>
      </c>
      <c r="E332" s="17">
        <v>20553.7</v>
      </c>
      <c r="F332" s="17">
        <v>20510.7</v>
      </c>
      <c r="G332" s="17">
        <v>20501.8</v>
      </c>
      <c r="H332" s="17">
        <v>20562.599999999999</v>
      </c>
    </row>
    <row r="333" spans="1:8" x14ac:dyDescent="0.2">
      <c r="A333" s="17">
        <v>569.1</v>
      </c>
      <c r="C333" s="17">
        <v>20583.099999999999</v>
      </c>
      <c r="E333" s="17">
        <v>20553.099999999999</v>
      </c>
      <c r="F333" s="17">
        <v>20511.5</v>
      </c>
      <c r="G333" s="17">
        <v>20502.8</v>
      </c>
      <c r="H333" s="17">
        <v>20561.8</v>
      </c>
    </row>
    <row r="334" spans="1:8" x14ac:dyDescent="0.2">
      <c r="A334" s="17">
        <v>569</v>
      </c>
      <c r="C334" s="17">
        <v>20535.900000000001</v>
      </c>
      <c r="E334" s="17">
        <v>20552.5</v>
      </c>
      <c r="F334" s="17">
        <v>20512.400000000001</v>
      </c>
      <c r="G334" s="17">
        <v>20503.7</v>
      </c>
      <c r="H334" s="17">
        <v>20561.2</v>
      </c>
    </row>
    <row r="335" spans="1:8" x14ac:dyDescent="0.2">
      <c r="A335" s="17">
        <v>568.9</v>
      </c>
      <c r="C335" s="17">
        <v>20339.7</v>
      </c>
      <c r="E335" s="17">
        <v>20552</v>
      </c>
      <c r="F335" s="17">
        <v>20513.3</v>
      </c>
      <c r="G335" s="17">
        <v>20504.7</v>
      </c>
      <c r="H335" s="17">
        <v>20560.599999999999</v>
      </c>
    </row>
    <row r="336" spans="1:8" x14ac:dyDescent="0.2">
      <c r="A336" s="17">
        <v>568.79999999999995</v>
      </c>
      <c r="C336" s="17">
        <v>20554.599999999999</v>
      </c>
      <c r="E336" s="17">
        <v>20551.5</v>
      </c>
      <c r="F336" s="17">
        <v>20514.2</v>
      </c>
      <c r="G336" s="17">
        <v>20505.7</v>
      </c>
      <c r="H336" s="17">
        <v>20560</v>
      </c>
    </row>
    <row r="337" spans="1:8" x14ac:dyDescent="0.2">
      <c r="A337" s="17">
        <v>568.70000000000005</v>
      </c>
      <c r="C337" s="17">
        <v>20722.3</v>
      </c>
      <c r="E337" s="17">
        <v>20551.099999999999</v>
      </c>
      <c r="F337" s="17">
        <v>20515.099999999999</v>
      </c>
      <c r="G337" s="17">
        <v>20506.599999999999</v>
      </c>
      <c r="H337" s="17">
        <v>20559.5</v>
      </c>
    </row>
    <row r="338" spans="1:8" x14ac:dyDescent="0.2">
      <c r="A338" s="17">
        <v>568.6</v>
      </c>
      <c r="C338" s="17">
        <v>20461.099999999999</v>
      </c>
      <c r="E338" s="17">
        <v>20557.400000000001</v>
      </c>
      <c r="F338" s="17">
        <v>20522.599999999999</v>
      </c>
      <c r="G338" s="17">
        <v>20514.2</v>
      </c>
      <c r="H338" s="17">
        <v>20565.8</v>
      </c>
    </row>
    <row r="339" spans="1:8" x14ac:dyDescent="0.2">
      <c r="A339" s="17">
        <v>568.5</v>
      </c>
      <c r="C339" s="17">
        <v>20455.400000000001</v>
      </c>
      <c r="E339" s="17">
        <v>20563.8</v>
      </c>
      <c r="F339" s="17">
        <v>20530.099999999999</v>
      </c>
      <c r="G339" s="17">
        <v>20521.8</v>
      </c>
      <c r="H339" s="17">
        <v>20572</v>
      </c>
    </row>
    <row r="340" spans="1:8" x14ac:dyDescent="0.2">
      <c r="A340" s="17">
        <v>568.4</v>
      </c>
      <c r="C340" s="17">
        <v>20604.2</v>
      </c>
      <c r="E340" s="17">
        <v>20570.2</v>
      </c>
      <c r="F340" s="17">
        <v>20537.599999999999</v>
      </c>
      <c r="G340" s="17">
        <v>20529.5</v>
      </c>
      <c r="H340" s="17">
        <v>20578.400000000001</v>
      </c>
    </row>
    <row r="341" spans="1:8" x14ac:dyDescent="0.2">
      <c r="A341" s="17">
        <v>568.29999999999995</v>
      </c>
      <c r="C341" s="17">
        <v>20668.900000000001</v>
      </c>
      <c r="E341" s="17">
        <v>20576.599999999999</v>
      </c>
      <c r="F341" s="17">
        <v>20545.2</v>
      </c>
      <c r="G341" s="17">
        <v>20537.099999999999</v>
      </c>
      <c r="H341" s="17">
        <v>20584.7</v>
      </c>
    </row>
    <row r="342" spans="1:8" x14ac:dyDescent="0.2">
      <c r="A342" s="17">
        <v>568.20000000000005</v>
      </c>
      <c r="C342" s="17">
        <v>20626.400000000001</v>
      </c>
      <c r="E342" s="17">
        <v>20583.099999999999</v>
      </c>
      <c r="F342" s="17">
        <v>20552.7</v>
      </c>
      <c r="G342" s="17">
        <v>20544.7</v>
      </c>
      <c r="H342" s="17">
        <v>20591.2</v>
      </c>
    </row>
    <row r="343" spans="1:8" x14ac:dyDescent="0.2">
      <c r="A343" s="17">
        <v>568.1</v>
      </c>
      <c r="C343" s="17">
        <v>20361.5</v>
      </c>
      <c r="E343" s="17">
        <v>20589.599999999999</v>
      </c>
      <c r="F343" s="17">
        <v>20560.2</v>
      </c>
      <c r="G343" s="17">
        <v>20552.3</v>
      </c>
      <c r="H343" s="17">
        <v>20597.599999999999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4579-4A6C-AB43-8F1D-2864195EFF38}">
  <dimension ref="A2:I402"/>
  <sheetViews>
    <sheetView zoomScale="135" zoomScaleNormal="135" workbookViewId="0">
      <selection activeCell="J1" sqref="J1:J1048576"/>
    </sheetView>
  </sheetViews>
  <sheetFormatPr baseColWidth="10" defaultRowHeight="15" x14ac:dyDescent="0.2"/>
  <cols>
    <col min="1" max="1" width="13.6640625" style="17" customWidth="1"/>
    <col min="2" max="2" width="6.33203125" style="17" bestFit="1" customWidth="1"/>
    <col min="3" max="3" width="23" style="17" bestFit="1" customWidth="1"/>
    <col min="4" max="4" width="4" style="17" bestFit="1" customWidth="1"/>
    <col min="5" max="9" width="23" style="17" bestFit="1" customWidth="1"/>
    <col min="10" max="255" width="8.83203125" style="17" customWidth="1"/>
    <col min="256" max="16384" width="10.83203125" style="17"/>
  </cols>
  <sheetData>
    <row r="2" spans="1:9" x14ac:dyDescent="0.2">
      <c r="A2" s="17" t="s">
        <v>219</v>
      </c>
      <c r="E2" s="17" t="s">
        <v>229</v>
      </c>
      <c r="F2" s="17" t="s">
        <v>230</v>
      </c>
      <c r="G2" s="17" t="s">
        <v>231</v>
      </c>
      <c r="H2" s="17" t="s">
        <v>222</v>
      </c>
      <c r="I2" s="17" t="s">
        <v>223</v>
      </c>
    </row>
    <row r="3" spans="1:9" x14ac:dyDescent="0.2">
      <c r="A3" s="17" t="s">
        <v>224</v>
      </c>
      <c r="C3" s="17" t="s">
        <v>228</v>
      </c>
      <c r="E3" s="17" t="s">
        <v>228</v>
      </c>
      <c r="F3" s="17" t="s">
        <v>228</v>
      </c>
      <c r="G3" s="17" t="s">
        <v>228</v>
      </c>
      <c r="H3" s="17" t="s">
        <v>228</v>
      </c>
      <c r="I3" s="17" t="s">
        <v>228</v>
      </c>
    </row>
    <row r="4" spans="1:9" x14ac:dyDescent="0.2">
      <c r="A4" s="17">
        <v>740</v>
      </c>
      <c r="C4" s="17">
        <v>9187.6</v>
      </c>
      <c r="E4" s="17">
        <v>9204.42</v>
      </c>
      <c r="F4" s="17">
        <v>9206.3799999999992</v>
      </c>
      <c r="G4" s="17">
        <v>9203.8799999999992</v>
      </c>
      <c r="H4" s="17">
        <v>9203.5499999999993</v>
      </c>
      <c r="I4" s="17">
        <v>9207.58</v>
      </c>
    </row>
    <row r="5" spans="1:9" x14ac:dyDescent="0.2">
      <c r="A5" s="17">
        <v>739.9</v>
      </c>
      <c r="C5" s="17">
        <v>9212.2199999999993</v>
      </c>
      <c r="E5" s="17">
        <v>9203.64</v>
      </c>
      <c r="F5" s="17">
        <v>9205.6299999999992</v>
      </c>
      <c r="G5" s="17">
        <v>9203.1</v>
      </c>
      <c r="H5" s="17">
        <v>9202.76</v>
      </c>
      <c r="I5" s="17">
        <v>9206.84</v>
      </c>
    </row>
    <row r="6" spans="1:9" x14ac:dyDescent="0.2">
      <c r="A6" s="17">
        <v>739.8</v>
      </c>
      <c r="C6" s="17">
        <v>9162.58</v>
      </c>
      <c r="E6" s="17">
        <v>9187.7000000000007</v>
      </c>
      <c r="F6" s="17">
        <v>9189.73</v>
      </c>
      <c r="G6" s="17">
        <v>9187.16</v>
      </c>
      <c r="H6" s="17">
        <v>9186.82</v>
      </c>
      <c r="I6" s="17">
        <v>9190.9500000000007</v>
      </c>
    </row>
    <row r="7" spans="1:9" x14ac:dyDescent="0.2">
      <c r="A7" s="17">
        <v>739.7</v>
      </c>
      <c r="C7" s="17">
        <v>9281.32</v>
      </c>
      <c r="E7" s="17">
        <v>9176.7900000000009</v>
      </c>
      <c r="F7" s="17">
        <v>9178.85</v>
      </c>
      <c r="G7" s="17">
        <v>9176.24</v>
      </c>
      <c r="H7" s="17">
        <v>9175.9</v>
      </c>
      <c r="I7" s="17">
        <v>9180.08</v>
      </c>
    </row>
    <row r="8" spans="1:9" x14ac:dyDescent="0.2">
      <c r="A8" s="17">
        <v>739.6</v>
      </c>
      <c r="C8" s="17">
        <v>9127.51</v>
      </c>
      <c r="E8" s="17">
        <v>9173.32</v>
      </c>
      <c r="F8" s="17">
        <v>9175.42</v>
      </c>
      <c r="G8" s="17">
        <v>9172.77</v>
      </c>
      <c r="H8" s="17">
        <v>9172.43</v>
      </c>
      <c r="I8" s="17">
        <v>9176.66</v>
      </c>
    </row>
    <row r="9" spans="1:9" x14ac:dyDescent="0.2">
      <c r="A9" s="17">
        <v>739.5</v>
      </c>
      <c r="C9" s="17">
        <v>9107.6200000000008</v>
      </c>
      <c r="E9" s="17">
        <v>9169.56</v>
      </c>
      <c r="F9" s="17">
        <v>9171.7000000000007</v>
      </c>
      <c r="G9" s="17">
        <v>9169.01</v>
      </c>
      <c r="H9" s="17">
        <v>9168.66</v>
      </c>
      <c r="I9" s="17">
        <v>9172.9500000000007</v>
      </c>
    </row>
    <row r="10" spans="1:9" x14ac:dyDescent="0.2">
      <c r="A10" s="17">
        <v>739.4</v>
      </c>
      <c r="C10" s="17">
        <v>9192.7800000000007</v>
      </c>
      <c r="E10" s="17">
        <v>9154.76</v>
      </c>
      <c r="F10" s="17">
        <v>9156.93</v>
      </c>
      <c r="G10" s="17">
        <v>9154.2000000000007</v>
      </c>
      <c r="H10" s="17">
        <v>9153.85</v>
      </c>
      <c r="I10" s="17">
        <v>9158.19</v>
      </c>
    </row>
    <row r="11" spans="1:9" x14ac:dyDescent="0.2">
      <c r="A11" s="17">
        <v>739.3</v>
      </c>
      <c r="C11" s="17">
        <v>9182.66</v>
      </c>
      <c r="E11" s="17">
        <v>9154.76</v>
      </c>
      <c r="F11" s="17">
        <v>9156.98</v>
      </c>
      <c r="G11" s="17">
        <v>9154.2000000000007</v>
      </c>
      <c r="H11" s="17">
        <v>9153.85</v>
      </c>
      <c r="I11" s="17">
        <v>9158.24</v>
      </c>
    </row>
    <row r="12" spans="1:9" x14ac:dyDescent="0.2">
      <c r="A12" s="17">
        <v>739.2</v>
      </c>
      <c r="C12" s="17">
        <v>9158.7000000000007</v>
      </c>
      <c r="E12" s="17">
        <v>9154.65</v>
      </c>
      <c r="F12" s="17">
        <v>9156.9</v>
      </c>
      <c r="G12" s="17">
        <v>9154.08</v>
      </c>
      <c r="H12" s="17">
        <v>9153.73</v>
      </c>
      <c r="I12" s="17">
        <v>9158.18</v>
      </c>
    </row>
    <row r="13" spans="1:9" x14ac:dyDescent="0.2">
      <c r="A13" s="17">
        <v>739.1</v>
      </c>
      <c r="C13" s="17">
        <v>9235.43</v>
      </c>
      <c r="E13" s="17">
        <v>9154.4599999999991</v>
      </c>
      <c r="F13" s="17">
        <v>9156.75</v>
      </c>
      <c r="G13" s="17">
        <v>9153.89</v>
      </c>
      <c r="H13" s="17">
        <v>9153.5300000000007</v>
      </c>
      <c r="I13" s="17">
        <v>9158.0400000000009</v>
      </c>
    </row>
    <row r="14" spans="1:9" x14ac:dyDescent="0.2">
      <c r="A14" s="17">
        <v>739</v>
      </c>
      <c r="C14" s="17">
        <v>9173.93</v>
      </c>
      <c r="E14" s="17">
        <v>9154.23</v>
      </c>
      <c r="F14" s="17">
        <v>9156.56</v>
      </c>
      <c r="G14" s="17">
        <v>9153.65</v>
      </c>
      <c r="H14" s="17">
        <v>9153.2900000000009</v>
      </c>
      <c r="I14" s="17">
        <v>9157.86</v>
      </c>
    </row>
    <row r="15" spans="1:9" x14ac:dyDescent="0.2">
      <c r="A15" s="17">
        <v>738.9</v>
      </c>
      <c r="C15" s="17">
        <v>9232.35</v>
      </c>
      <c r="E15" s="17">
        <v>9153.85</v>
      </c>
      <c r="F15" s="17">
        <v>9156.23</v>
      </c>
      <c r="G15" s="17">
        <v>9153.2800000000007</v>
      </c>
      <c r="H15" s="17">
        <v>9152.91</v>
      </c>
      <c r="I15" s="17">
        <v>9157.5400000000009</v>
      </c>
    </row>
    <row r="16" spans="1:9" x14ac:dyDescent="0.2">
      <c r="A16" s="17">
        <v>738.8</v>
      </c>
      <c r="C16" s="17">
        <v>9308.66</v>
      </c>
      <c r="E16" s="17">
        <v>9153.36</v>
      </c>
      <c r="F16" s="17">
        <v>9155.7800000000007</v>
      </c>
      <c r="G16" s="17">
        <v>9152.7800000000007</v>
      </c>
      <c r="H16" s="17">
        <v>9152.41</v>
      </c>
      <c r="I16" s="17">
        <v>9157.1</v>
      </c>
    </row>
    <row r="17" spans="1:9" x14ac:dyDescent="0.2">
      <c r="A17" s="17">
        <v>738.7</v>
      </c>
      <c r="C17" s="17">
        <v>9264.0499999999993</v>
      </c>
      <c r="E17" s="17">
        <v>9152.89</v>
      </c>
      <c r="F17" s="17">
        <v>9155.36</v>
      </c>
      <c r="G17" s="17">
        <v>9152.31</v>
      </c>
      <c r="H17" s="17">
        <v>9151.94</v>
      </c>
      <c r="I17" s="17">
        <v>9156.68</v>
      </c>
    </row>
    <row r="18" spans="1:9" x14ac:dyDescent="0.2">
      <c r="A18" s="17">
        <v>738.6</v>
      </c>
      <c r="C18" s="17">
        <v>9213.9699999999993</v>
      </c>
      <c r="E18" s="17">
        <v>9152.32</v>
      </c>
      <c r="F18" s="17">
        <v>9154.83</v>
      </c>
      <c r="G18" s="17">
        <v>9151.74</v>
      </c>
      <c r="H18" s="17">
        <v>9151.36</v>
      </c>
      <c r="I18" s="17">
        <v>9156.17</v>
      </c>
    </row>
    <row r="19" spans="1:9" x14ac:dyDescent="0.2">
      <c r="A19" s="17">
        <v>738.5</v>
      </c>
      <c r="C19" s="17">
        <v>9260.51</v>
      </c>
      <c r="E19" s="17">
        <v>9151.81</v>
      </c>
      <c r="F19" s="17">
        <v>9154.3700000000008</v>
      </c>
      <c r="G19" s="17">
        <v>9151.2199999999993</v>
      </c>
      <c r="H19" s="17">
        <v>9150.84</v>
      </c>
      <c r="I19" s="17">
        <v>9155.7199999999993</v>
      </c>
    </row>
    <row r="20" spans="1:9" x14ac:dyDescent="0.2">
      <c r="A20" s="17">
        <v>738.4</v>
      </c>
      <c r="C20" s="17">
        <v>9181.25</v>
      </c>
      <c r="E20" s="17">
        <v>9151.39</v>
      </c>
      <c r="F20" s="17">
        <v>9153.99</v>
      </c>
      <c r="G20" s="17">
        <v>9150.7900000000009</v>
      </c>
      <c r="H20" s="17">
        <v>9150.41</v>
      </c>
      <c r="I20" s="17">
        <v>9155.35</v>
      </c>
    </row>
    <row r="21" spans="1:9" x14ac:dyDescent="0.2">
      <c r="A21" s="17">
        <v>738.3</v>
      </c>
      <c r="C21" s="17">
        <v>9221.48</v>
      </c>
      <c r="E21" s="17">
        <v>9151.1</v>
      </c>
      <c r="F21" s="17">
        <v>9153.76</v>
      </c>
      <c r="G21" s="17">
        <v>9150.5</v>
      </c>
      <c r="H21" s="17">
        <v>9150.1200000000008</v>
      </c>
      <c r="I21" s="17">
        <v>9155.1299999999992</v>
      </c>
    </row>
    <row r="22" spans="1:9" x14ac:dyDescent="0.2">
      <c r="A22" s="17">
        <v>738.2</v>
      </c>
      <c r="C22" s="17">
        <v>9140.94</v>
      </c>
      <c r="E22" s="17">
        <v>9150.92</v>
      </c>
      <c r="F22" s="17">
        <v>9153.6299999999992</v>
      </c>
      <c r="G22" s="17">
        <v>9150.32</v>
      </c>
      <c r="H22" s="17">
        <v>9149.93</v>
      </c>
      <c r="I22" s="17">
        <v>9155.01</v>
      </c>
    </row>
    <row r="23" spans="1:9" x14ac:dyDescent="0.2">
      <c r="A23" s="17">
        <v>738.1</v>
      </c>
      <c r="C23" s="17">
        <v>9114.42</v>
      </c>
      <c r="E23" s="17">
        <v>9150.83</v>
      </c>
      <c r="F23" s="17">
        <v>9153.59</v>
      </c>
      <c r="G23" s="17">
        <v>9150.23</v>
      </c>
      <c r="H23" s="17">
        <v>9149.83</v>
      </c>
      <c r="I23" s="17">
        <v>9154.99</v>
      </c>
    </row>
    <row r="24" spans="1:9" x14ac:dyDescent="0.2">
      <c r="A24" s="17">
        <v>738</v>
      </c>
      <c r="C24" s="17">
        <v>9175.2000000000007</v>
      </c>
      <c r="E24" s="17">
        <v>9150.7999999999993</v>
      </c>
      <c r="F24" s="17">
        <v>9153.61</v>
      </c>
      <c r="G24" s="17">
        <v>9150.19</v>
      </c>
      <c r="H24" s="17">
        <v>9149.7900000000009</v>
      </c>
      <c r="I24" s="17">
        <v>9155.02</v>
      </c>
    </row>
    <row r="25" spans="1:9" x14ac:dyDescent="0.2">
      <c r="A25" s="17">
        <v>737.9</v>
      </c>
      <c r="C25" s="17">
        <v>9133.42</v>
      </c>
      <c r="E25" s="17">
        <v>9150.7999999999993</v>
      </c>
      <c r="F25" s="17">
        <v>9153.67</v>
      </c>
      <c r="G25" s="17">
        <v>9150.19</v>
      </c>
      <c r="H25" s="17">
        <v>9149.7900000000009</v>
      </c>
      <c r="I25" s="17">
        <v>9155.08</v>
      </c>
    </row>
    <row r="26" spans="1:9" x14ac:dyDescent="0.2">
      <c r="A26" s="17">
        <v>737.8</v>
      </c>
      <c r="C26" s="17">
        <v>9189.7199999999993</v>
      </c>
      <c r="E26" s="17">
        <v>9150.65</v>
      </c>
      <c r="F26" s="17">
        <v>9153.57</v>
      </c>
      <c r="G26" s="17">
        <v>9150.0300000000007</v>
      </c>
      <c r="H26" s="17">
        <v>9149.6200000000008</v>
      </c>
      <c r="I26" s="17">
        <v>9155</v>
      </c>
    </row>
    <row r="27" spans="1:9" x14ac:dyDescent="0.2">
      <c r="A27" s="17">
        <v>737.7</v>
      </c>
      <c r="C27" s="17">
        <v>9282.11</v>
      </c>
      <c r="E27" s="17">
        <v>9150.33</v>
      </c>
      <c r="F27" s="17">
        <v>9153.32</v>
      </c>
      <c r="G27" s="17">
        <v>9149.7099999999991</v>
      </c>
      <c r="H27" s="17">
        <v>9149.2999999999993</v>
      </c>
      <c r="I27" s="17">
        <v>9154.75</v>
      </c>
    </row>
    <row r="28" spans="1:9" x14ac:dyDescent="0.2">
      <c r="A28" s="17">
        <v>737.6</v>
      </c>
      <c r="C28" s="17">
        <v>9257.35</v>
      </c>
      <c r="E28" s="17">
        <v>9149.93</v>
      </c>
      <c r="F28" s="17">
        <v>9152.9699999999993</v>
      </c>
      <c r="G28" s="17">
        <v>9149.2999999999993</v>
      </c>
      <c r="H28" s="17">
        <v>9148.89</v>
      </c>
      <c r="I28" s="17">
        <v>9154.42</v>
      </c>
    </row>
    <row r="29" spans="1:9" x14ac:dyDescent="0.2">
      <c r="A29" s="17">
        <v>737.5</v>
      </c>
      <c r="C29" s="17">
        <v>9255.83</v>
      </c>
      <c r="E29" s="17">
        <v>9149.44</v>
      </c>
      <c r="F29" s="17">
        <v>9152.5400000000009</v>
      </c>
      <c r="G29" s="17">
        <v>9148.81</v>
      </c>
      <c r="H29" s="17">
        <v>9148.4</v>
      </c>
      <c r="I29" s="17">
        <v>9154.01</v>
      </c>
    </row>
    <row r="30" spans="1:9" x14ac:dyDescent="0.2">
      <c r="A30" s="17">
        <v>737.4</v>
      </c>
      <c r="C30" s="17">
        <v>9208.44</v>
      </c>
      <c r="E30" s="17">
        <v>9148.91</v>
      </c>
      <c r="F30" s="17">
        <v>9152.07</v>
      </c>
      <c r="G30" s="17">
        <v>9148.27</v>
      </c>
      <c r="H30" s="17">
        <v>9147.85</v>
      </c>
      <c r="I30" s="17">
        <v>9153.5499999999993</v>
      </c>
    </row>
    <row r="31" spans="1:9" x14ac:dyDescent="0.2">
      <c r="A31" s="17">
        <v>737.3</v>
      </c>
      <c r="C31" s="17">
        <v>9228.64</v>
      </c>
      <c r="E31" s="17">
        <v>9148.5</v>
      </c>
      <c r="F31" s="17">
        <v>9151.73</v>
      </c>
      <c r="G31" s="17">
        <v>9147.86</v>
      </c>
      <c r="H31" s="17">
        <v>9147.43</v>
      </c>
      <c r="I31" s="17">
        <v>9153.2099999999991</v>
      </c>
    </row>
    <row r="32" spans="1:9" x14ac:dyDescent="0.2">
      <c r="A32" s="17">
        <v>737.2</v>
      </c>
      <c r="C32" s="17">
        <v>9170.77</v>
      </c>
      <c r="E32" s="17">
        <v>9148.11</v>
      </c>
      <c r="F32" s="17">
        <v>9151.41</v>
      </c>
      <c r="G32" s="17">
        <v>9147.4699999999993</v>
      </c>
      <c r="H32" s="17">
        <v>9147.0400000000009</v>
      </c>
      <c r="I32" s="17">
        <v>9152.91</v>
      </c>
    </row>
    <row r="33" spans="1:9" x14ac:dyDescent="0.2">
      <c r="A33" s="17">
        <v>737.1</v>
      </c>
      <c r="C33" s="17">
        <v>9230.11</v>
      </c>
      <c r="E33" s="17">
        <v>9147.77</v>
      </c>
      <c r="F33" s="17">
        <v>9151.1299999999992</v>
      </c>
      <c r="G33" s="17">
        <v>9147.1200000000008</v>
      </c>
      <c r="H33" s="17">
        <v>9146.69</v>
      </c>
      <c r="I33" s="17">
        <v>9152.64</v>
      </c>
    </row>
    <row r="34" spans="1:9" x14ac:dyDescent="0.2">
      <c r="A34" s="17">
        <v>737</v>
      </c>
      <c r="C34" s="17">
        <v>9217.66</v>
      </c>
      <c r="E34" s="17">
        <v>9147.3799999999992</v>
      </c>
      <c r="F34" s="17">
        <v>9150.81</v>
      </c>
      <c r="G34" s="17">
        <v>9146.73</v>
      </c>
      <c r="H34" s="17">
        <v>9146.2900000000009</v>
      </c>
      <c r="I34" s="17">
        <v>9152.34</v>
      </c>
    </row>
    <row r="35" spans="1:9" x14ac:dyDescent="0.2">
      <c r="A35" s="17">
        <v>736.9</v>
      </c>
      <c r="C35" s="17">
        <v>9243.3799999999992</v>
      </c>
      <c r="E35" s="17">
        <v>9147.07</v>
      </c>
      <c r="F35" s="17">
        <v>9150.58</v>
      </c>
      <c r="G35" s="17">
        <v>9146.41</v>
      </c>
      <c r="H35" s="17">
        <v>9145.9699999999993</v>
      </c>
      <c r="I35" s="17">
        <v>9152.11</v>
      </c>
    </row>
    <row r="36" spans="1:9" x14ac:dyDescent="0.2">
      <c r="A36" s="17">
        <v>736.8</v>
      </c>
      <c r="C36" s="17">
        <v>9158.4699999999993</v>
      </c>
      <c r="E36" s="17">
        <v>9146.91</v>
      </c>
      <c r="F36" s="17">
        <v>9150.49</v>
      </c>
      <c r="G36" s="17">
        <v>9146.24</v>
      </c>
      <c r="H36" s="17">
        <v>9145.7999999999993</v>
      </c>
      <c r="I36" s="17">
        <v>9152.0400000000009</v>
      </c>
    </row>
    <row r="37" spans="1:9" x14ac:dyDescent="0.2">
      <c r="A37" s="17">
        <v>736.7</v>
      </c>
      <c r="C37" s="17">
        <v>9035.82</v>
      </c>
      <c r="E37" s="17">
        <v>9146.84</v>
      </c>
      <c r="F37" s="17">
        <v>9150.5</v>
      </c>
      <c r="G37" s="17">
        <v>9146.17</v>
      </c>
      <c r="H37" s="17">
        <v>9145.7199999999993</v>
      </c>
      <c r="I37" s="17">
        <v>9152.06</v>
      </c>
    </row>
    <row r="38" spans="1:9" x14ac:dyDescent="0.2">
      <c r="A38" s="17">
        <v>736.6</v>
      </c>
      <c r="C38" s="17">
        <v>9144.41</v>
      </c>
      <c r="E38" s="17">
        <v>9146.84</v>
      </c>
      <c r="F38" s="17">
        <v>9150.58</v>
      </c>
      <c r="G38" s="17">
        <v>9146.17</v>
      </c>
      <c r="H38" s="17">
        <v>9145.7199999999993</v>
      </c>
      <c r="I38" s="17">
        <v>9152.15</v>
      </c>
    </row>
    <row r="39" spans="1:9" x14ac:dyDescent="0.2">
      <c r="A39" s="17">
        <v>736.5</v>
      </c>
      <c r="C39" s="17">
        <v>9152.4699999999993</v>
      </c>
      <c r="E39" s="17">
        <v>9147.43</v>
      </c>
      <c r="F39" s="17">
        <v>9151.24</v>
      </c>
      <c r="G39" s="17">
        <v>9146.75</v>
      </c>
      <c r="H39" s="17">
        <v>9146.2900000000009</v>
      </c>
      <c r="I39" s="17">
        <v>9152.83</v>
      </c>
    </row>
    <row r="40" spans="1:9" x14ac:dyDescent="0.2">
      <c r="A40" s="17">
        <v>736.4</v>
      </c>
      <c r="C40" s="17">
        <v>9237.42</v>
      </c>
      <c r="E40" s="17">
        <v>9148.01</v>
      </c>
      <c r="F40" s="17">
        <v>9151.91</v>
      </c>
      <c r="G40" s="17">
        <v>9147.33</v>
      </c>
      <c r="H40" s="17">
        <v>9146.86</v>
      </c>
      <c r="I40" s="17">
        <v>9153.51</v>
      </c>
    </row>
    <row r="41" spans="1:9" x14ac:dyDescent="0.2">
      <c r="A41" s="17">
        <v>736.3</v>
      </c>
      <c r="C41" s="17">
        <v>9207.76</v>
      </c>
      <c r="E41" s="17">
        <v>9148.59</v>
      </c>
      <c r="F41" s="17">
        <v>9152.58</v>
      </c>
      <c r="G41" s="17">
        <v>9147.9</v>
      </c>
      <c r="H41" s="17">
        <v>9147.44</v>
      </c>
      <c r="I41" s="17">
        <v>9154.2000000000007</v>
      </c>
    </row>
    <row r="42" spans="1:9" x14ac:dyDescent="0.2">
      <c r="A42" s="17">
        <v>736.2</v>
      </c>
      <c r="C42" s="17">
        <v>9260.18</v>
      </c>
      <c r="E42" s="17">
        <v>9149.18</v>
      </c>
      <c r="F42" s="17">
        <v>9153.25</v>
      </c>
      <c r="G42" s="17">
        <v>9148.48</v>
      </c>
      <c r="H42" s="17">
        <v>9148.01</v>
      </c>
      <c r="I42" s="17">
        <v>9154.89</v>
      </c>
    </row>
    <row r="43" spans="1:9" x14ac:dyDescent="0.2">
      <c r="A43" s="17">
        <v>736.1</v>
      </c>
      <c r="C43" s="17">
        <v>9256.9500000000007</v>
      </c>
      <c r="E43" s="17">
        <v>9149.76</v>
      </c>
      <c r="F43" s="17">
        <v>9153.93</v>
      </c>
      <c r="G43" s="17">
        <v>9149.06</v>
      </c>
      <c r="H43" s="17">
        <v>9148.59</v>
      </c>
      <c r="I43" s="17">
        <v>9155.58</v>
      </c>
    </row>
    <row r="44" spans="1:9" x14ac:dyDescent="0.2">
      <c r="A44" s="17">
        <v>736</v>
      </c>
      <c r="C44" s="17">
        <v>9267.27</v>
      </c>
      <c r="E44" s="17">
        <v>9150.34</v>
      </c>
      <c r="F44" s="17">
        <v>9154.61</v>
      </c>
      <c r="G44" s="17">
        <v>9149.64</v>
      </c>
      <c r="H44" s="17">
        <v>9149.16</v>
      </c>
      <c r="I44" s="17">
        <v>9156.27</v>
      </c>
    </row>
    <row r="45" spans="1:9" x14ac:dyDescent="0.2">
      <c r="A45" s="17">
        <v>735.9</v>
      </c>
      <c r="C45" s="17">
        <v>9220.16</v>
      </c>
      <c r="E45" s="17">
        <v>9150.93</v>
      </c>
      <c r="F45" s="17">
        <v>9155.2900000000009</v>
      </c>
      <c r="G45" s="17">
        <v>9150.2199999999993</v>
      </c>
      <c r="H45" s="17">
        <v>9149.73</v>
      </c>
      <c r="I45" s="17">
        <v>9156.9699999999993</v>
      </c>
    </row>
    <row r="46" spans="1:9" x14ac:dyDescent="0.2">
      <c r="A46" s="17">
        <v>735.8</v>
      </c>
      <c r="C46" s="17">
        <v>9290.17</v>
      </c>
      <c r="E46" s="17">
        <v>9151.51</v>
      </c>
      <c r="F46" s="17">
        <v>9155.98</v>
      </c>
      <c r="G46" s="17">
        <v>9150.7999999999993</v>
      </c>
      <c r="H46" s="17">
        <v>9150.31</v>
      </c>
      <c r="I46" s="17">
        <v>9157.67</v>
      </c>
    </row>
    <row r="47" spans="1:9" x14ac:dyDescent="0.2">
      <c r="A47" s="17">
        <v>735.7</v>
      </c>
      <c r="C47" s="17">
        <v>9260.2099999999991</v>
      </c>
      <c r="E47" s="17">
        <v>9152.09</v>
      </c>
      <c r="F47" s="17">
        <v>9156.67</v>
      </c>
      <c r="G47" s="17">
        <v>9151.3799999999992</v>
      </c>
      <c r="H47" s="17">
        <v>9150.8799999999992</v>
      </c>
      <c r="I47" s="17">
        <v>9158.3799999999992</v>
      </c>
    </row>
    <row r="48" spans="1:9" x14ac:dyDescent="0.2">
      <c r="A48" s="17">
        <v>735.6</v>
      </c>
      <c r="C48" s="17">
        <v>9254.5499999999993</v>
      </c>
      <c r="E48" s="17">
        <v>9152.68</v>
      </c>
      <c r="F48" s="17">
        <v>9157.3700000000008</v>
      </c>
      <c r="G48" s="17">
        <v>9151.9599999999991</v>
      </c>
      <c r="H48" s="17">
        <v>9151.4599999999991</v>
      </c>
      <c r="I48" s="17">
        <v>9159.09</v>
      </c>
    </row>
    <row r="49" spans="1:9" x14ac:dyDescent="0.2">
      <c r="A49" s="17">
        <v>735.5</v>
      </c>
      <c r="C49" s="17">
        <v>9240.4500000000007</v>
      </c>
      <c r="E49" s="17">
        <v>9153.26</v>
      </c>
      <c r="F49" s="17">
        <v>9158.07</v>
      </c>
      <c r="G49" s="17">
        <v>9152.5400000000009</v>
      </c>
      <c r="H49" s="17">
        <v>9152.0300000000007</v>
      </c>
      <c r="I49" s="17">
        <v>9159.81</v>
      </c>
    </row>
    <row r="50" spans="1:9" x14ac:dyDescent="0.2">
      <c r="A50" s="17">
        <v>735.4</v>
      </c>
      <c r="C50" s="17">
        <v>9222</v>
      </c>
      <c r="E50" s="17">
        <v>9153.85</v>
      </c>
      <c r="F50" s="17">
        <v>9158.77</v>
      </c>
      <c r="G50" s="17">
        <v>9153.1200000000008</v>
      </c>
      <c r="H50" s="17">
        <v>9152.6</v>
      </c>
      <c r="I50" s="17">
        <v>9160.5300000000007</v>
      </c>
    </row>
    <row r="51" spans="1:9" x14ac:dyDescent="0.2">
      <c r="A51" s="17">
        <v>735.3</v>
      </c>
      <c r="C51" s="17">
        <v>9252.2999999999993</v>
      </c>
      <c r="E51" s="17">
        <v>9154.43</v>
      </c>
      <c r="F51" s="17">
        <v>9159.48</v>
      </c>
      <c r="G51" s="17">
        <v>9153.7000000000007</v>
      </c>
      <c r="H51" s="17">
        <v>9153.18</v>
      </c>
      <c r="I51" s="17">
        <v>9161.25</v>
      </c>
    </row>
    <row r="52" spans="1:9" x14ac:dyDescent="0.2">
      <c r="A52" s="17">
        <v>735.2</v>
      </c>
      <c r="C52" s="17">
        <v>9230.98</v>
      </c>
      <c r="E52" s="17">
        <v>9155.02</v>
      </c>
      <c r="F52" s="17">
        <v>9160.2000000000007</v>
      </c>
      <c r="G52" s="17">
        <v>9154.27</v>
      </c>
      <c r="H52" s="17">
        <v>9153.75</v>
      </c>
      <c r="I52" s="17">
        <v>9161.99</v>
      </c>
    </row>
    <row r="53" spans="1:9" x14ac:dyDescent="0.2">
      <c r="A53" s="17">
        <v>735.1</v>
      </c>
      <c r="C53" s="17">
        <v>9147.24</v>
      </c>
      <c r="E53" s="17">
        <v>9155.6</v>
      </c>
      <c r="F53" s="17">
        <v>9160.92</v>
      </c>
      <c r="G53" s="17">
        <v>9154.85</v>
      </c>
      <c r="H53" s="17">
        <v>9154.33</v>
      </c>
      <c r="I53" s="17">
        <v>9162.73</v>
      </c>
    </row>
    <row r="54" spans="1:9" x14ac:dyDescent="0.2">
      <c r="A54" s="17">
        <v>735</v>
      </c>
      <c r="C54" s="17">
        <v>9179.77</v>
      </c>
      <c r="E54" s="17">
        <v>9156.19</v>
      </c>
      <c r="F54" s="17">
        <v>9161.65</v>
      </c>
      <c r="G54" s="17">
        <v>9155.43</v>
      </c>
      <c r="H54" s="17">
        <v>9154.9</v>
      </c>
      <c r="I54" s="17">
        <v>9163.4699999999993</v>
      </c>
    </row>
    <row r="55" spans="1:9" x14ac:dyDescent="0.2">
      <c r="A55" s="17">
        <v>734.9</v>
      </c>
      <c r="C55" s="17">
        <v>9166.2999999999993</v>
      </c>
      <c r="E55" s="17">
        <v>9156.77</v>
      </c>
      <c r="F55" s="17">
        <v>9162.39</v>
      </c>
      <c r="G55" s="17">
        <v>9156.01</v>
      </c>
      <c r="H55" s="17">
        <v>9155.4699999999993</v>
      </c>
      <c r="I55" s="17">
        <v>9164.23</v>
      </c>
    </row>
    <row r="56" spans="1:9" x14ac:dyDescent="0.2">
      <c r="A56" s="17">
        <v>734.8</v>
      </c>
      <c r="C56" s="17">
        <v>9223.06</v>
      </c>
      <c r="E56" s="17">
        <v>9157.36</v>
      </c>
      <c r="F56" s="17">
        <v>9163.14</v>
      </c>
      <c r="G56" s="17">
        <v>9156.59</v>
      </c>
      <c r="H56" s="17">
        <v>9156.0499999999993</v>
      </c>
      <c r="I56" s="17">
        <v>9164.99</v>
      </c>
    </row>
    <row r="57" spans="1:9" x14ac:dyDescent="0.2">
      <c r="A57" s="17">
        <v>734.7</v>
      </c>
      <c r="C57" s="17">
        <v>9265.0400000000009</v>
      </c>
      <c r="E57" s="17">
        <v>9157.94</v>
      </c>
      <c r="F57" s="17">
        <v>9163.89</v>
      </c>
      <c r="G57" s="17">
        <v>9157.17</v>
      </c>
      <c r="H57" s="17">
        <v>9156.6200000000008</v>
      </c>
      <c r="I57" s="17">
        <v>9165.76</v>
      </c>
    </row>
    <row r="58" spans="1:9" x14ac:dyDescent="0.2">
      <c r="A58" s="17">
        <v>734.6</v>
      </c>
      <c r="C58" s="17">
        <v>9275.5499999999993</v>
      </c>
      <c r="E58" s="17">
        <v>9158.5300000000007</v>
      </c>
      <c r="F58" s="17">
        <v>9164.66</v>
      </c>
      <c r="G58" s="17">
        <v>9157.75</v>
      </c>
      <c r="H58" s="17">
        <v>9157.2000000000007</v>
      </c>
      <c r="I58" s="17">
        <v>9166.5499999999993</v>
      </c>
    </row>
    <row r="59" spans="1:9" x14ac:dyDescent="0.2">
      <c r="A59" s="17">
        <v>734.5</v>
      </c>
      <c r="C59" s="17">
        <v>9321.94</v>
      </c>
      <c r="E59" s="17">
        <v>9159.1200000000008</v>
      </c>
      <c r="F59" s="17">
        <v>9165.43</v>
      </c>
      <c r="G59" s="17">
        <v>9158.33</v>
      </c>
      <c r="H59" s="17">
        <v>9157.77</v>
      </c>
      <c r="I59" s="17">
        <v>9167.34</v>
      </c>
    </row>
    <row r="60" spans="1:9" x14ac:dyDescent="0.2">
      <c r="A60" s="17">
        <v>734.4</v>
      </c>
      <c r="C60" s="17">
        <v>9204.73</v>
      </c>
      <c r="E60" s="17">
        <v>9159.7000000000007</v>
      </c>
      <c r="F60" s="17">
        <v>9166.2199999999993</v>
      </c>
      <c r="G60" s="17">
        <v>9158.91</v>
      </c>
      <c r="H60" s="17">
        <v>9158.34</v>
      </c>
      <c r="I60" s="17">
        <v>9168.15</v>
      </c>
    </row>
    <row r="61" spans="1:9" x14ac:dyDescent="0.2">
      <c r="A61" s="17">
        <v>734.3</v>
      </c>
      <c r="C61" s="17">
        <v>9208.39</v>
      </c>
      <c r="E61" s="17">
        <v>9160.2900000000009</v>
      </c>
      <c r="F61" s="17">
        <v>9167.02</v>
      </c>
      <c r="G61" s="17">
        <v>9159.49</v>
      </c>
      <c r="H61" s="17">
        <v>9158.92</v>
      </c>
      <c r="I61" s="17">
        <v>9168.9599999999991</v>
      </c>
    </row>
    <row r="62" spans="1:9" x14ac:dyDescent="0.2">
      <c r="A62" s="17">
        <v>734.2</v>
      </c>
      <c r="C62" s="17">
        <v>9208.4500000000007</v>
      </c>
      <c r="E62" s="17">
        <v>9160.8700000000008</v>
      </c>
      <c r="F62" s="17">
        <v>9167.83</v>
      </c>
      <c r="G62" s="17">
        <v>9160.07</v>
      </c>
      <c r="H62" s="17">
        <v>9159.49</v>
      </c>
      <c r="I62" s="17">
        <v>9169.7999999999993</v>
      </c>
    </row>
    <row r="63" spans="1:9" x14ac:dyDescent="0.2">
      <c r="A63" s="17">
        <v>734.1</v>
      </c>
      <c r="C63" s="17">
        <v>9278.18</v>
      </c>
      <c r="E63" s="17">
        <v>9161.4599999999991</v>
      </c>
      <c r="F63" s="17">
        <v>9168.66</v>
      </c>
      <c r="G63" s="17">
        <v>9160.66</v>
      </c>
      <c r="H63" s="17">
        <v>9160.07</v>
      </c>
      <c r="I63" s="17">
        <v>9170.65</v>
      </c>
    </row>
    <row r="64" spans="1:9" x14ac:dyDescent="0.2">
      <c r="A64" s="17">
        <v>734</v>
      </c>
      <c r="C64" s="17">
        <v>9139.8799999999992</v>
      </c>
      <c r="E64" s="17">
        <v>9162.0499999999993</v>
      </c>
      <c r="F64" s="17">
        <v>9169.51</v>
      </c>
      <c r="G64" s="17">
        <v>9161.24</v>
      </c>
      <c r="H64" s="17">
        <v>9160.64</v>
      </c>
      <c r="I64" s="17">
        <v>9171.51</v>
      </c>
    </row>
    <row r="65" spans="1:9" x14ac:dyDescent="0.2">
      <c r="A65" s="17">
        <v>733.9</v>
      </c>
      <c r="C65" s="17">
        <v>9206.68</v>
      </c>
      <c r="E65" s="17">
        <v>9162.6299999999992</v>
      </c>
      <c r="F65" s="17">
        <v>9170.3700000000008</v>
      </c>
      <c r="G65" s="17">
        <v>9161.82</v>
      </c>
      <c r="H65" s="17">
        <v>9161.2099999999991</v>
      </c>
      <c r="I65" s="17">
        <v>9172.39</v>
      </c>
    </row>
    <row r="66" spans="1:9" x14ac:dyDescent="0.2">
      <c r="A66" s="17">
        <v>733.8</v>
      </c>
      <c r="C66" s="17">
        <v>9312.19</v>
      </c>
      <c r="E66" s="17">
        <v>9163.2199999999993</v>
      </c>
      <c r="F66" s="17">
        <v>9171.26</v>
      </c>
      <c r="G66" s="17">
        <v>9162.4</v>
      </c>
      <c r="H66" s="17">
        <v>9161.7900000000009</v>
      </c>
      <c r="I66" s="17">
        <v>9173.2999999999993</v>
      </c>
    </row>
    <row r="67" spans="1:9" x14ac:dyDescent="0.2">
      <c r="A67" s="17">
        <v>733.7</v>
      </c>
      <c r="C67" s="17">
        <v>9311.42</v>
      </c>
      <c r="E67" s="17">
        <v>9163.81</v>
      </c>
      <c r="F67" s="17">
        <v>9172.17</v>
      </c>
      <c r="G67" s="17">
        <v>9162.98</v>
      </c>
      <c r="H67" s="17">
        <v>9162.36</v>
      </c>
      <c r="I67" s="17">
        <v>9174.23</v>
      </c>
    </row>
    <row r="68" spans="1:9" x14ac:dyDescent="0.2">
      <c r="A68" s="17">
        <v>733.6</v>
      </c>
      <c r="C68" s="17">
        <v>9301.4500000000007</v>
      </c>
      <c r="E68" s="17">
        <v>9164.39</v>
      </c>
      <c r="F68" s="17">
        <v>9173.1</v>
      </c>
      <c r="G68" s="17">
        <v>9163.56</v>
      </c>
      <c r="H68" s="17">
        <v>9162.94</v>
      </c>
      <c r="I68" s="17">
        <v>9175.18</v>
      </c>
    </row>
    <row r="69" spans="1:9" x14ac:dyDescent="0.2">
      <c r="A69" s="17">
        <v>733.5</v>
      </c>
      <c r="C69" s="17">
        <v>9242.27</v>
      </c>
      <c r="E69" s="17">
        <v>9164.98</v>
      </c>
      <c r="F69" s="17">
        <v>9174.0499999999993</v>
      </c>
      <c r="G69" s="17">
        <v>9164.14</v>
      </c>
      <c r="H69" s="17">
        <v>9163.51</v>
      </c>
      <c r="I69" s="17">
        <v>9176.16</v>
      </c>
    </row>
    <row r="70" spans="1:9" x14ac:dyDescent="0.2">
      <c r="A70" s="17">
        <v>733.4</v>
      </c>
      <c r="C70" s="17">
        <v>9238.76</v>
      </c>
      <c r="E70" s="17">
        <v>9165.57</v>
      </c>
      <c r="F70" s="17">
        <v>9175.0400000000009</v>
      </c>
      <c r="G70" s="17">
        <v>9164.7199999999993</v>
      </c>
      <c r="H70" s="17">
        <v>9164.08</v>
      </c>
      <c r="I70" s="17">
        <v>9177.16</v>
      </c>
    </row>
    <row r="71" spans="1:9" x14ac:dyDescent="0.2">
      <c r="A71" s="17">
        <v>733.3</v>
      </c>
      <c r="C71" s="17">
        <v>9343.15</v>
      </c>
      <c r="E71" s="17">
        <v>9166.16</v>
      </c>
      <c r="F71" s="17">
        <v>9176.06</v>
      </c>
      <c r="G71" s="17">
        <v>9165.2999999999993</v>
      </c>
      <c r="H71" s="17">
        <v>9164.66</v>
      </c>
      <c r="I71" s="17">
        <v>9178.2000000000007</v>
      </c>
    </row>
    <row r="72" spans="1:9" x14ac:dyDescent="0.2">
      <c r="A72" s="17">
        <v>733.2</v>
      </c>
      <c r="C72" s="17">
        <v>9278.6</v>
      </c>
      <c r="E72" s="17">
        <v>9166.75</v>
      </c>
      <c r="F72" s="17">
        <v>9177.11</v>
      </c>
      <c r="G72" s="17">
        <v>9165.89</v>
      </c>
      <c r="H72" s="17">
        <v>9165.23</v>
      </c>
      <c r="I72" s="17">
        <v>9179.2800000000007</v>
      </c>
    </row>
    <row r="73" spans="1:9" x14ac:dyDescent="0.2">
      <c r="A73" s="17">
        <v>733.1</v>
      </c>
      <c r="C73" s="17">
        <v>9350.67</v>
      </c>
      <c r="E73" s="17">
        <v>9167.33</v>
      </c>
      <c r="F73" s="17">
        <v>9178.2000000000007</v>
      </c>
      <c r="G73" s="17">
        <v>9166.4699999999993</v>
      </c>
      <c r="H73" s="17">
        <v>9165.81</v>
      </c>
      <c r="I73" s="17">
        <v>9180.39</v>
      </c>
    </row>
    <row r="74" spans="1:9" x14ac:dyDescent="0.2">
      <c r="A74" s="17">
        <v>733</v>
      </c>
      <c r="C74" s="17">
        <v>9242.06</v>
      </c>
      <c r="E74" s="17">
        <v>9167.92</v>
      </c>
      <c r="F74" s="17">
        <v>9179.33</v>
      </c>
      <c r="G74" s="17">
        <v>9167.0499999999993</v>
      </c>
      <c r="H74" s="17">
        <v>9166.3799999999992</v>
      </c>
      <c r="I74" s="17">
        <v>9181.5400000000009</v>
      </c>
    </row>
    <row r="75" spans="1:9" x14ac:dyDescent="0.2">
      <c r="A75" s="17">
        <v>732.9</v>
      </c>
      <c r="C75" s="17">
        <v>9249.8700000000008</v>
      </c>
      <c r="E75" s="17">
        <v>9168.51</v>
      </c>
      <c r="F75" s="17">
        <v>9180.51</v>
      </c>
      <c r="G75" s="17">
        <v>9167.6299999999992</v>
      </c>
      <c r="H75" s="17">
        <v>9166.9500000000007</v>
      </c>
      <c r="I75" s="17">
        <v>9182.74</v>
      </c>
    </row>
    <row r="76" spans="1:9" x14ac:dyDescent="0.2">
      <c r="A76" s="17">
        <v>732.8</v>
      </c>
      <c r="C76" s="17">
        <v>9267.81</v>
      </c>
      <c r="E76" s="17">
        <v>9169.1</v>
      </c>
      <c r="F76" s="17">
        <v>9181.73</v>
      </c>
      <c r="G76" s="17">
        <v>9168.2099999999991</v>
      </c>
      <c r="H76" s="17">
        <v>9167.5300000000007</v>
      </c>
      <c r="I76" s="17">
        <v>9183.98</v>
      </c>
    </row>
    <row r="77" spans="1:9" x14ac:dyDescent="0.2">
      <c r="A77" s="17">
        <v>732.7</v>
      </c>
      <c r="C77" s="17">
        <v>9307.75</v>
      </c>
      <c r="E77" s="17">
        <v>9169.69</v>
      </c>
      <c r="F77" s="17">
        <v>9183</v>
      </c>
      <c r="G77" s="17">
        <v>9168.7999999999993</v>
      </c>
      <c r="H77" s="17">
        <v>9168.1</v>
      </c>
      <c r="I77" s="17">
        <v>9185.2800000000007</v>
      </c>
    </row>
    <row r="78" spans="1:9" x14ac:dyDescent="0.2">
      <c r="A78" s="17">
        <v>732.6</v>
      </c>
      <c r="C78" s="17">
        <v>9329.0300000000007</v>
      </c>
      <c r="E78" s="17">
        <v>9170.2800000000007</v>
      </c>
      <c r="F78" s="17">
        <v>9184.34</v>
      </c>
      <c r="G78" s="17">
        <v>9169.3799999999992</v>
      </c>
      <c r="H78" s="17">
        <v>9168.68</v>
      </c>
      <c r="I78" s="17">
        <v>9186.64</v>
      </c>
    </row>
    <row r="79" spans="1:9" x14ac:dyDescent="0.2">
      <c r="A79" s="17">
        <v>732.5</v>
      </c>
      <c r="C79" s="17">
        <v>9341.2000000000007</v>
      </c>
      <c r="E79" s="17">
        <v>9170.8700000000008</v>
      </c>
      <c r="F79" s="17">
        <v>9185.73</v>
      </c>
      <c r="G79" s="17">
        <v>9169.9599999999991</v>
      </c>
      <c r="H79" s="17">
        <v>9169.25</v>
      </c>
      <c r="I79" s="17">
        <v>9188.06</v>
      </c>
    </row>
    <row r="80" spans="1:9" x14ac:dyDescent="0.2">
      <c r="A80" s="17">
        <v>732.4</v>
      </c>
      <c r="C80" s="17">
        <v>9261.1</v>
      </c>
      <c r="E80" s="17">
        <v>9171.4599999999991</v>
      </c>
      <c r="F80" s="17">
        <v>9187.19</v>
      </c>
      <c r="G80" s="17">
        <v>9170.5400000000009</v>
      </c>
      <c r="H80" s="17">
        <v>9169.83</v>
      </c>
      <c r="I80" s="17">
        <v>9189.5400000000009</v>
      </c>
    </row>
    <row r="81" spans="1:9" x14ac:dyDescent="0.2">
      <c r="A81" s="17">
        <v>732.3</v>
      </c>
      <c r="C81" s="17">
        <v>9231.41</v>
      </c>
      <c r="E81" s="17">
        <v>9172.0499999999993</v>
      </c>
      <c r="F81" s="17">
        <v>9188.7199999999993</v>
      </c>
      <c r="G81" s="17">
        <v>9171.1299999999992</v>
      </c>
      <c r="H81" s="17">
        <v>9170.4</v>
      </c>
      <c r="I81" s="17">
        <v>9191.1</v>
      </c>
    </row>
    <row r="82" spans="1:9" x14ac:dyDescent="0.2">
      <c r="A82" s="17">
        <v>732.2</v>
      </c>
      <c r="C82" s="17">
        <v>9309.35</v>
      </c>
      <c r="E82" s="17">
        <v>9172.64</v>
      </c>
      <c r="F82" s="17">
        <v>9190.32</v>
      </c>
      <c r="G82" s="17">
        <v>9171.7099999999991</v>
      </c>
      <c r="H82" s="17">
        <v>9170.9699999999993</v>
      </c>
      <c r="I82" s="17">
        <v>9192.73</v>
      </c>
    </row>
    <row r="83" spans="1:9" x14ac:dyDescent="0.2">
      <c r="A83" s="17">
        <v>732.1</v>
      </c>
      <c r="C83" s="17">
        <v>9282.2800000000007</v>
      </c>
      <c r="E83" s="17">
        <v>9173.23</v>
      </c>
      <c r="F83" s="17">
        <v>9192.01</v>
      </c>
      <c r="G83" s="17">
        <v>9172.2900000000009</v>
      </c>
      <c r="H83" s="17">
        <v>9171.5499999999993</v>
      </c>
      <c r="I83" s="17">
        <v>9194.44</v>
      </c>
    </row>
    <row r="84" spans="1:9" x14ac:dyDescent="0.2">
      <c r="A84" s="17">
        <v>732</v>
      </c>
      <c r="C84" s="17">
        <v>9334.41</v>
      </c>
      <c r="E84" s="17">
        <v>9173.82</v>
      </c>
      <c r="F84" s="17">
        <v>9193.7800000000007</v>
      </c>
      <c r="G84" s="17">
        <v>9172.8799999999992</v>
      </c>
      <c r="H84" s="17">
        <v>9172.1200000000008</v>
      </c>
      <c r="I84" s="17">
        <v>9196.24</v>
      </c>
    </row>
    <row r="85" spans="1:9" x14ac:dyDescent="0.2">
      <c r="A85" s="17">
        <v>731.9</v>
      </c>
      <c r="C85" s="17">
        <v>9213.2999999999993</v>
      </c>
      <c r="E85" s="17">
        <v>9174.41</v>
      </c>
      <c r="F85" s="17">
        <v>9195.65</v>
      </c>
      <c r="G85" s="17">
        <v>9173.4599999999991</v>
      </c>
      <c r="H85" s="17">
        <v>9172.7000000000007</v>
      </c>
      <c r="I85" s="17">
        <v>9198.1299999999992</v>
      </c>
    </row>
    <row r="86" spans="1:9" x14ac:dyDescent="0.2">
      <c r="A86" s="17">
        <v>731.8</v>
      </c>
      <c r="C86" s="17">
        <v>9249.0300000000007</v>
      </c>
      <c r="E86" s="17">
        <v>9175</v>
      </c>
      <c r="F86" s="17">
        <v>9197.6200000000008</v>
      </c>
      <c r="G86" s="17">
        <v>9174.0400000000009</v>
      </c>
      <c r="H86" s="17">
        <v>9173.27</v>
      </c>
      <c r="I86" s="17">
        <v>9200.1299999999992</v>
      </c>
    </row>
    <row r="87" spans="1:9" x14ac:dyDescent="0.2">
      <c r="A87" s="17">
        <v>731.7</v>
      </c>
      <c r="C87" s="17">
        <v>9321.2900000000009</v>
      </c>
      <c r="E87" s="17">
        <v>9175.59</v>
      </c>
      <c r="F87" s="17">
        <v>9199.69</v>
      </c>
      <c r="G87" s="17">
        <v>9174.6299999999992</v>
      </c>
      <c r="H87" s="17">
        <v>9173.84</v>
      </c>
      <c r="I87" s="17">
        <v>9202.2199999999993</v>
      </c>
    </row>
    <row r="88" spans="1:9" x14ac:dyDescent="0.2">
      <c r="A88" s="17">
        <v>731.6</v>
      </c>
      <c r="C88" s="17">
        <v>9335.86</v>
      </c>
      <c r="E88" s="17">
        <v>9176.19</v>
      </c>
      <c r="F88" s="17">
        <v>9201.8700000000008</v>
      </c>
      <c r="G88" s="17">
        <v>9175.2099999999991</v>
      </c>
      <c r="H88" s="17">
        <v>9174.42</v>
      </c>
      <c r="I88" s="17">
        <v>9204.43</v>
      </c>
    </row>
    <row r="89" spans="1:9" x14ac:dyDescent="0.2">
      <c r="A89" s="17">
        <v>731.5</v>
      </c>
      <c r="C89" s="17">
        <v>9350.92</v>
      </c>
      <c r="E89" s="17">
        <v>9176.7800000000007</v>
      </c>
      <c r="F89" s="17">
        <v>9204.17</v>
      </c>
      <c r="G89" s="17">
        <v>9175.7999999999993</v>
      </c>
      <c r="H89" s="17">
        <v>9174.99</v>
      </c>
      <c r="I89" s="17">
        <v>9206.76</v>
      </c>
    </row>
    <row r="90" spans="1:9" x14ac:dyDescent="0.2">
      <c r="A90" s="17">
        <v>731.4</v>
      </c>
      <c r="C90" s="17">
        <v>9322.3700000000008</v>
      </c>
      <c r="E90" s="17">
        <v>9177.3700000000008</v>
      </c>
      <c r="F90" s="17">
        <v>9206.59</v>
      </c>
      <c r="G90" s="17">
        <v>9176.3799999999992</v>
      </c>
      <c r="H90" s="17">
        <v>9175.57</v>
      </c>
      <c r="I90" s="17">
        <v>9209.2099999999991</v>
      </c>
    </row>
    <row r="91" spans="1:9" x14ac:dyDescent="0.2">
      <c r="A91" s="17">
        <v>731.3</v>
      </c>
      <c r="C91" s="17">
        <v>9324.9</v>
      </c>
      <c r="E91" s="17">
        <v>9177.9599999999991</v>
      </c>
      <c r="F91" s="17">
        <v>9209.14</v>
      </c>
      <c r="G91" s="17">
        <v>9176.9699999999993</v>
      </c>
      <c r="H91" s="17">
        <v>9176.14</v>
      </c>
      <c r="I91" s="17">
        <v>9211.7900000000009</v>
      </c>
    </row>
    <row r="92" spans="1:9" x14ac:dyDescent="0.2">
      <c r="A92" s="17">
        <v>731.2</v>
      </c>
      <c r="C92" s="17">
        <v>9336.3799999999992</v>
      </c>
      <c r="E92" s="17">
        <v>9178.56</v>
      </c>
      <c r="F92" s="17">
        <v>9211.83</v>
      </c>
      <c r="G92" s="17">
        <v>9177.5499999999993</v>
      </c>
      <c r="H92" s="17">
        <v>9176.7099999999991</v>
      </c>
      <c r="I92" s="17">
        <v>9214.51</v>
      </c>
    </row>
    <row r="93" spans="1:9" x14ac:dyDescent="0.2">
      <c r="A93" s="17">
        <v>731.1</v>
      </c>
      <c r="C93" s="17">
        <v>9246.98</v>
      </c>
      <c r="E93" s="17">
        <v>9179.15</v>
      </c>
      <c r="F93" s="17">
        <v>9214.65</v>
      </c>
      <c r="G93" s="17">
        <v>9178.14</v>
      </c>
      <c r="H93" s="17">
        <v>9177.2900000000009</v>
      </c>
      <c r="I93" s="17">
        <v>9217.3700000000008</v>
      </c>
    </row>
    <row r="94" spans="1:9" x14ac:dyDescent="0.2">
      <c r="A94" s="17">
        <v>731</v>
      </c>
      <c r="C94" s="17">
        <v>9316.48</v>
      </c>
      <c r="E94" s="17">
        <v>9179.74</v>
      </c>
      <c r="F94" s="17">
        <v>9217.6299999999992</v>
      </c>
      <c r="G94" s="17">
        <v>9178.7199999999993</v>
      </c>
      <c r="H94" s="17">
        <v>9177.86</v>
      </c>
      <c r="I94" s="17">
        <v>9220.3700000000008</v>
      </c>
    </row>
    <row r="95" spans="1:9" x14ac:dyDescent="0.2">
      <c r="A95" s="17">
        <v>730.9</v>
      </c>
      <c r="C95" s="17">
        <v>9342.1</v>
      </c>
      <c r="E95" s="17">
        <v>9180.34</v>
      </c>
      <c r="F95" s="17">
        <v>9220.76</v>
      </c>
      <c r="G95" s="17">
        <v>9179.31</v>
      </c>
      <c r="H95" s="17">
        <v>9178.44</v>
      </c>
      <c r="I95" s="17">
        <v>9223.5400000000009</v>
      </c>
    </row>
    <row r="96" spans="1:9" x14ac:dyDescent="0.2">
      <c r="A96" s="17">
        <v>730.8</v>
      </c>
      <c r="C96" s="17">
        <v>9272.7199999999993</v>
      </c>
      <c r="E96" s="17">
        <v>9180.93</v>
      </c>
      <c r="F96" s="17">
        <v>9224.0499999999993</v>
      </c>
      <c r="G96" s="17">
        <v>9179.9</v>
      </c>
      <c r="H96" s="17">
        <v>9179.01</v>
      </c>
      <c r="I96" s="17">
        <v>9226.86</v>
      </c>
    </row>
    <row r="97" spans="1:9" x14ac:dyDescent="0.2">
      <c r="A97" s="17">
        <v>730.7</v>
      </c>
      <c r="C97" s="17">
        <v>9354.41</v>
      </c>
      <c r="E97" s="17">
        <v>9181.52</v>
      </c>
      <c r="F97" s="17">
        <v>9227.5</v>
      </c>
      <c r="G97" s="17">
        <v>9180.48</v>
      </c>
      <c r="H97" s="17">
        <v>9179.58</v>
      </c>
      <c r="I97" s="17">
        <v>9230.34</v>
      </c>
    </row>
    <row r="98" spans="1:9" x14ac:dyDescent="0.2">
      <c r="A98" s="17">
        <v>730.6</v>
      </c>
      <c r="C98" s="17">
        <v>9333.5300000000007</v>
      </c>
      <c r="E98" s="17">
        <v>9182.1200000000008</v>
      </c>
      <c r="F98" s="17">
        <v>9231.1299999999992</v>
      </c>
      <c r="G98" s="17">
        <v>9181.07</v>
      </c>
      <c r="H98" s="17">
        <v>9180.16</v>
      </c>
      <c r="I98" s="17">
        <v>9234</v>
      </c>
    </row>
    <row r="99" spans="1:9" x14ac:dyDescent="0.2">
      <c r="A99" s="17">
        <v>730.5</v>
      </c>
      <c r="C99" s="17">
        <v>9281.8700000000008</v>
      </c>
      <c r="E99" s="17">
        <v>9182.7099999999991</v>
      </c>
      <c r="F99" s="17">
        <v>9234.92</v>
      </c>
      <c r="G99" s="17">
        <v>9181.65</v>
      </c>
      <c r="H99" s="17">
        <v>9180.73</v>
      </c>
      <c r="I99" s="17">
        <v>9237.83</v>
      </c>
    </row>
    <row r="100" spans="1:9" x14ac:dyDescent="0.2">
      <c r="A100" s="17">
        <v>730.4</v>
      </c>
      <c r="C100" s="17">
        <v>9394.94</v>
      </c>
      <c r="E100" s="17">
        <v>9183.31</v>
      </c>
      <c r="F100" s="17">
        <v>9238.89</v>
      </c>
      <c r="G100" s="17">
        <v>9182.24</v>
      </c>
      <c r="H100" s="17">
        <v>9181.31</v>
      </c>
      <c r="I100" s="17">
        <v>9241.83</v>
      </c>
    </row>
    <row r="101" spans="1:9" x14ac:dyDescent="0.2">
      <c r="A101" s="17">
        <v>730.3</v>
      </c>
      <c r="C101" s="17">
        <v>9416.89</v>
      </c>
      <c r="E101" s="17">
        <v>9183.91</v>
      </c>
      <c r="F101" s="17">
        <v>9243.0400000000009</v>
      </c>
      <c r="G101" s="17">
        <v>9182.83</v>
      </c>
      <c r="H101" s="17">
        <v>9181.8799999999992</v>
      </c>
      <c r="I101" s="17">
        <v>9246.02</v>
      </c>
    </row>
    <row r="102" spans="1:9" x14ac:dyDescent="0.2">
      <c r="A102" s="17">
        <v>730.2</v>
      </c>
      <c r="C102" s="17">
        <v>9315.41</v>
      </c>
      <c r="E102" s="17">
        <v>9184.5</v>
      </c>
      <c r="F102" s="17">
        <v>9247.3700000000008</v>
      </c>
      <c r="G102" s="17">
        <v>9183.42</v>
      </c>
      <c r="H102" s="17">
        <v>9182.4500000000007</v>
      </c>
      <c r="I102" s="17">
        <v>9250.3799999999992</v>
      </c>
    </row>
    <row r="103" spans="1:9" x14ac:dyDescent="0.2">
      <c r="A103" s="17">
        <v>730.1</v>
      </c>
      <c r="C103" s="17">
        <v>9339.27</v>
      </c>
      <c r="E103" s="17">
        <v>9185.1</v>
      </c>
      <c r="F103" s="17">
        <v>9251.89</v>
      </c>
      <c r="G103" s="17">
        <v>9184</v>
      </c>
      <c r="H103" s="17">
        <v>9183.0300000000007</v>
      </c>
      <c r="I103" s="17">
        <v>9254.93</v>
      </c>
    </row>
    <row r="104" spans="1:9" x14ac:dyDescent="0.2">
      <c r="A104" s="17">
        <v>730</v>
      </c>
      <c r="C104" s="17">
        <v>9298.4599999999991</v>
      </c>
      <c r="E104" s="17">
        <v>9185.69</v>
      </c>
      <c r="F104" s="17">
        <v>9256.58</v>
      </c>
      <c r="G104" s="17">
        <v>9184.59</v>
      </c>
      <c r="H104" s="17">
        <v>9183.6</v>
      </c>
      <c r="I104" s="17">
        <v>9259.67</v>
      </c>
    </row>
    <row r="105" spans="1:9" x14ac:dyDescent="0.2">
      <c r="A105" s="17">
        <v>729.9</v>
      </c>
      <c r="C105" s="17">
        <v>9395.9</v>
      </c>
      <c r="E105" s="17">
        <v>9186.2900000000009</v>
      </c>
      <c r="F105" s="17">
        <v>9261.4699999999993</v>
      </c>
      <c r="G105" s="17">
        <v>9185.18</v>
      </c>
      <c r="H105" s="17">
        <v>9184.18</v>
      </c>
      <c r="I105" s="17">
        <v>9264.59</v>
      </c>
    </row>
    <row r="106" spans="1:9" x14ac:dyDescent="0.2">
      <c r="A106" s="17">
        <v>729.8</v>
      </c>
      <c r="C106" s="17">
        <v>9393.25</v>
      </c>
      <c r="E106" s="17">
        <v>9186.89</v>
      </c>
      <c r="F106" s="17">
        <v>9266.5300000000007</v>
      </c>
      <c r="G106" s="17">
        <v>9185.77</v>
      </c>
      <c r="H106" s="17">
        <v>9184.75</v>
      </c>
      <c r="I106" s="17">
        <v>9269.69</v>
      </c>
    </row>
    <row r="107" spans="1:9" x14ac:dyDescent="0.2">
      <c r="A107" s="17">
        <v>729.7</v>
      </c>
      <c r="C107" s="17">
        <v>9367.16</v>
      </c>
      <c r="E107" s="17">
        <v>9187.49</v>
      </c>
      <c r="F107" s="17">
        <v>9271.77</v>
      </c>
      <c r="G107" s="17">
        <v>9186.36</v>
      </c>
      <c r="H107" s="17">
        <v>9185.32</v>
      </c>
      <c r="I107" s="17">
        <v>9274.98</v>
      </c>
    </row>
    <row r="108" spans="1:9" x14ac:dyDescent="0.2">
      <c r="A108" s="17">
        <v>729.6</v>
      </c>
      <c r="C108" s="17">
        <v>9306.09</v>
      </c>
      <c r="E108" s="17">
        <v>9188.09</v>
      </c>
      <c r="F108" s="17">
        <v>9277.2000000000007</v>
      </c>
      <c r="G108" s="17">
        <v>9186.9500000000007</v>
      </c>
      <c r="H108" s="17">
        <v>9185.9</v>
      </c>
      <c r="I108" s="17">
        <v>9280.44</v>
      </c>
    </row>
    <row r="109" spans="1:9" x14ac:dyDescent="0.2">
      <c r="A109" s="17">
        <v>729.5</v>
      </c>
      <c r="C109" s="17">
        <v>9415.17</v>
      </c>
      <c r="E109" s="17">
        <v>9188.68</v>
      </c>
      <c r="F109" s="17">
        <v>9282.7900000000009</v>
      </c>
      <c r="G109" s="17">
        <v>9187.5400000000009</v>
      </c>
      <c r="H109" s="17">
        <v>9186.4699999999993</v>
      </c>
      <c r="I109" s="17">
        <v>9286.07</v>
      </c>
    </row>
    <row r="110" spans="1:9" x14ac:dyDescent="0.2">
      <c r="A110" s="17">
        <v>729.4</v>
      </c>
      <c r="C110" s="17">
        <v>9256.6299999999992</v>
      </c>
      <c r="E110" s="17">
        <v>9189.2800000000007</v>
      </c>
      <c r="F110" s="17">
        <v>9288.5499999999993</v>
      </c>
      <c r="G110" s="17">
        <v>9188.1299999999992</v>
      </c>
      <c r="H110" s="17">
        <v>9187.0499999999993</v>
      </c>
      <c r="I110" s="17">
        <v>9291.8700000000008</v>
      </c>
    </row>
    <row r="111" spans="1:9" x14ac:dyDescent="0.2">
      <c r="A111" s="17">
        <v>729.3</v>
      </c>
      <c r="C111" s="17">
        <v>9413.99</v>
      </c>
      <c r="E111" s="17">
        <v>9189.8799999999992</v>
      </c>
      <c r="F111" s="17">
        <v>9294.4699999999993</v>
      </c>
      <c r="G111" s="17">
        <v>9188.7199999999993</v>
      </c>
      <c r="H111" s="17">
        <v>9187.6200000000008</v>
      </c>
      <c r="I111" s="17">
        <v>9297.83</v>
      </c>
    </row>
    <row r="112" spans="1:9" x14ac:dyDescent="0.2">
      <c r="A112" s="17">
        <v>729.2</v>
      </c>
      <c r="C112" s="17">
        <v>9451.7800000000007</v>
      </c>
      <c r="E112" s="17">
        <v>9190.48</v>
      </c>
      <c r="F112" s="17">
        <v>9300.5400000000009</v>
      </c>
      <c r="G112" s="17">
        <v>9189.31</v>
      </c>
      <c r="H112" s="17">
        <v>9188.19</v>
      </c>
      <c r="I112" s="17">
        <v>9303.94</v>
      </c>
    </row>
    <row r="113" spans="1:9" x14ac:dyDescent="0.2">
      <c r="A113" s="17">
        <v>729.1</v>
      </c>
      <c r="C113" s="17">
        <v>9376.11</v>
      </c>
      <c r="E113" s="17">
        <v>9191.08</v>
      </c>
      <c r="F113" s="17">
        <v>9306.75</v>
      </c>
      <c r="G113" s="17">
        <v>9189.9</v>
      </c>
      <c r="H113" s="17">
        <v>9188.77</v>
      </c>
      <c r="I113" s="17">
        <v>9310.2000000000007</v>
      </c>
    </row>
    <row r="114" spans="1:9" x14ac:dyDescent="0.2">
      <c r="A114" s="17">
        <v>729</v>
      </c>
      <c r="C114" s="17">
        <v>9332.9599999999991</v>
      </c>
      <c r="E114" s="17">
        <v>9191.69</v>
      </c>
      <c r="F114" s="17">
        <v>9313.09</v>
      </c>
      <c r="G114" s="17">
        <v>9190.49</v>
      </c>
      <c r="H114" s="17">
        <v>9189.34</v>
      </c>
      <c r="I114" s="17">
        <v>9316.59</v>
      </c>
    </row>
    <row r="115" spans="1:9" x14ac:dyDescent="0.2">
      <c r="A115" s="17">
        <v>728.9</v>
      </c>
      <c r="C115" s="17">
        <v>9364.23</v>
      </c>
      <c r="E115" s="17">
        <v>9192.2900000000009</v>
      </c>
      <c r="F115" s="17">
        <v>9319.5499999999993</v>
      </c>
      <c r="G115" s="17">
        <v>9191.09</v>
      </c>
      <c r="H115" s="17">
        <v>9189.92</v>
      </c>
      <c r="I115" s="17">
        <v>9323.09</v>
      </c>
    </row>
    <row r="116" spans="1:9" x14ac:dyDescent="0.2">
      <c r="A116" s="17">
        <v>728.8</v>
      </c>
      <c r="C116" s="17">
        <v>9326.57</v>
      </c>
      <c r="E116" s="17">
        <v>9192.89</v>
      </c>
      <c r="F116" s="17">
        <v>9326.11</v>
      </c>
      <c r="G116" s="17">
        <v>9191.68</v>
      </c>
      <c r="H116" s="17">
        <v>9190.49</v>
      </c>
      <c r="I116" s="17">
        <v>9329.7000000000007</v>
      </c>
    </row>
    <row r="117" spans="1:9" x14ac:dyDescent="0.2">
      <c r="A117" s="17">
        <v>728.7</v>
      </c>
      <c r="C117" s="17">
        <v>9317.59</v>
      </c>
      <c r="E117" s="17">
        <v>9193.49</v>
      </c>
      <c r="F117" s="17">
        <v>9332.77</v>
      </c>
      <c r="G117" s="17">
        <v>9192.27</v>
      </c>
      <c r="H117" s="17">
        <v>9191.06</v>
      </c>
      <c r="I117" s="17">
        <v>9336.41</v>
      </c>
    </row>
    <row r="118" spans="1:9" x14ac:dyDescent="0.2">
      <c r="A118" s="17">
        <v>728.6</v>
      </c>
      <c r="C118" s="17">
        <v>9319.14</v>
      </c>
      <c r="E118" s="17">
        <v>9194.09</v>
      </c>
      <c r="F118" s="17">
        <v>9339.49</v>
      </c>
      <c r="G118" s="17">
        <v>9192.8700000000008</v>
      </c>
      <c r="H118" s="17">
        <v>9191.64</v>
      </c>
      <c r="I118" s="17">
        <v>9343.18</v>
      </c>
    </row>
    <row r="119" spans="1:9" x14ac:dyDescent="0.2">
      <c r="A119" s="17">
        <v>728.5</v>
      </c>
      <c r="C119" s="17">
        <v>9391.27</v>
      </c>
      <c r="E119" s="17">
        <v>9194.7000000000007</v>
      </c>
      <c r="F119" s="17">
        <v>9346.27</v>
      </c>
      <c r="G119" s="17">
        <v>9193.4599999999991</v>
      </c>
      <c r="H119" s="17">
        <v>9192.2099999999991</v>
      </c>
      <c r="I119" s="17">
        <v>9350.01</v>
      </c>
    </row>
    <row r="120" spans="1:9" x14ac:dyDescent="0.2">
      <c r="A120" s="17">
        <v>728.4</v>
      </c>
      <c r="C120" s="17">
        <v>9386.92</v>
      </c>
      <c r="E120" s="17">
        <v>9195.2999999999993</v>
      </c>
      <c r="F120" s="17">
        <v>9353.08</v>
      </c>
      <c r="G120" s="17">
        <v>9194.06</v>
      </c>
      <c r="H120" s="17">
        <v>9192.7900000000009</v>
      </c>
      <c r="I120" s="17">
        <v>9356.8700000000008</v>
      </c>
    </row>
    <row r="121" spans="1:9" x14ac:dyDescent="0.2">
      <c r="A121" s="17">
        <v>728.3</v>
      </c>
      <c r="C121" s="17">
        <v>9427.81</v>
      </c>
      <c r="E121" s="17">
        <v>9195.91</v>
      </c>
      <c r="F121" s="17">
        <v>9359.91</v>
      </c>
      <c r="G121" s="17">
        <v>9194.65</v>
      </c>
      <c r="H121" s="17">
        <v>9193.36</v>
      </c>
      <c r="I121" s="17">
        <v>9363.75</v>
      </c>
    </row>
    <row r="122" spans="1:9" x14ac:dyDescent="0.2">
      <c r="A122" s="17">
        <v>728.2</v>
      </c>
      <c r="C122" s="17">
        <v>9403.5300000000007</v>
      </c>
      <c r="E122" s="17">
        <v>9196.51</v>
      </c>
      <c r="F122" s="17">
        <v>9366.7199999999993</v>
      </c>
      <c r="G122" s="17">
        <v>9195.25</v>
      </c>
      <c r="H122" s="17">
        <v>9193.93</v>
      </c>
      <c r="I122" s="17">
        <v>9370.61</v>
      </c>
    </row>
    <row r="123" spans="1:9" x14ac:dyDescent="0.2">
      <c r="A123" s="17">
        <v>728.1</v>
      </c>
      <c r="C123" s="17">
        <v>9386.5499999999993</v>
      </c>
      <c r="E123" s="17">
        <v>9197.1200000000008</v>
      </c>
      <c r="F123" s="17">
        <v>9373.5</v>
      </c>
      <c r="G123" s="17">
        <v>9195.84</v>
      </c>
      <c r="H123" s="17">
        <v>9194.51</v>
      </c>
      <c r="I123" s="17">
        <v>9377.44</v>
      </c>
    </row>
    <row r="124" spans="1:9" x14ac:dyDescent="0.2">
      <c r="A124" s="17">
        <v>728</v>
      </c>
      <c r="C124" s="17">
        <v>9409.3700000000008</v>
      </c>
      <c r="E124" s="17">
        <v>9197.7199999999993</v>
      </c>
      <c r="F124" s="17">
        <v>9380.2099999999991</v>
      </c>
      <c r="G124" s="17">
        <v>9196.44</v>
      </c>
      <c r="H124" s="17">
        <v>9195.08</v>
      </c>
      <c r="I124" s="17">
        <v>9384.2099999999991</v>
      </c>
    </row>
    <row r="125" spans="1:9" x14ac:dyDescent="0.2">
      <c r="A125" s="17">
        <v>727.9</v>
      </c>
      <c r="C125" s="17">
        <v>9427.01</v>
      </c>
      <c r="E125" s="17">
        <v>9198.33</v>
      </c>
      <c r="F125" s="17">
        <v>9386.84</v>
      </c>
      <c r="G125" s="17">
        <v>9197.0400000000009</v>
      </c>
      <c r="H125" s="17">
        <v>9195.66</v>
      </c>
      <c r="I125" s="17">
        <v>9390.9</v>
      </c>
    </row>
    <row r="126" spans="1:9" x14ac:dyDescent="0.2">
      <c r="A126" s="17">
        <v>727.8</v>
      </c>
      <c r="C126" s="17">
        <v>9411.11</v>
      </c>
      <c r="E126" s="17">
        <v>9198.94</v>
      </c>
      <c r="F126" s="17">
        <v>9393.35</v>
      </c>
      <c r="G126" s="17">
        <v>9197.6299999999992</v>
      </c>
      <c r="H126" s="17">
        <v>9196.23</v>
      </c>
      <c r="I126" s="17">
        <v>9397.4599999999991</v>
      </c>
    </row>
    <row r="127" spans="1:9" x14ac:dyDescent="0.2">
      <c r="A127" s="17">
        <v>727.7</v>
      </c>
      <c r="C127" s="17">
        <v>9421.0499999999993</v>
      </c>
      <c r="E127" s="17">
        <v>9199.5499999999993</v>
      </c>
      <c r="F127" s="17">
        <v>9399.7099999999991</v>
      </c>
      <c r="G127" s="17">
        <v>9198.23</v>
      </c>
      <c r="H127" s="17">
        <v>9196.7999999999993</v>
      </c>
      <c r="I127" s="17">
        <v>9403.8799999999992</v>
      </c>
    </row>
    <row r="128" spans="1:9" x14ac:dyDescent="0.2">
      <c r="A128" s="17">
        <v>727.6</v>
      </c>
      <c r="C128" s="17">
        <v>9362.17</v>
      </c>
      <c r="E128" s="17">
        <v>9200.15</v>
      </c>
      <c r="F128" s="17">
        <v>9405.89</v>
      </c>
      <c r="G128" s="17">
        <v>9198.83</v>
      </c>
      <c r="H128" s="17">
        <v>9197.3799999999992</v>
      </c>
      <c r="I128" s="17">
        <v>9410.1200000000008</v>
      </c>
    </row>
    <row r="129" spans="1:9" x14ac:dyDescent="0.2">
      <c r="A129" s="17">
        <v>727.5</v>
      </c>
      <c r="C129" s="17">
        <v>9409.08</v>
      </c>
      <c r="E129" s="17">
        <v>9200.76</v>
      </c>
      <c r="F129" s="17">
        <v>9411.86</v>
      </c>
      <c r="G129" s="17">
        <v>9199.43</v>
      </c>
      <c r="H129" s="17">
        <v>9197.9500000000007</v>
      </c>
      <c r="I129" s="17">
        <v>9416.15</v>
      </c>
    </row>
    <row r="130" spans="1:9" x14ac:dyDescent="0.2">
      <c r="A130" s="17">
        <v>727.4</v>
      </c>
      <c r="C130" s="17">
        <v>9386.32</v>
      </c>
      <c r="E130" s="17">
        <v>9201.3700000000008</v>
      </c>
      <c r="F130" s="17">
        <v>9417.58</v>
      </c>
      <c r="G130" s="17">
        <v>9200.0300000000007</v>
      </c>
      <c r="H130" s="17">
        <v>9198.5300000000007</v>
      </c>
      <c r="I130" s="17">
        <v>9421.94</v>
      </c>
    </row>
    <row r="131" spans="1:9" x14ac:dyDescent="0.2">
      <c r="A131" s="17">
        <v>727.3</v>
      </c>
      <c r="C131" s="17">
        <v>9414.74</v>
      </c>
      <c r="E131" s="17">
        <v>9201.99</v>
      </c>
      <c r="F131" s="17">
        <v>9423.02</v>
      </c>
      <c r="G131" s="17">
        <v>9200.6299999999992</v>
      </c>
      <c r="H131" s="17">
        <v>9199.1</v>
      </c>
      <c r="I131" s="17">
        <v>9427.44</v>
      </c>
    </row>
    <row r="132" spans="1:9" x14ac:dyDescent="0.2">
      <c r="A132" s="17">
        <v>727.2</v>
      </c>
      <c r="C132" s="17">
        <v>9434.49</v>
      </c>
      <c r="E132" s="17">
        <v>9202.6</v>
      </c>
      <c r="F132" s="17">
        <v>9428.16</v>
      </c>
      <c r="G132" s="17">
        <v>9201.24</v>
      </c>
      <c r="H132" s="17">
        <v>9199.67</v>
      </c>
      <c r="I132" s="17">
        <v>9432.64</v>
      </c>
    </row>
    <row r="133" spans="1:9" x14ac:dyDescent="0.2">
      <c r="A133" s="17">
        <v>727.1</v>
      </c>
      <c r="C133" s="17">
        <v>9467.11</v>
      </c>
      <c r="E133" s="17">
        <v>9203.2099999999991</v>
      </c>
      <c r="F133" s="17">
        <v>9432.9500000000007</v>
      </c>
      <c r="G133" s="17">
        <v>9201.84</v>
      </c>
      <c r="H133" s="17">
        <v>9200.25</v>
      </c>
      <c r="I133" s="17">
        <v>9437.5</v>
      </c>
    </row>
    <row r="134" spans="1:9" x14ac:dyDescent="0.2">
      <c r="A134" s="17">
        <v>727</v>
      </c>
      <c r="C134" s="17">
        <v>9465.73</v>
      </c>
      <c r="E134" s="17">
        <v>9203.82</v>
      </c>
      <c r="F134" s="17">
        <v>9437.36</v>
      </c>
      <c r="G134" s="17">
        <v>9202.44</v>
      </c>
      <c r="H134" s="17">
        <v>9200.82</v>
      </c>
      <c r="I134" s="17">
        <v>9441.98</v>
      </c>
    </row>
    <row r="135" spans="1:9" x14ac:dyDescent="0.2">
      <c r="A135" s="17">
        <v>726.9</v>
      </c>
      <c r="C135" s="17">
        <v>9487.9500000000007</v>
      </c>
      <c r="E135" s="17">
        <v>9204.44</v>
      </c>
      <c r="F135" s="17">
        <v>9441.36</v>
      </c>
      <c r="G135" s="17">
        <v>9203.0499999999993</v>
      </c>
      <c r="H135" s="17">
        <v>9201.4</v>
      </c>
      <c r="I135" s="17">
        <v>9446.0499999999993</v>
      </c>
    </row>
    <row r="136" spans="1:9" x14ac:dyDescent="0.2">
      <c r="A136" s="17">
        <v>726.8</v>
      </c>
      <c r="C136" s="17">
        <v>9419.77</v>
      </c>
      <c r="E136" s="17">
        <v>9205.0499999999993</v>
      </c>
      <c r="F136" s="17">
        <v>9444.93</v>
      </c>
      <c r="G136" s="17">
        <v>9203.65</v>
      </c>
      <c r="H136" s="17">
        <v>9201.9699999999993</v>
      </c>
      <c r="I136" s="17">
        <v>9449.69</v>
      </c>
    </row>
    <row r="137" spans="1:9" x14ac:dyDescent="0.2">
      <c r="A137" s="17">
        <v>726.7</v>
      </c>
      <c r="C137" s="17">
        <v>9460.18</v>
      </c>
      <c r="E137" s="17">
        <v>9205.67</v>
      </c>
      <c r="F137" s="17">
        <v>9448.0300000000007</v>
      </c>
      <c r="G137" s="17">
        <v>9204.26</v>
      </c>
      <c r="H137" s="17">
        <v>9202.5400000000009</v>
      </c>
      <c r="I137" s="17">
        <v>9452.8700000000008</v>
      </c>
    </row>
    <row r="138" spans="1:9" x14ac:dyDescent="0.2">
      <c r="A138" s="17">
        <v>726.6</v>
      </c>
      <c r="C138" s="17">
        <v>9474.0499999999993</v>
      </c>
      <c r="E138" s="17">
        <v>9206.2800000000007</v>
      </c>
      <c r="F138" s="17">
        <v>9450.66</v>
      </c>
      <c r="G138" s="17">
        <v>9204.86</v>
      </c>
      <c r="H138" s="17">
        <v>9203.1200000000008</v>
      </c>
      <c r="I138" s="17">
        <v>9455.57</v>
      </c>
    </row>
    <row r="139" spans="1:9" x14ac:dyDescent="0.2">
      <c r="A139" s="17">
        <v>726.5</v>
      </c>
      <c r="C139" s="17">
        <v>9472.98</v>
      </c>
      <c r="E139" s="17">
        <v>9206.9</v>
      </c>
      <c r="F139" s="17">
        <v>9452.77</v>
      </c>
      <c r="G139" s="17">
        <v>9205.4699999999993</v>
      </c>
      <c r="H139" s="17">
        <v>9203.69</v>
      </c>
      <c r="I139" s="17">
        <v>9457.76</v>
      </c>
    </row>
    <row r="140" spans="1:9" x14ac:dyDescent="0.2">
      <c r="A140" s="17">
        <v>726.4</v>
      </c>
      <c r="C140" s="17">
        <v>9485.2099999999991</v>
      </c>
      <c r="E140" s="17">
        <v>9207.52</v>
      </c>
      <c r="F140" s="17">
        <v>9454.3700000000008</v>
      </c>
      <c r="G140" s="17">
        <v>9206.08</v>
      </c>
      <c r="H140" s="17">
        <v>9204.27</v>
      </c>
      <c r="I140" s="17">
        <v>9459.44</v>
      </c>
    </row>
    <row r="141" spans="1:9" x14ac:dyDescent="0.2">
      <c r="A141" s="17">
        <v>726.3</v>
      </c>
      <c r="C141" s="17">
        <v>9393.7800000000007</v>
      </c>
      <c r="E141" s="17">
        <v>9208.14</v>
      </c>
      <c r="F141" s="17">
        <v>9455.4500000000007</v>
      </c>
      <c r="G141" s="17">
        <v>9206.69</v>
      </c>
      <c r="H141" s="17">
        <v>9204.84</v>
      </c>
      <c r="I141" s="17">
        <v>9460.59</v>
      </c>
    </row>
    <row r="142" spans="1:9" x14ac:dyDescent="0.2">
      <c r="A142" s="17">
        <v>726.2</v>
      </c>
      <c r="C142" s="17">
        <v>9398.26</v>
      </c>
      <c r="E142" s="17">
        <v>9208.76</v>
      </c>
      <c r="F142" s="17">
        <v>9455.99</v>
      </c>
      <c r="G142" s="17">
        <v>9207.2999999999993</v>
      </c>
      <c r="H142" s="17">
        <v>9205.41</v>
      </c>
      <c r="I142" s="17">
        <v>9461.2199999999993</v>
      </c>
    </row>
    <row r="143" spans="1:9" x14ac:dyDescent="0.2">
      <c r="A143" s="17">
        <v>726.1</v>
      </c>
      <c r="C143" s="17">
        <v>9442.4699999999993</v>
      </c>
      <c r="E143" s="17">
        <v>9209.3799999999992</v>
      </c>
      <c r="F143" s="17">
        <v>9456</v>
      </c>
      <c r="G143" s="17">
        <v>9207.91</v>
      </c>
      <c r="H143" s="17">
        <v>9205.99</v>
      </c>
      <c r="I143" s="17">
        <v>9461.31</v>
      </c>
    </row>
    <row r="144" spans="1:9" x14ac:dyDescent="0.2">
      <c r="A144" s="17">
        <v>726</v>
      </c>
      <c r="C144" s="17">
        <v>9464.69</v>
      </c>
      <c r="E144" s="17">
        <v>9210</v>
      </c>
      <c r="F144" s="17">
        <v>9455.48</v>
      </c>
      <c r="G144" s="17">
        <v>9208.5300000000007</v>
      </c>
      <c r="H144" s="17">
        <v>9206.56</v>
      </c>
      <c r="I144" s="17">
        <v>9460.8799999999992</v>
      </c>
    </row>
    <row r="145" spans="1:9" x14ac:dyDescent="0.2">
      <c r="A145" s="17">
        <v>725.9</v>
      </c>
      <c r="C145" s="17">
        <v>9500.19</v>
      </c>
      <c r="E145" s="17">
        <v>9210.6200000000008</v>
      </c>
      <c r="F145" s="17">
        <v>9454.44</v>
      </c>
      <c r="G145" s="17">
        <v>9209.14</v>
      </c>
      <c r="H145" s="17">
        <v>9207.14</v>
      </c>
      <c r="I145" s="17">
        <v>9459.93</v>
      </c>
    </row>
    <row r="146" spans="1:9" x14ac:dyDescent="0.2">
      <c r="A146" s="17">
        <v>725.8</v>
      </c>
      <c r="C146" s="17">
        <v>9375.57</v>
      </c>
      <c r="E146" s="17">
        <v>9211.24</v>
      </c>
      <c r="F146" s="17">
        <v>9452.91</v>
      </c>
      <c r="G146" s="17">
        <v>9209.76</v>
      </c>
      <c r="H146" s="17">
        <v>9207.7099999999991</v>
      </c>
      <c r="I146" s="17">
        <v>9458.49</v>
      </c>
    </row>
    <row r="147" spans="1:9" x14ac:dyDescent="0.2">
      <c r="A147" s="17">
        <v>725.7</v>
      </c>
      <c r="C147" s="17">
        <v>9388.7000000000007</v>
      </c>
      <c r="E147" s="17">
        <v>9211.8700000000008</v>
      </c>
      <c r="F147" s="17">
        <v>9450.89</v>
      </c>
      <c r="G147" s="17">
        <v>9210.3700000000008</v>
      </c>
      <c r="H147" s="17">
        <v>9208.2800000000007</v>
      </c>
      <c r="I147" s="17">
        <v>9456.56</v>
      </c>
    </row>
    <row r="148" spans="1:9" x14ac:dyDescent="0.2">
      <c r="A148" s="17">
        <v>725.6</v>
      </c>
      <c r="C148" s="17">
        <v>9445.68</v>
      </c>
      <c r="E148" s="17">
        <v>9212.49</v>
      </c>
      <c r="F148" s="17">
        <v>9448.41</v>
      </c>
      <c r="G148" s="17">
        <v>9210.99</v>
      </c>
      <c r="H148" s="17">
        <v>9208.86</v>
      </c>
      <c r="I148" s="17">
        <v>9454.18</v>
      </c>
    </row>
    <row r="149" spans="1:9" x14ac:dyDescent="0.2">
      <c r="A149" s="17">
        <v>725.5</v>
      </c>
      <c r="C149" s="17">
        <v>9371.33</v>
      </c>
      <c r="E149" s="17">
        <v>9213.1200000000008</v>
      </c>
      <c r="F149" s="17">
        <v>9445.5</v>
      </c>
      <c r="G149" s="17">
        <v>9211.61</v>
      </c>
      <c r="H149" s="17">
        <v>9209.43</v>
      </c>
      <c r="I149" s="17">
        <v>9451.3700000000008</v>
      </c>
    </row>
    <row r="150" spans="1:9" x14ac:dyDescent="0.2">
      <c r="A150" s="17">
        <v>725.4</v>
      </c>
      <c r="C150" s="17">
        <v>9546.98</v>
      </c>
      <c r="E150" s="17">
        <v>9213.75</v>
      </c>
      <c r="F150" s="17">
        <v>9442.19</v>
      </c>
      <c r="G150" s="17">
        <v>9212.23</v>
      </c>
      <c r="H150" s="17">
        <v>9210.01</v>
      </c>
      <c r="I150" s="17">
        <v>9448.16</v>
      </c>
    </row>
    <row r="151" spans="1:9" x14ac:dyDescent="0.2">
      <c r="A151" s="17">
        <v>725.3</v>
      </c>
      <c r="C151" s="17">
        <v>9379.58</v>
      </c>
      <c r="E151" s="17">
        <v>9214.3799999999992</v>
      </c>
      <c r="F151" s="17">
        <v>9438.5</v>
      </c>
      <c r="G151" s="17">
        <v>9212.86</v>
      </c>
      <c r="H151" s="17">
        <v>9210.58</v>
      </c>
      <c r="I151" s="17">
        <v>9444.58</v>
      </c>
    </row>
    <row r="152" spans="1:9" x14ac:dyDescent="0.2">
      <c r="A152" s="17">
        <v>725.2</v>
      </c>
      <c r="C152" s="17">
        <v>9385.56</v>
      </c>
      <c r="E152" s="17">
        <v>9215.01</v>
      </c>
      <c r="F152" s="17">
        <v>9434.48</v>
      </c>
      <c r="G152" s="17">
        <v>9213.48</v>
      </c>
      <c r="H152" s="17">
        <v>9211.15</v>
      </c>
      <c r="I152" s="17">
        <v>9440.66</v>
      </c>
    </row>
    <row r="153" spans="1:9" x14ac:dyDescent="0.2">
      <c r="A153" s="17">
        <v>725.1</v>
      </c>
      <c r="C153" s="17">
        <v>9393.86</v>
      </c>
      <c r="E153" s="17">
        <v>9215.64</v>
      </c>
      <c r="F153" s="17">
        <v>9430.14</v>
      </c>
      <c r="G153" s="17">
        <v>9214.11</v>
      </c>
      <c r="H153" s="17">
        <v>9211.73</v>
      </c>
      <c r="I153" s="17">
        <v>9436.44</v>
      </c>
    </row>
    <row r="154" spans="1:9" x14ac:dyDescent="0.2">
      <c r="A154" s="17">
        <v>725</v>
      </c>
      <c r="C154" s="17">
        <v>9364.85</v>
      </c>
      <c r="E154" s="17">
        <v>9216.27</v>
      </c>
      <c r="F154" s="17">
        <v>9425.5400000000009</v>
      </c>
      <c r="G154" s="17">
        <v>9214.74</v>
      </c>
      <c r="H154" s="17">
        <v>9212.2999999999993</v>
      </c>
      <c r="I154" s="17">
        <v>9431.94</v>
      </c>
    </row>
    <row r="155" spans="1:9" x14ac:dyDescent="0.2">
      <c r="A155" s="17">
        <v>724.9</v>
      </c>
      <c r="C155" s="17">
        <v>9450.92</v>
      </c>
      <c r="E155" s="17">
        <v>9216.91</v>
      </c>
      <c r="F155" s="17">
        <v>9420.69</v>
      </c>
      <c r="G155" s="17">
        <v>9215.3700000000008</v>
      </c>
      <c r="H155" s="17">
        <v>9212.8799999999992</v>
      </c>
      <c r="I155" s="17">
        <v>9427.2099999999991</v>
      </c>
    </row>
    <row r="156" spans="1:9" x14ac:dyDescent="0.2">
      <c r="A156" s="17">
        <v>724.8</v>
      </c>
      <c r="C156" s="17">
        <v>9482.51</v>
      </c>
      <c r="E156" s="17">
        <v>9217.5400000000009</v>
      </c>
      <c r="F156" s="17">
        <v>9415.6299999999992</v>
      </c>
      <c r="G156" s="17">
        <v>9216</v>
      </c>
      <c r="H156" s="17">
        <v>9213.4500000000007</v>
      </c>
      <c r="I156" s="17">
        <v>9422.27</v>
      </c>
    </row>
    <row r="157" spans="1:9" x14ac:dyDescent="0.2">
      <c r="A157" s="17">
        <v>724.7</v>
      </c>
      <c r="C157" s="17">
        <v>9466.14</v>
      </c>
      <c r="E157" s="17">
        <v>9218.18</v>
      </c>
      <c r="F157" s="17">
        <v>9410.4</v>
      </c>
      <c r="G157" s="17">
        <v>9216.6299999999992</v>
      </c>
      <c r="H157" s="17">
        <v>9214.02</v>
      </c>
      <c r="I157" s="17">
        <v>9417.16</v>
      </c>
    </row>
    <row r="158" spans="1:9" x14ac:dyDescent="0.2">
      <c r="A158" s="17">
        <v>724.6</v>
      </c>
      <c r="C158" s="17">
        <v>9465.49</v>
      </c>
      <c r="E158" s="17">
        <v>9218.82</v>
      </c>
      <c r="F158" s="17">
        <v>9405.02</v>
      </c>
      <c r="G158" s="17">
        <v>9217.27</v>
      </c>
      <c r="H158" s="17">
        <v>9214.6</v>
      </c>
      <c r="I158" s="17">
        <v>9411.91</v>
      </c>
    </row>
    <row r="159" spans="1:9" x14ac:dyDescent="0.2">
      <c r="A159" s="17">
        <v>724.5</v>
      </c>
      <c r="C159" s="17">
        <v>9473.76</v>
      </c>
      <c r="E159" s="17">
        <v>9219.4599999999991</v>
      </c>
      <c r="F159" s="17">
        <v>9399.5300000000007</v>
      </c>
      <c r="G159" s="17">
        <v>9217.9</v>
      </c>
      <c r="H159" s="17">
        <v>9215.17</v>
      </c>
      <c r="I159" s="17">
        <v>9406.5499999999993</v>
      </c>
    </row>
    <row r="160" spans="1:9" x14ac:dyDescent="0.2">
      <c r="A160" s="17">
        <v>724.4</v>
      </c>
      <c r="C160" s="17">
        <v>9460.0400000000009</v>
      </c>
      <c r="E160" s="17">
        <v>9220.1</v>
      </c>
      <c r="F160" s="17">
        <v>9393.9500000000007</v>
      </c>
      <c r="G160" s="17">
        <v>9218.5400000000009</v>
      </c>
      <c r="H160" s="17">
        <v>9215.75</v>
      </c>
      <c r="I160" s="17">
        <v>9401.11</v>
      </c>
    </row>
    <row r="161" spans="1:9" x14ac:dyDescent="0.2">
      <c r="A161" s="17">
        <v>724.3</v>
      </c>
      <c r="C161" s="17">
        <v>9488.1299999999992</v>
      </c>
      <c r="E161" s="17">
        <v>9220.74</v>
      </c>
      <c r="F161" s="17">
        <v>9388.32</v>
      </c>
      <c r="G161" s="17">
        <v>9219.19</v>
      </c>
      <c r="H161" s="17">
        <v>9216.32</v>
      </c>
      <c r="I161" s="17">
        <v>9395.61</v>
      </c>
    </row>
    <row r="162" spans="1:9" x14ac:dyDescent="0.2">
      <c r="A162" s="17">
        <v>724.2</v>
      </c>
      <c r="C162" s="17">
        <v>9441.61</v>
      </c>
      <c r="E162" s="17">
        <v>9221.39</v>
      </c>
      <c r="F162" s="17">
        <v>9382.65</v>
      </c>
      <c r="G162" s="17">
        <v>9219.83</v>
      </c>
      <c r="H162" s="17">
        <v>9216.89</v>
      </c>
      <c r="I162" s="17">
        <v>9390.08</v>
      </c>
    </row>
    <row r="163" spans="1:9" x14ac:dyDescent="0.2">
      <c r="A163" s="17">
        <v>724.1</v>
      </c>
      <c r="C163" s="17">
        <v>9389.89</v>
      </c>
      <c r="E163" s="17">
        <v>9222.0400000000009</v>
      </c>
      <c r="F163" s="17">
        <v>9376.9699999999993</v>
      </c>
      <c r="G163" s="17">
        <v>9220.48</v>
      </c>
      <c r="H163" s="17">
        <v>9217.4699999999993</v>
      </c>
      <c r="I163" s="17">
        <v>9384.5499999999993</v>
      </c>
    </row>
    <row r="164" spans="1:9" x14ac:dyDescent="0.2">
      <c r="A164" s="17">
        <v>724</v>
      </c>
      <c r="C164" s="17">
        <v>9331.26</v>
      </c>
      <c r="E164" s="17">
        <v>9222.68</v>
      </c>
      <c r="F164" s="17">
        <v>9371.31</v>
      </c>
      <c r="G164" s="17">
        <v>9221.1299999999992</v>
      </c>
      <c r="H164" s="17">
        <v>9218.0400000000009</v>
      </c>
      <c r="I164" s="17">
        <v>9379.0400000000009</v>
      </c>
    </row>
    <row r="165" spans="1:9" x14ac:dyDescent="0.2">
      <c r="A165" s="17">
        <v>723.9</v>
      </c>
      <c r="C165" s="17">
        <v>9417.83</v>
      </c>
      <c r="E165" s="17">
        <v>9223.33</v>
      </c>
      <c r="F165" s="17">
        <v>9365.69</v>
      </c>
      <c r="G165" s="17">
        <v>9221.7800000000007</v>
      </c>
      <c r="H165" s="17">
        <v>9218.6200000000008</v>
      </c>
      <c r="I165" s="17">
        <v>9373.57</v>
      </c>
    </row>
    <row r="166" spans="1:9" x14ac:dyDescent="0.2">
      <c r="A166" s="17">
        <v>723.8</v>
      </c>
      <c r="C166" s="17">
        <v>9438.7800000000007</v>
      </c>
      <c r="E166" s="17">
        <v>9223.99</v>
      </c>
      <c r="F166" s="17">
        <v>9360.1200000000008</v>
      </c>
      <c r="G166" s="17">
        <v>9222.44</v>
      </c>
      <c r="H166" s="17">
        <v>9219.19</v>
      </c>
      <c r="I166" s="17">
        <v>9368.17</v>
      </c>
    </row>
    <row r="167" spans="1:9" x14ac:dyDescent="0.2">
      <c r="A167" s="17">
        <v>723.7</v>
      </c>
      <c r="C167" s="17">
        <v>9349.82</v>
      </c>
      <c r="E167" s="17">
        <v>9224.64</v>
      </c>
      <c r="F167" s="17">
        <v>9354.6200000000008</v>
      </c>
      <c r="G167" s="17">
        <v>9223.1</v>
      </c>
      <c r="H167" s="17">
        <v>9219.76</v>
      </c>
      <c r="I167" s="17">
        <v>9362.84</v>
      </c>
    </row>
    <row r="168" spans="1:9" x14ac:dyDescent="0.2">
      <c r="A168" s="17">
        <v>723.6</v>
      </c>
      <c r="C168" s="17">
        <v>9421.4</v>
      </c>
      <c r="E168" s="17">
        <v>9225.2999999999993</v>
      </c>
      <c r="F168" s="17">
        <v>9349.2199999999993</v>
      </c>
      <c r="G168" s="17">
        <v>9223.76</v>
      </c>
      <c r="H168" s="17">
        <v>9220.34</v>
      </c>
      <c r="I168" s="17">
        <v>9357.6</v>
      </c>
    </row>
    <row r="169" spans="1:9" x14ac:dyDescent="0.2">
      <c r="A169" s="17">
        <v>723.5</v>
      </c>
      <c r="C169" s="17">
        <v>9370.77</v>
      </c>
      <c r="E169" s="17">
        <v>9225.9500000000007</v>
      </c>
      <c r="F169" s="17">
        <v>9343.92</v>
      </c>
      <c r="G169" s="17">
        <v>9224.43</v>
      </c>
      <c r="H169" s="17">
        <v>9220.91</v>
      </c>
      <c r="I169" s="17">
        <v>9352.48</v>
      </c>
    </row>
    <row r="170" spans="1:9" x14ac:dyDescent="0.2">
      <c r="A170" s="17">
        <v>723.4</v>
      </c>
      <c r="C170" s="17">
        <v>9396.39</v>
      </c>
      <c r="E170" s="17">
        <v>9226.61</v>
      </c>
      <c r="F170" s="17">
        <v>9338.74</v>
      </c>
      <c r="G170" s="17">
        <v>9225.1</v>
      </c>
      <c r="H170" s="17">
        <v>9221.49</v>
      </c>
      <c r="I170" s="17">
        <v>9347.49</v>
      </c>
    </row>
    <row r="171" spans="1:9" x14ac:dyDescent="0.2">
      <c r="A171" s="17">
        <v>723.3</v>
      </c>
      <c r="C171" s="17">
        <v>9389.2199999999993</v>
      </c>
      <c r="E171" s="17">
        <v>9227.2800000000007</v>
      </c>
      <c r="F171" s="17">
        <v>9333.7000000000007</v>
      </c>
      <c r="G171" s="17">
        <v>9225.77</v>
      </c>
      <c r="H171" s="17">
        <v>9222.06</v>
      </c>
      <c r="I171" s="17">
        <v>9342.6299999999992</v>
      </c>
    </row>
    <row r="172" spans="1:9" x14ac:dyDescent="0.2">
      <c r="A172" s="17">
        <v>723.2</v>
      </c>
      <c r="C172" s="17">
        <v>9359.81</v>
      </c>
      <c r="E172" s="17">
        <v>9227.94</v>
      </c>
      <c r="F172" s="17">
        <v>9328.7900000000009</v>
      </c>
      <c r="G172" s="17">
        <v>9226.4500000000007</v>
      </c>
      <c r="H172" s="17">
        <v>9222.6299999999992</v>
      </c>
      <c r="I172" s="17">
        <v>9337.92</v>
      </c>
    </row>
    <row r="173" spans="1:9" x14ac:dyDescent="0.2">
      <c r="A173" s="17">
        <v>723.1</v>
      </c>
      <c r="C173" s="17">
        <v>9419.4500000000007</v>
      </c>
      <c r="E173" s="17">
        <v>9228.61</v>
      </c>
      <c r="F173" s="17">
        <v>9324.0400000000009</v>
      </c>
      <c r="G173" s="17">
        <v>9227.14</v>
      </c>
      <c r="H173" s="17">
        <v>9223.2099999999991</v>
      </c>
      <c r="I173" s="17">
        <v>9333.3700000000008</v>
      </c>
    </row>
    <row r="174" spans="1:9" x14ac:dyDescent="0.2">
      <c r="A174" s="17">
        <v>723</v>
      </c>
      <c r="C174" s="17">
        <v>9354.67</v>
      </c>
      <c r="E174" s="17">
        <v>9229.2800000000007</v>
      </c>
      <c r="F174" s="17">
        <v>9319.4500000000007</v>
      </c>
      <c r="G174" s="17">
        <v>9227.83</v>
      </c>
      <c r="H174" s="17">
        <v>9223.7800000000007</v>
      </c>
      <c r="I174" s="17">
        <v>9328.99</v>
      </c>
    </row>
    <row r="175" spans="1:9" x14ac:dyDescent="0.2">
      <c r="A175" s="17">
        <v>722.9</v>
      </c>
      <c r="C175" s="17">
        <v>9271.4699999999993</v>
      </c>
      <c r="E175" s="17">
        <v>9229.9500000000007</v>
      </c>
      <c r="F175" s="17">
        <v>9315.0300000000007</v>
      </c>
      <c r="G175" s="17">
        <v>9228.52</v>
      </c>
      <c r="H175" s="17">
        <v>9224.36</v>
      </c>
      <c r="I175" s="17">
        <v>9324.7900000000009</v>
      </c>
    </row>
    <row r="176" spans="1:9" x14ac:dyDescent="0.2">
      <c r="A176" s="17">
        <v>722.8</v>
      </c>
      <c r="C176" s="17">
        <v>9386.5499999999993</v>
      </c>
      <c r="E176" s="17">
        <v>9230.6200000000008</v>
      </c>
      <c r="F176" s="17">
        <v>9310.7800000000007</v>
      </c>
      <c r="G176" s="17">
        <v>9229.2199999999993</v>
      </c>
      <c r="H176" s="17">
        <v>9224.93</v>
      </c>
      <c r="I176" s="17">
        <v>9320.77</v>
      </c>
    </row>
    <row r="177" spans="1:9" x14ac:dyDescent="0.2">
      <c r="A177" s="17">
        <v>722.7</v>
      </c>
      <c r="C177" s="17">
        <v>9359.4699999999993</v>
      </c>
      <c r="E177" s="17">
        <v>9231.2999999999993</v>
      </c>
      <c r="F177" s="17">
        <v>9306.7099999999991</v>
      </c>
      <c r="G177" s="17">
        <v>9229.93</v>
      </c>
      <c r="H177" s="17">
        <v>9225.5</v>
      </c>
      <c r="I177" s="17">
        <v>9316.93</v>
      </c>
    </row>
    <row r="178" spans="1:9" x14ac:dyDescent="0.2">
      <c r="A178" s="17">
        <v>722.6</v>
      </c>
      <c r="C178" s="17">
        <v>9450.0499999999993</v>
      </c>
      <c r="E178" s="17">
        <v>9231.98</v>
      </c>
      <c r="F178" s="17">
        <v>9302.81</v>
      </c>
      <c r="G178" s="17">
        <v>9230.65</v>
      </c>
      <c r="H178" s="17">
        <v>9226.08</v>
      </c>
      <c r="I178" s="17">
        <v>9313.2800000000007</v>
      </c>
    </row>
    <row r="179" spans="1:9" x14ac:dyDescent="0.2">
      <c r="A179" s="17">
        <v>722.5</v>
      </c>
      <c r="C179" s="17">
        <v>9317.14</v>
      </c>
      <c r="E179" s="17">
        <v>9232.66</v>
      </c>
      <c r="F179" s="17">
        <v>9299.1</v>
      </c>
      <c r="G179" s="17">
        <v>9231.3700000000008</v>
      </c>
      <c r="H179" s="17">
        <v>9226.65</v>
      </c>
      <c r="I179" s="17">
        <v>9309.83</v>
      </c>
    </row>
    <row r="180" spans="1:9" x14ac:dyDescent="0.2">
      <c r="A180" s="17">
        <v>722.4</v>
      </c>
      <c r="C180" s="17">
        <v>9384.67</v>
      </c>
      <c r="E180" s="17">
        <v>9233.35</v>
      </c>
      <c r="F180" s="17">
        <v>9295.58</v>
      </c>
      <c r="G180" s="17">
        <v>9232.1</v>
      </c>
      <c r="H180" s="17">
        <v>9227.23</v>
      </c>
      <c r="I180" s="17">
        <v>9306.58</v>
      </c>
    </row>
    <row r="181" spans="1:9" x14ac:dyDescent="0.2">
      <c r="A181" s="17">
        <v>722.3</v>
      </c>
      <c r="C181" s="17">
        <v>9354.43</v>
      </c>
      <c r="E181" s="17">
        <v>9234.0400000000009</v>
      </c>
      <c r="F181" s="17">
        <v>9292.23</v>
      </c>
      <c r="G181" s="17">
        <v>9232.85</v>
      </c>
      <c r="H181" s="17">
        <v>9227.7999999999993</v>
      </c>
      <c r="I181" s="17">
        <v>9303.52</v>
      </c>
    </row>
    <row r="182" spans="1:9" x14ac:dyDescent="0.2">
      <c r="A182" s="17">
        <v>722.2</v>
      </c>
      <c r="C182" s="17">
        <v>9383.5</v>
      </c>
      <c r="E182" s="17">
        <v>9234.73</v>
      </c>
      <c r="F182" s="17">
        <v>9289.07</v>
      </c>
      <c r="G182" s="17">
        <v>9233.6</v>
      </c>
      <c r="H182" s="17">
        <v>9228.3700000000008</v>
      </c>
      <c r="I182" s="17">
        <v>9300.66</v>
      </c>
    </row>
    <row r="183" spans="1:9" x14ac:dyDescent="0.2">
      <c r="A183" s="17">
        <v>722.1</v>
      </c>
      <c r="C183" s="17">
        <v>9287.5400000000009</v>
      </c>
      <c r="E183" s="17">
        <v>9235.43</v>
      </c>
      <c r="F183" s="17">
        <v>9286.09</v>
      </c>
      <c r="G183" s="17">
        <v>9234.3700000000008</v>
      </c>
      <c r="H183" s="17">
        <v>9228.9500000000007</v>
      </c>
      <c r="I183" s="17">
        <v>9297.99</v>
      </c>
    </row>
    <row r="184" spans="1:9" x14ac:dyDescent="0.2">
      <c r="A184" s="17">
        <v>722</v>
      </c>
      <c r="C184" s="17">
        <v>9361.23</v>
      </c>
      <c r="E184" s="17">
        <v>9236.1299999999992</v>
      </c>
      <c r="F184" s="17">
        <v>9283.2900000000009</v>
      </c>
      <c r="G184" s="17">
        <v>9235.15</v>
      </c>
      <c r="H184" s="17">
        <v>9229.52</v>
      </c>
      <c r="I184" s="17">
        <v>9295.52</v>
      </c>
    </row>
    <row r="185" spans="1:9" x14ac:dyDescent="0.2">
      <c r="A185" s="17">
        <v>721.9</v>
      </c>
      <c r="C185" s="17">
        <v>9373.2800000000007</v>
      </c>
      <c r="E185" s="17">
        <v>9236.83</v>
      </c>
      <c r="F185" s="17">
        <v>9280.67</v>
      </c>
      <c r="G185" s="17">
        <v>9235.9500000000007</v>
      </c>
      <c r="H185" s="17">
        <v>9230.1</v>
      </c>
      <c r="I185" s="17">
        <v>9293.25</v>
      </c>
    </row>
    <row r="186" spans="1:9" x14ac:dyDescent="0.2">
      <c r="A186" s="17">
        <v>721.8</v>
      </c>
      <c r="C186" s="17">
        <v>9297.73</v>
      </c>
      <c r="E186" s="17">
        <v>9237.5300000000007</v>
      </c>
      <c r="F186" s="17">
        <v>9278.2199999999993</v>
      </c>
      <c r="G186" s="17">
        <v>9236.77</v>
      </c>
      <c r="H186" s="17">
        <v>9230.67</v>
      </c>
      <c r="I186" s="17">
        <v>9291.18</v>
      </c>
    </row>
    <row r="187" spans="1:9" x14ac:dyDescent="0.2">
      <c r="A187" s="17">
        <v>721.7</v>
      </c>
      <c r="C187" s="17">
        <v>9349.08</v>
      </c>
      <c r="E187" s="17">
        <v>9238.25</v>
      </c>
      <c r="F187" s="17">
        <v>9275.93</v>
      </c>
      <c r="G187" s="17">
        <v>9237.61</v>
      </c>
      <c r="H187" s="17">
        <v>9231.24</v>
      </c>
      <c r="I187" s="17">
        <v>9289.2999999999993</v>
      </c>
    </row>
    <row r="188" spans="1:9" x14ac:dyDescent="0.2">
      <c r="A188" s="17">
        <v>721.6</v>
      </c>
      <c r="C188" s="17">
        <v>9305.18</v>
      </c>
      <c r="E188" s="17">
        <v>9238.9599999999991</v>
      </c>
      <c r="F188" s="17">
        <v>9273.81</v>
      </c>
      <c r="G188" s="17">
        <v>9238.48</v>
      </c>
      <c r="H188" s="17">
        <v>9231.82</v>
      </c>
      <c r="I188" s="17">
        <v>9287.61</v>
      </c>
    </row>
    <row r="189" spans="1:9" x14ac:dyDescent="0.2">
      <c r="A189" s="17">
        <v>721.5</v>
      </c>
      <c r="C189" s="17">
        <v>9396.15</v>
      </c>
      <c r="E189" s="17">
        <v>9239.68</v>
      </c>
      <c r="F189" s="17">
        <v>9271.85</v>
      </c>
      <c r="G189" s="17">
        <v>9239.3700000000008</v>
      </c>
      <c r="H189" s="17">
        <v>9232.39</v>
      </c>
      <c r="I189" s="17">
        <v>9286.1200000000008</v>
      </c>
    </row>
    <row r="190" spans="1:9" x14ac:dyDescent="0.2">
      <c r="A190" s="17">
        <v>721.4</v>
      </c>
      <c r="C190" s="17">
        <v>9433.4599999999991</v>
      </c>
      <c r="E190" s="17">
        <v>9240.4</v>
      </c>
      <c r="F190" s="17">
        <v>9270.0400000000009</v>
      </c>
      <c r="G190" s="17">
        <v>9240.2999999999993</v>
      </c>
      <c r="H190" s="17">
        <v>9232.9699999999993</v>
      </c>
      <c r="I190" s="17">
        <v>9284.82</v>
      </c>
    </row>
    <row r="191" spans="1:9" x14ac:dyDescent="0.2">
      <c r="A191" s="17">
        <v>721.3</v>
      </c>
      <c r="C191" s="17">
        <v>9369.52</v>
      </c>
      <c r="E191" s="17">
        <v>9241.1299999999992</v>
      </c>
      <c r="F191" s="17">
        <v>9268.3799999999992</v>
      </c>
      <c r="G191" s="17">
        <v>9241.27</v>
      </c>
      <c r="H191" s="17">
        <v>9233.5400000000009</v>
      </c>
      <c r="I191" s="17">
        <v>9283.7000000000007</v>
      </c>
    </row>
    <row r="192" spans="1:9" x14ac:dyDescent="0.2">
      <c r="A192" s="17">
        <v>721.2</v>
      </c>
      <c r="C192" s="17">
        <v>9308.7999999999993</v>
      </c>
      <c r="E192" s="17">
        <v>9241.8700000000008</v>
      </c>
      <c r="F192" s="17">
        <v>9266.86</v>
      </c>
      <c r="G192" s="17">
        <v>9242.2900000000009</v>
      </c>
      <c r="H192" s="17">
        <v>9234.11</v>
      </c>
      <c r="I192" s="17">
        <v>9282.7800000000007</v>
      </c>
    </row>
    <row r="193" spans="1:9" x14ac:dyDescent="0.2">
      <c r="A193" s="17">
        <v>721.1</v>
      </c>
      <c r="C193" s="17">
        <v>9304.76</v>
      </c>
      <c r="E193" s="17">
        <v>9242.61</v>
      </c>
      <c r="F193" s="17">
        <v>9265.4699999999993</v>
      </c>
      <c r="G193" s="17">
        <v>9243.36</v>
      </c>
      <c r="H193" s="17">
        <v>9234.69</v>
      </c>
      <c r="I193" s="17">
        <v>9282.0499999999993</v>
      </c>
    </row>
    <row r="194" spans="1:9" x14ac:dyDescent="0.2">
      <c r="A194" s="17">
        <v>721</v>
      </c>
      <c r="C194" s="17">
        <v>9407.9599999999991</v>
      </c>
      <c r="E194" s="17">
        <v>9243.35</v>
      </c>
      <c r="F194" s="17">
        <v>9264.2099999999991</v>
      </c>
      <c r="G194" s="17">
        <v>9244.48</v>
      </c>
      <c r="H194" s="17">
        <v>9235.26</v>
      </c>
      <c r="I194" s="17">
        <v>9281.52</v>
      </c>
    </row>
    <row r="195" spans="1:9" x14ac:dyDescent="0.2">
      <c r="A195" s="17">
        <v>720.9</v>
      </c>
      <c r="C195" s="17">
        <v>9440.44</v>
      </c>
      <c r="E195" s="17">
        <v>9244.1</v>
      </c>
      <c r="F195" s="17">
        <v>9263.08</v>
      </c>
      <c r="G195" s="17">
        <v>9245.68</v>
      </c>
      <c r="H195" s="17">
        <v>9235.84</v>
      </c>
      <c r="I195" s="17">
        <v>9281.18</v>
      </c>
    </row>
    <row r="196" spans="1:9" x14ac:dyDescent="0.2">
      <c r="A196" s="17">
        <v>720.8</v>
      </c>
      <c r="C196" s="17">
        <v>9392.61</v>
      </c>
      <c r="E196" s="17">
        <v>9244.86</v>
      </c>
      <c r="F196" s="17">
        <v>9262.06</v>
      </c>
      <c r="G196" s="17">
        <v>9246.9500000000007</v>
      </c>
      <c r="H196" s="17">
        <v>9236.41</v>
      </c>
      <c r="I196" s="17">
        <v>9281.0400000000009</v>
      </c>
    </row>
    <row r="197" spans="1:9" x14ac:dyDescent="0.2">
      <c r="A197" s="17">
        <v>720.7</v>
      </c>
      <c r="C197" s="17">
        <v>9414.75</v>
      </c>
      <c r="E197" s="17">
        <v>9245.6200000000008</v>
      </c>
      <c r="F197" s="17">
        <v>9261.15</v>
      </c>
      <c r="G197" s="17">
        <v>9248.31</v>
      </c>
      <c r="H197" s="17">
        <v>9236.98</v>
      </c>
      <c r="I197" s="17">
        <v>9281.11</v>
      </c>
    </row>
    <row r="198" spans="1:9" x14ac:dyDescent="0.2">
      <c r="A198" s="17">
        <v>720.6</v>
      </c>
      <c r="C198" s="17">
        <v>9403.43</v>
      </c>
      <c r="E198" s="17">
        <v>9246.4</v>
      </c>
      <c r="F198" s="17">
        <v>9260.35</v>
      </c>
      <c r="G198" s="17">
        <v>9249.77</v>
      </c>
      <c r="H198" s="17">
        <v>9237.56</v>
      </c>
      <c r="I198" s="17">
        <v>9281.39</v>
      </c>
    </row>
    <row r="199" spans="1:9" x14ac:dyDescent="0.2">
      <c r="A199" s="17">
        <v>720.5</v>
      </c>
      <c r="C199" s="17">
        <v>9367.15</v>
      </c>
      <c r="E199" s="17">
        <v>9247.18</v>
      </c>
      <c r="F199" s="17">
        <v>9259.64</v>
      </c>
      <c r="G199" s="17">
        <v>9251.34</v>
      </c>
      <c r="H199" s="17">
        <v>9238.1299999999992</v>
      </c>
      <c r="I199" s="17">
        <v>9281.89</v>
      </c>
    </row>
    <row r="200" spans="1:9" x14ac:dyDescent="0.2">
      <c r="A200" s="17">
        <v>720.4</v>
      </c>
      <c r="C200" s="17">
        <v>9384.2900000000009</v>
      </c>
      <c r="E200" s="17">
        <v>9247.9699999999993</v>
      </c>
      <c r="F200" s="17">
        <v>9259.02</v>
      </c>
      <c r="G200" s="17">
        <v>9253.0400000000009</v>
      </c>
      <c r="H200" s="17">
        <v>9238.7099999999991</v>
      </c>
      <c r="I200" s="17">
        <v>9282.61</v>
      </c>
    </row>
    <row r="201" spans="1:9" x14ac:dyDescent="0.2">
      <c r="A201" s="17">
        <v>720.3</v>
      </c>
      <c r="C201" s="17">
        <v>9361.48</v>
      </c>
      <c r="E201" s="17">
        <v>9248.76</v>
      </c>
      <c r="F201" s="17">
        <v>9258.5</v>
      </c>
      <c r="G201" s="17">
        <v>9254.8700000000008</v>
      </c>
      <c r="H201" s="17">
        <v>9239.2800000000007</v>
      </c>
      <c r="I201" s="17">
        <v>9283.57</v>
      </c>
    </row>
    <row r="202" spans="1:9" x14ac:dyDescent="0.2">
      <c r="A202" s="17">
        <v>720.2</v>
      </c>
      <c r="C202" s="17">
        <v>9294.9599999999991</v>
      </c>
      <c r="E202" s="17">
        <v>9249.57</v>
      </c>
      <c r="F202" s="17">
        <v>9258.0499999999993</v>
      </c>
      <c r="G202" s="17">
        <v>9256.8700000000008</v>
      </c>
      <c r="H202" s="17">
        <v>9239.85</v>
      </c>
      <c r="I202" s="17">
        <v>9284.7800000000007</v>
      </c>
    </row>
    <row r="203" spans="1:9" x14ac:dyDescent="0.2">
      <c r="A203" s="17">
        <v>720.1</v>
      </c>
      <c r="C203" s="17">
        <v>9317.59</v>
      </c>
      <c r="E203" s="17">
        <v>9250.39</v>
      </c>
      <c r="F203" s="17">
        <v>9257.68</v>
      </c>
      <c r="G203" s="17">
        <v>9259.0400000000009</v>
      </c>
      <c r="H203" s="17">
        <v>9240.43</v>
      </c>
      <c r="I203" s="17">
        <v>9286.25</v>
      </c>
    </row>
    <row r="204" spans="1:9" x14ac:dyDescent="0.2">
      <c r="A204" s="17">
        <v>720</v>
      </c>
      <c r="C204" s="17">
        <v>9414.57</v>
      </c>
      <c r="E204" s="17">
        <v>9251.2199999999993</v>
      </c>
      <c r="F204" s="17">
        <v>9257.3700000000008</v>
      </c>
      <c r="G204" s="17">
        <v>9261.4</v>
      </c>
      <c r="H204" s="17">
        <v>9241</v>
      </c>
      <c r="I204" s="17">
        <v>9287.99</v>
      </c>
    </row>
    <row r="205" spans="1:9" x14ac:dyDescent="0.2">
      <c r="A205" s="17">
        <v>719.9</v>
      </c>
      <c r="C205" s="17">
        <v>9395.86</v>
      </c>
      <c r="E205" s="17">
        <v>9252.07</v>
      </c>
      <c r="F205" s="17">
        <v>9257.14</v>
      </c>
      <c r="G205" s="17">
        <v>9263.9699999999993</v>
      </c>
      <c r="H205" s="17">
        <v>9241.58</v>
      </c>
      <c r="I205" s="17">
        <v>9290.02</v>
      </c>
    </row>
    <row r="206" spans="1:9" x14ac:dyDescent="0.2">
      <c r="A206" s="17">
        <v>719.8</v>
      </c>
      <c r="C206" s="17">
        <v>9459.15</v>
      </c>
      <c r="E206" s="17">
        <v>9252.93</v>
      </c>
      <c r="F206" s="17">
        <v>9256.9599999999991</v>
      </c>
      <c r="G206" s="17">
        <v>9266.76</v>
      </c>
      <c r="H206" s="17">
        <v>9242.15</v>
      </c>
      <c r="I206" s="17">
        <v>9292.35</v>
      </c>
    </row>
    <row r="207" spans="1:9" x14ac:dyDescent="0.2">
      <c r="A207" s="17">
        <v>719.7</v>
      </c>
      <c r="C207" s="17">
        <v>9391.9599999999991</v>
      </c>
      <c r="E207" s="17">
        <v>9253.7999999999993</v>
      </c>
      <c r="F207" s="17">
        <v>9256.84</v>
      </c>
      <c r="G207" s="17">
        <v>9269.7999999999993</v>
      </c>
      <c r="H207" s="17">
        <v>9242.7199999999993</v>
      </c>
      <c r="I207" s="17">
        <v>9294.99</v>
      </c>
    </row>
    <row r="208" spans="1:9" x14ac:dyDescent="0.2">
      <c r="A208" s="17">
        <v>719.6</v>
      </c>
      <c r="C208" s="17">
        <v>9287.9500000000007</v>
      </c>
      <c r="E208" s="17">
        <v>9254.7000000000007</v>
      </c>
      <c r="F208" s="17">
        <v>9256.77</v>
      </c>
      <c r="G208" s="17">
        <v>9273.1</v>
      </c>
      <c r="H208" s="17">
        <v>9243.2999999999993</v>
      </c>
      <c r="I208" s="17">
        <v>9297.9699999999993</v>
      </c>
    </row>
    <row r="209" spans="1:9" x14ac:dyDescent="0.2">
      <c r="A209" s="17">
        <v>719.5</v>
      </c>
      <c r="C209" s="17">
        <v>9465.92</v>
      </c>
      <c r="E209" s="17">
        <v>9255.61</v>
      </c>
      <c r="F209" s="17">
        <v>9256.75</v>
      </c>
      <c r="G209" s="17">
        <v>9276.68</v>
      </c>
      <c r="H209" s="17">
        <v>9243.8700000000008</v>
      </c>
      <c r="I209" s="17">
        <v>9301.2999999999993</v>
      </c>
    </row>
    <row r="210" spans="1:9" x14ac:dyDescent="0.2">
      <c r="A210" s="17">
        <v>719.4</v>
      </c>
      <c r="C210" s="17">
        <v>9422.6</v>
      </c>
      <c r="E210" s="17">
        <v>9256.5400000000009</v>
      </c>
      <c r="F210" s="17">
        <v>9256.77</v>
      </c>
      <c r="G210" s="17">
        <v>9280.56</v>
      </c>
      <c r="H210" s="17">
        <v>9244.4500000000007</v>
      </c>
      <c r="I210" s="17">
        <v>9304.98</v>
      </c>
    </row>
    <row r="211" spans="1:9" x14ac:dyDescent="0.2">
      <c r="A211" s="17">
        <v>719.3</v>
      </c>
      <c r="C211" s="17">
        <v>9364.43</v>
      </c>
      <c r="E211" s="17">
        <v>9257.5</v>
      </c>
      <c r="F211" s="17">
        <v>9256.83</v>
      </c>
      <c r="G211" s="17">
        <v>9284.75</v>
      </c>
      <c r="H211" s="17">
        <v>9245.02</v>
      </c>
      <c r="I211" s="17">
        <v>9309.0499999999993</v>
      </c>
    </row>
    <row r="212" spans="1:9" x14ac:dyDescent="0.2">
      <c r="A212" s="17">
        <v>719.2</v>
      </c>
      <c r="C212" s="17">
        <v>9424.5499999999993</v>
      </c>
      <c r="E212" s="17">
        <v>9258.48</v>
      </c>
      <c r="F212" s="17">
        <v>9256.94</v>
      </c>
      <c r="G212" s="17">
        <v>9289.27</v>
      </c>
      <c r="H212" s="17">
        <v>9245.59</v>
      </c>
      <c r="I212" s="17">
        <v>9313.5</v>
      </c>
    </row>
    <row r="213" spans="1:9" x14ac:dyDescent="0.2">
      <c r="A213" s="17">
        <v>719.1</v>
      </c>
      <c r="C213" s="17">
        <v>9487.73</v>
      </c>
      <c r="E213" s="17">
        <v>9259.5</v>
      </c>
      <c r="F213" s="17">
        <v>9257.07</v>
      </c>
      <c r="G213" s="17">
        <v>9294.11</v>
      </c>
      <c r="H213" s="17">
        <v>9246.17</v>
      </c>
      <c r="I213" s="17">
        <v>9318.34</v>
      </c>
    </row>
    <row r="214" spans="1:9" x14ac:dyDescent="0.2">
      <c r="A214" s="17">
        <v>719</v>
      </c>
      <c r="C214" s="17">
        <v>9277.56</v>
      </c>
      <c r="E214" s="17">
        <v>9260.5400000000009</v>
      </c>
      <c r="F214" s="17">
        <v>9257.24</v>
      </c>
      <c r="G214" s="17">
        <v>9299.2999999999993</v>
      </c>
      <c r="H214" s="17">
        <v>9246.74</v>
      </c>
      <c r="I214" s="17">
        <v>9323.59</v>
      </c>
    </row>
    <row r="215" spans="1:9" x14ac:dyDescent="0.2">
      <c r="A215" s="17">
        <v>718.9</v>
      </c>
      <c r="C215" s="17">
        <v>9394.07</v>
      </c>
      <c r="E215" s="17">
        <v>9261.6200000000008</v>
      </c>
      <c r="F215" s="17">
        <v>9257.43</v>
      </c>
      <c r="G215" s="17">
        <v>9304.84</v>
      </c>
      <c r="H215" s="17">
        <v>9247.32</v>
      </c>
      <c r="I215" s="17">
        <v>9329.26</v>
      </c>
    </row>
    <row r="216" spans="1:9" x14ac:dyDescent="0.2">
      <c r="A216" s="17">
        <v>718.8</v>
      </c>
      <c r="C216" s="17">
        <v>9404.91</v>
      </c>
      <c r="E216" s="17">
        <v>9262.75</v>
      </c>
      <c r="F216" s="17">
        <v>9257.65</v>
      </c>
      <c r="G216" s="17">
        <v>9310.7199999999993</v>
      </c>
      <c r="H216" s="17">
        <v>9247.89</v>
      </c>
      <c r="I216" s="17">
        <v>9335.33</v>
      </c>
    </row>
    <row r="217" spans="1:9" x14ac:dyDescent="0.2">
      <c r="A217" s="17">
        <v>718.7</v>
      </c>
      <c r="C217" s="17">
        <v>9419.15</v>
      </c>
      <c r="E217" s="17">
        <v>9263.91</v>
      </c>
      <c r="F217" s="17">
        <v>9257.89</v>
      </c>
      <c r="G217" s="17">
        <v>9316.94</v>
      </c>
      <c r="H217" s="17">
        <v>9248.4599999999991</v>
      </c>
      <c r="I217" s="17">
        <v>9341.82</v>
      </c>
    </row>
    <row r="218" spans="1:9" x14ac:dyDescent="0.2">
      <c r="A218" s="17">
        <v>718.6</v>
      </c>
      <c r="C218" s="17">
        <v>9444</v>
      </c>
      <c r="E218" s="17">
        <v>9265.1299999999992</v>
      </c>
      <c r="F218" s="17">
        <v>9258.16</v>
      </c>
      <c r="G218" s="17">
        <v>9323.5</v>
      </c>
      <c r="H218" s="17">
        <v>9249.0400000000009</v>
      </c>
      <c r="I218" s="17">
        <v>9348.7000000000007</v>
      </c>
    </row>
    <row r="219" spans="1:9" x14ac:dyDescent="0.2">
      <c r="A219" s="17">
        <v>718.5</v>
      </c>
      <c r="C219" s="17">
        <v>9468.2099999999991</v>
      </c>
      <c r="E219" s="17">
        <v>9266.39</v>
      </c>
      <c r="F219" s="17">
        <v>9258.4500000000007</v>
      </c>
      <c r="G219" s="17">
        <v>9330.3700000000008</v>
      </c>
      <c r="H219" s="17">
        <v>9249.61</v>
      </c>
      <c r="I219" s="17">
        <v>9355.99</v>
      </c>
    </row>
    <row r="220" spans="1:9" x14ac:dyDescent="0.2">
      <c r="A220" s="17">
        <v>718.4</v>
      </c>
      <c r="C220" s="17">
        <v>9385.2199999999993</v>
      </c>
      <c r="E220" s="17">
        <v>9267.7199999999993</v>
      </c>
      <c r="F220" s="17">
        <v>9258.75</v>
      </c>
      <c r="G220" s="17">
        <v>9337.5499999999993</v>
      </c>
      <c r="H220" s="17">
        <v>9250.19</v>
      </c>
      <c r="I220" s="17">
        <v>9363.65</v>
      </c>
    </row>
    <row r="221" spans="1:9" x14ac:dyDescent="0.2">
      <c r="A221" s="17">
        <v>718.3</v>
      </c>
      <c r="C221" s="17">
        <v>9424.4599999999991</v>
      </c>
      <c r="E221" s="17">
        <v>9269.1200000000008</v>
      </c>
      <c r="F221" s="17">
        <v>9259.07</v>
      </c>
      <c r="G221" s="17">
        <v>9345</v>
      </c>
      <c r="H221" s="17">
        <v>9250.76</v>
      </c>
      <c r="I221" s="17">
        <v>9371.66</v>
      </c>
    </row>
    <row r="222" spans="1:9" x14ac:dyDescent="0.2">
      <c r="A222" s="17">
        <v>718.2</v>
      </c>
      <c r="C222" s="17">
        <v>9431.06</v>
      </c>
      <c r="E222" s="17">
        <v>9270.58</v>
      </c>
      <c r="F222" s="17">
        <v>9259.41</v>
      </c>
      <c r="G222" s="17">
        <v>9352.69</v>
      </c>
      <c r="H222" s="17">
        <v>9251.33</v>
      </c>
      <c r="I222" s="17">
        <v>9380.01</v>
      </c>
    </row>
    <row r="223" spans="1:9" x14ac:dyDescent="0.2">
      <c r="A223" s="17">
        <v>718.1</v>
      </c>
      <c r="C223" s="17">
        <v>9388.08</v>
      </c>
      <c r="E223" s="17">
        <v>9272.1299999999992</v>
      </c>
      <c r="F223" s="17">
        <v>9259.76</v>
      </c>
      <c r="G223" s="17">
        <v>9360.58</v>
      </c>
      <c r="H223" s="17">
        <v>9251.91</v>
      </c>
      <c r="I223" s="17">
        <v>9388.66</v>
      </c>
    </row>
    <row r="224" spans="1:9" x14ac:dyDescent="0.2">
      <c r="A224" s="17">
        <v>718</v>
      </c>
      <c r="C224" s="17">
        <v>9376.6</v>
      </c>
      <c r="E224" s="17">
        <v>9273.77</v>
      </c>
      <c r="F224" s="17">
        <v>9260.1200000000008</v>
      </c>
      <c r="G224" s="17">
        <v>9368.64</v>
      </c>
      <c r="H224" s="17">
        <v>9252.48</v>
      </c>
      <c r="I224" s="17">
        <v>9397.56</v>
      </c>
    </row>
    <row r="225" spans="1:9" x14ac:dyDescent="0.2">
      <c r="A225" s="17">
        <v>717.9</v>
      </c>
      <c r="C225" s="17">
        <v>9366.33</v>
      </c>
      <c r="E225" s="17">
        <v>9275.5</v>
      </c>
      <c r="F225" s="17">
        <v>9260.49</v>
      </c>
      <c r="G225" s="17">
        <v>9376.7999999999993</v>
      </c>
      <c r="H225" s="17">
        <v>9253.06</v>
      </c>
      <c r="I225" s="17">
        <v>9406.69</v>
      </c>
    </row>
    <row r="226" spans="1:9" x14ac:dyDescent="0.2">
      <c r="A226" s="17">
        <v>717.8</v>
      </c>
      <c r="C226" s="17">
        <v>9489.02</v>
      </c>
      <c r="E226" s="17">
        <v>9277.35</v>
      </c>
      <c r="F226" s="17">
        <v>9260.8799999999992</v>
      </c>
      <c r="G226" s="17">
        <v>9385.02</v>
      </c>
      <c r="H226" s="17">
        <v>9253.6299999999992</v>
      </c>
      <c r="I226" s="17">
        <v>9415.98</v>
      </c>
    </row>
    <row r="227" spans="1:9" x14ac:dyDescent="0.2">
      <c r="A227" s="17">
        <v>717.7</v>
      </c>
      <c r="C227" s="17">
        <v>9480.86</v>
      </c>
      <c r="E227" s="17">
        <v>9279.2999999999993</v>
      </c>
      <c r="F227" s="17">
        <v>9261.27</v>
      </c>
      <c r="G227" s="17">
        <v>9393.2099999999991</v>
      </c>
      <c r="H227" s="17">
        <v>9254.2000000000007</v>
      </c>
      <c r="I227" s="17">
        <v>9425.3799999999992</v>
      </c>
    </row>
    <row r="228" spans="1:9" x14ac:dyDescent="0.2">
      <c r="A228" s="17">
        <v>717.6</v>
      </c>
      <c r="C228" s="17">
        <v>9436.93</v>
      </c>
      <c r="E228" s="17">
        <v>9281.39</v>
      </c>
      <c r="F228" s="17">
        <v>9261.67</v>
      </c>
      <c r="G228" s="17">
        <v>9401.32</v>
      </c>
      <c r="H228" s="17">
        <v>9254.7800000000007</v>
      </c>
      <c r="I228" s="17">
        <v>9434.83</v>
      </c>
    </row>
    <row r="229" spans="1:9" x14ac:dyDescent="0.2">
      <c r="A229" s="17">
        <v>717.5</v>
      </c>
      <c r="C229" s="17">
        <v>9451.44</v>
      </c>
      <c r="E229" s="17">
        <v>9283.61</v>
      </c>
      <c r="F229" s="17">
        <v>9262.09</v>
      </c>
      <c r="G229" s="17">
        <v>9409.27</v>
      </c>
      <c r="H229" s="17">
        <v>9255.35</v>
      </c>
      <c r="I229" s="17">
        <v>9444.25</v>
      </c>
    </row>
    <row r="230" spans="1:9" x14ac:dyDescent="0.2">
      <c r="A230" s="17">
        <v>717.4</v>
      </c>
      <c r="C230" s="17">
        <v>9491.09</v>
      </c>
      <c r="E230" s="17">
        <v>9285.98</v>
      </c>
      <c r="F230" s="17">
        <v>9262.5</v>
      </c>
      <c r="G230" s="17">
        <v>9416.9599999999991</v>
      </c>
      <c r="H230" s="17">
        <v>9255.93</v>
      </c>
      <c r="I230" s="17">
        <v>9453.59</v>
      </c>
    </row>
    <row r="231" spans="1:9" x14ac:dyDescent="0.2">
      <c r="A231" s="17">
        <v>717.3</v>
      </c>
      <c r="C231" s="17">
        <v>9496.94</v>
      </c>
      <c r="E231" s="17">
        <v>9288.51</v>
      </c>
      <c r="F231" s="17">
        <v>9262.93</v>
      </c>
      <c r="G231" s="17">
        <v>9424.2999999999993</v>
      </c>
      <c r="H231" s="17">
        <v>9256.5</v>
      </c>
      <c r="I231" s="17">
        <v>9462.75</v>
      </c>
    </row>
    <row r="232" spans="1:9" x14ac:dyDescent="0.2">
      <c r="A232" s="17">
        <v>717.2</v>
      </c>
      <c r="C232" s="17">
        <v>9519.25</v>
      </c>
      <c r="E232" s="17">
        <v>9291.2199999999993</v>
      </c>
      <c r="F232" s="17">
        <v>9263.36</v>
      </c>
      <c r="G232" s="17">
        <v>9431.2199999999993</v>
      </c>
      <c r="H232" s="17">
        <v>9257.07</v>
      </c>
      <c r="I232" s="17">
        <v>9471.65</v>
      </c>
    </row>
    <row r="233" spans="1:9" x14ac:dyDescent="0.2">
      <c r="A233" s="17">
        <v>717.1</v>
      </c>
      <c r="C233" s="17">
        <v>9544.25</v>
      </c>
      <c r="E233" s="17">
        <v>9294.1200000000008</v>
      </c>
      <c r="F233" s="17">
        <v>9263.7999999999993</v>
      </c>
      <c r="G233" s="17">
        <v>9437.59</v>
      </c>
      <c r="H233" s="17">
        <v>9257.65</v>
      </c>
      <c r="I233" s="17">
        <v>9480.2199999999993</v>
      </c>
    </row>
    <row r="234" spans="1:9" x14ac:dyDescent="0.2">
      <c r="A234" s="17">
        <v>717</v>
      </c>
      <c r="C234" s="17">
        <v>9503.69</v>
      </c>
      <c r="E234" s="17">
        <v>9297.2199999999993</v>
      </c>
      <c r="F234" s="17">
        <v>9264.24</v>
      </c>
      <c r="G234" s="17">
        <v>9443.34</v>
      </c>
      <c r="H234" s="17">
        <v>9258.2199999999993</v>
      </c>
      <c r="I234" s="17">
        <v>9488.36</v>
      </c>
    </row>
    <row r="235" spans="1:9" x14ac:dyDescent="0.2">
      <c r="A235" s="17">
        <v>716.9</v>
      </c>
      <c r="C235" s="17">
        <v>9598.2999999999993</v>
      </c>
      <c r="E235" s="17">
        <v>9300.5300000000007</v>
      </c>
      <c r="F235" s="17">
        <v>9264.69</v>
      </c>
      <c r="G235" s="17">
        <v>9448.36</v>
      </c>
      <c r="H235" s="17">
        <v>9258.7999999999993</v>
      </c>
      <c r="I235" s="17">
        <v>9496</v>
      </c>
    </row>
    <row r="236" spans="1:9" x14ac:dyDescent="0.2">
      <c r="A236" s="17">
        <v>716.8</v>
      </c>
      <c r="C236" s="17">
        <v>9562.39</v>
      </c>
      <c r="E236" s="17">
        <v>9304.08</v>
      </c>
      <c r="F236" s="17">
        <v>9265.14</v>
      </c>
      <c r="G236" s="17">
        <v>9452.58</v>
      </c>
      <c r="H236" s="17">
        <v>9259.3700000000008</v>
      </c>
      <c r="I236" s="17">
        <v>9503.06</v>
      </c>
    </row>
    <row r="237" spans="1:9" x14ac:dyDescent="0.2">
      <c r="A237" s="17">
        <v>716.7</v>
      </c>
      <c r="C237" s="17">
        <v>9507.15</v>
      </c>
      <c r="E237" s="17">
        <v>9307.8700000000008</v>
      </c>
      <c r="F237" s="17">
        <v>9265.6</v>
      </c>
      <c r="G237" s="17">
        <v>9455.91</v>
      </c>
      <c r="H237" s="17">
        <v>9259.94</v>
      </c>
      <c r="I237" s="17">
        <v>9509.49</v>
      </c>
    </row>
    <row r="238" spans="1:9" x14ac:dyDescent="0.2">
      <c r="A238" s="17">
        <v>716.6</v>
      </c>
      <c r="C238" s="17">
        <v>9590.08</v>
      </c>
      <c r="E238" s="17">
        <v>9311.92</v>
      </c>
      <c r="F238" s="17">
        <v>9266.06</v>
      </c>
      <c r="G238" s="17">
        <v>9458.2900000000009</v>
      </c>
      <c r="H238" s="17">
        <v>9260.52</v>
      </c>
      <c r="I238" s="17">
        <v>9515.23</v>
      </c>
    </row>
    <row r="239" spans="1:9" x14ac:dyDescent="0.2">
      <c r="A239" s="17">
        <v>716.5</v>
      </c>
      <c r="C239" s="17">
        <v>9540.8799999999992</v>
      </c>
      <c r="E239" s="17">
        <v>9316.24</v>
      </c>
      <c r="F239" s="17">
        <v>9266.5300000000007</v>
      </c>
      <c r="G239" s="17">
        <v>9459.69</v>
      </c>
      <c r="H239" s="17">
        <v>9261.09</v>
      </c>
      <c r="I239" s="17">
        <v>9520.27</v>
      </c>
    </row>
    <row r="240" spans="1:9" x14ac:dyDescent="0.2">
      <c r="A240" s="17">
        <v>716.4</v>
      </c>
      <c r="C240" s="17">
        <v>9597.3799999999992</v>
      </c>
      <c r="E240" s="17">
        <v>9320.85</v>
      </c>
      <c r="F240" s="17">
        <v>9267</v>
      </c>
      <c r="G240" s="17">
        <v>9460.09</v>
      </c>
      <c r="H240" s="17">
        <v>9261.67</v>
      </c>
      <c r="I240" s="17">
        <v>9524.6</v>
      </c>
    </row>
    <row r="241" spans="1:9" x14ac:dyDescent="0.2">
      <c r="A241" s="17">
        <v>716.3</v>
      </c>
      <c r="C241" s="17">
        <v>9522.92</v>
      </c>
      <c r="E241" s="17">
        <v>9325.76</v>
      </c>
      <c r="F241" s="17">
        <v>9267.4699999999993</v>
      </c>
      <c r="G241" s="17">
        <v>9459.49</v>
      </c>
      <c r="H241" s="17">
        <v>9262.24</v>
      </c>
      <c r="I241" s="17">
        <v>9528.23</v>
      </c>
    </row>
    <row r="242" spans="1:9" x14ac:dyDescent="0.2">
      <c r="A242" s="17">
        <v>716.2</v>
      </c>
      <c r="C242" s="17">
        <v>9431.2000000000007</v>
      </c>
      <c r="E242" s="17">
        <v>9330.98</v>
      </c>
      <c r="F242" s="17">
        <v>9267.94</v>
      </c>
      <c r="G242" s="17">
        <v>9457.91</v>
      </c>
      <c r="H242" s="17">
        <v>9262.81</v>
      </c>
      <c r="I242" s="17">
        <v>9531.2099999999991</v>
      </c>
    </row>
    <row r="243" spans="1:9" x14ac:dyDescent="0.2">
      <c r="A243" s="17">
        <v>716.1</v>
      </c>
      <c r="C243" s="17">
        <v>9547.89</v>
      </c>
      <c r="E243" s="17">
        <v>9336.5300000000007</v>
      </c>
      <c r="F243" s="17">
        <v>9268.42</v>
      </c>
      <c r="G243" s="17">
        <v>9455.41</v>
      </c>
      <c r="H243" s="17">
        <v>9263.39</v>
      </c>
      <c r="I243" s="17">
        <v>9533.59</v>
      </c>
    </row>
    <row r="244" spans="1:9" x14ac:dyDescent="0.2">
      <c r="A244" s="17">
        <v>716</v>
      </c>
      <c r="C244" s="17">
        <v>9598.77</v>
      </c>
      <c r="E244" s="17">
        <v>9342.42</v>
      </c>
      <c r="F244" s="17">
        <v>9268.9</v>
      </c>
      <c r="G244" s="17">
        <v>9452.0499999999993</v>
      </c>
      <c r="H244" s="17">
        <v>9263.9599999999991</v>
      </c>
      <c r="I244" s="17">
        <v>9535.4500000000007</v>
      </c>
    </row>
    <row r="245" spans="1:9" x14ac:dyDescent="0.2">
      <c r="A245" s="17">
        <v>715.9</v>
      </c>
      <c r="C245" s="17">
        <v>9493.56</v>
      </c>
      <c r="E245" s="17">
        <v>9348.66</v>
      </c>
      <c r="F245" s="17">
        <v>9269.39</v>
      </c>
      <c r="G245" s="17">
        <v>9447.91</v>
      </c>
      <c r="H245" s="17">
        <v>9264.5400000000009</v>
      </c>
      <c r="I245" s="17">
        <v>9536.8799999999992</v>
      </c>
    </row>
    <row r="246" spans="1:9" x14ac:dyDescent="0.2">
      <c r="A246" s="17">
        <v>715.8</v>
      </c>
      <c r="C246" s="17">
        <v>9592.61</v>
      </c>
      <c r="E246" s="17">
        <v>9355.25</v>
      </c>
      <c r="F246" s="17">
        <v>9269.8700000000008</v>
      </c>
      <c r="G246" s="17">
        <v>9443.08</v>
      </c>
      <c r="H246" s="17">
        <v>9265.11</v>
      </c>
      <c r="I246" s="17">
        <v>9537.98</v>
      </c>
    </row>
    <row r="247" spans="1:9" x14ac:dyDescent="0.2">
      <c r="A247" s="17">
        <v>715.7</v>
      </c>
      <c r="C247" s="17">
        <v>9576.19</v>
      </c>
      <c r="E247" s="17">
        <v>9362.2000000000007</v>
      </c>
      <c r="F247" s="17">
        <v>9270.36</v>
      </c>
      <c r="G247" s="17">
        <v>9437.65</v>
      </c>
      <c r="H247" s="17">
        <v>9265.68</v>
      </c>
      <c r="I247" s="17">
        <v>9538.84</v>
      </c>
    </row>
    <row r="248" spans="1:9" x14ac:dyDescent="0.2">
      <c r="A248" s="17">
        <v>715.6</v>
      </c>
      <c r="C248" s="17">
        <v>9464.82</v>
      </c>
      <c r="E248" s="17">
        <v>9369.5300000000007</v>
      </c>
      <c r="F248" s="17">
        <v>9270.85</v>
      </c>
      <c r="G248" s="17">
        <v>9431.7199999999993</v>
      </c>
      <c r="H248" s="17">
        <v>9266.26</v>
      </c>
      <c r="I248" s="17">
        <v>9539.58</v>
      </c>
    </row>
    <row r="249" spans="1:9" x14ac:dyDescent="0.2">
      <c r="A249" s="17">
        <v>715.5</v>
      </c>
      <c r="C249" s="17">
        <v>9539.7099999999991</v>
      </c>
      <c r="E249" s="17">
        <v>9377.2199999999993</v>
      </c>
      <c r="F249" s="17">
        <v>9271.35</v>
      </c>
      <c r="G249" s="17">
        <v>9425.39</v>
      </c>
      <c r="H249" s="17">
        <v>9266.83</v>
      </c>
      <c r="I249" s="17">
        <v>9540.2900000000009</v>
      </c>
    </row>
    <row r="250" spans="1:9" x14ac:dyDescent="0.2">
      <c r="A250" s="17">
        <v>715.4</v>
      </c>
      <c r="C250" s="17">
        <v>9582.93</v>
      </c>
      <c r="E250" s="17">
        <v>9385.2900000000009</v>
      </c>
      <c r="F250" s="17">
        <v>9271.84</v>
      </c>
      <c r="G250" s="17">
        <v>9418.75</v>
      </c>
      <c r="H250" s="17">
        <v>9267.41</v>
      </c>
      <c r="I250" s="17">
        <v>9541.06</v>
      </c>
    </row>
    <row r="251" spans="1:9" x14ac:dyDescent="0.2">
      <c r="A251" s="17">
        <v>715.3</v>
      </c>
      <c r="C251" s="17">
        <v>9608.7900000000009</v>
      </c>
      <c r="E251" s="17">
        <v>9393.73</v>
      </c>
      <c r="F251" s="17">
        <v>9272.34</v>
      </c>
      <c r="G251" s="17">
        <v>9411.89</v>
      </c>
      <c r="H251" s="17">
        <v>9267.98</v>
      </c>
      <c r="I251" s="17">
        <v>9541.99</v>
      </c>
    </row>
    <row r="252" spans="1:9" x14ac:dyDescent="0.2">
      <c r="A252" s="17">
        <v>715.2</v>
      </c>
      <c r="C252" s="17">
        <v>9626.11</v>
      </c>
      <c r="E252" s="17">
        <v>9402.5400000000009</v>
      </c>
      <c r="F252" s="17">
        <v>9272.84</v>
      </c>
      <c r="G252" s="17">
        <v>9404.89</v>
      </c>
      <c r="H252" s="17">
        <v>9268.5499999999993</v>
      </c>
      <c r="I252" s="17">
        <v>9543.15</v>
      </c>
    </row>
    <row r="253" spans="1:9" x14ac:dyDescent="0.2">
      <c r="A253" s="17">
        <v>715.1</v>
      </c>
      <c r="C253" s="17">
        <v>9725.41</v>
      </c>
      <c r="E253" s="17">
        <v>9411.7000000000007</v>
      </c>
      <c r="F253" s="17">
        <v>9273.34</v>
      </c>
      <c r="G253" s="17">
        <v>9397.82</v>
      </c>
      <c r="H253" s="17">
        <v>9269.1299999999992</v>
      </c>
      <c r="I253" s="17">
        <v>9544.61</v>
      </c>
    </row>
    <row r="254" spans="1:9" x14ac:dyDescent="0.2">
      <c r="A254" s="17">
        <v>715</v>
      </c>
      <c r="C254" s="17">
        <v>9567.1299999999992</v>
      </c>
      <c r="E254" s="17">
        <v>9421.2199999999993</v>
      </c>
      <c r="F254" s="17">
        <v>9273.84</v>
      </c>
      <c r="G254" s="17">
        <v>9390.77</v>
      </c>
      <c r="H254" s="17">
        <v>9269.7000000000007</v>
      </c>
      <c r="I254" s="17">
        <v>9546.43</v>
      </c>
    </row>
    <row r="255" spans="1:9" x14ac:dyDescent="0.2">
      <c r="A255" s="17">
        <v>714.9</v>
      </c>
      <c r="C255" s="17">
        <v>9543.36</v>
      </c>
      <c r="E255" s="17">
        <v>9431.08</v>
      </c>
      <c r="F255" s="17">
        <v>9274.35</v>
      </c>
      <c r="G255" s="17">
        <v>9383.7800000000007</v>
      </c>
      <c r="H255" s="17">
        <v>9270.2800000000007</v>
      </c>
      <c r="I255" s="17">
        <v>9548.66</v>
      </c>
    </row>
    <row r="256" spans="1:9" x14ac:dyDescent="0.2">
      <c r="A256" s="17">
        <v>714.8</v>
      </c>
      <c r="C256" s="17">
        <v>9600.65</v>
      </c>
      <c r="E256" s="17">
        <v>9441.27</v>
      </c>
      <c r="F256" s="17">
        <v>9274.85</v>
      </c>
      <c r="G256" s="17">
        <v>9376.93</v>
      </c>
      <c r="H256" s="17">
        <v>9270.85</v>
      </c>
      <c r="I256" s="17">
        <v>9551.35</v>
      </c>
    </row>
    <row r="257" spans="1:9" x14ac:dyDescent="0.2">
      <c r="A257" s="17">
        <v>714.7</v>
      </c>
      <c r="C257" s="17">
        <v>9621.82</v>
      </c>
      <c r="E257" s="17">
        <v>9451.75</v>
      </c>
      <c r="F257" s="17">
        <v>9275.36</v>
      </c>
      <c r="G257" s="17">
        <v>9370.25</v>
      </c>
      <c r="H257" s="17">
        <v>9271.42</v>
      </c>
      <c r="I257" s="17">
        <v>9554.51</v>
      </c>
    </row>
    <row r="258" spans="1:9" x14ac:dyDescent="0.2">
      <c r="A258" s="17">
        <v>714.6</v>
      </c>
      <c r="C258" s="17">
        <v>9517.9699999999993</v>
      </c>
      <c r="E258" s="17">
        <v>9462.51</v>
      </c>
      <c r="F258" s="17">
        <v>9275.8700000000008</v>
      </c>
      <c r="G258" s="17">
        <v>9363.7800000000007</v>
      </c>
      <c r="H258" s="17">
        <v>9272</v>
      </c>
      <c r="I258" s="17">
        <v>9558.17</v>
      </c>
    </row>
    <row r="259" spans="1:9" x14ac:dyDescent="0.2">
      <c r="A259" s="17">
        <v>714.5</v>
      </c>
      <c r="C259" s="17">
        <v>9539.58</v>
      </c>
      <c r="E259" s="17">
        <v>9473.5300000000007</v>
      </c>
      <c r="F259" s="17">
        <v>9276.39</v>
      </c>
      <c r="G259" s="17">
        <v>9357.58</v>
      </c>
      <c r="H259" s="17">
        <v>9272.57</v>
      </c>
      <c r="I259" s="17">
        <v>9562.35</v>
      </c>
    </row>
    <row r="260" spans="1:9" x14ac:dyDescent="0.2">
      <c r="A260" s="17">
        <v>714.4</v>
      </c>
      <c r="C260" s="17">
        <v>9526.3799999999992</v>
      </c>
      <c r="E260" s="17">
        <v>9484.77</v>
      </c>
      <c r="F260" s="17">
        <v>9276.9</v>
      </c>
      <c r="G260" s="17">
        <v>9351.65</v>
      </c>
      <c r="H260" s="17">
        <v>9273.15</v>
      </c>
      <c r="I260" s="17">
        <v>9567.0300000000007</v>
      </c>
    </row>
    <row r="261" spans="1:9" x14ac:dyDescent="0.2">
      <c r="A261" s="17">
        <v>714.3</v>
      </c>
      <c r="C261" s="17">
        <v>9497.43</v>
      </c>
      <c r="E261" s="17">
        <v>9496.2000000000007</v>
      </c>
      <c r="F261" s="17">
        <v>9277.41</v>
      </c>
      <c r="G261" s="17">
        <v>9346.0400000000009</v>
      </c>
      <c r="H261" s="17">
        <v>9273.7199999999993</v>
      </c>
      <c r="I261" s="17">
        <v>9572.2099999999991</v>
      </c>
    </row>
    <row r="262" spans="1:9" x14ac:dyDescent="0.2">
      <c r="A262" s="17">
        <v>714.2</v>
      </c>
      <c r="C262" s="17">
        <v>9618.69</v>
      </c>
      <c r="E262" s="17">
        <v>9507.7800000000007</v>
      </c>
      <c r="F262" s="17">
        <v>9277.93</v>
      </c>
      <c r="G262" s="17">
        <v>9340.74</v>
      </c>
      <c r="H262" s="17">
        <v>9274.2900000000009</v>
      </c>
      <c r="I262" s="17">
        <v>9577.86</v>
      </c>
    </row>
    <row r="263" spans="1:9" x14ac:dyDescent="0.2">
      <c r="A263" s="17">
        <v>714.1</v>
      </c>
      <c r="C263" s="17">
        <v>9662.9599999999991</v>
      </c>
      <c r="E263" s="17">
        <v>9519.4599999999991</v>
      </c>
      <c r="F263" s="17">
        <v>9278.4500000000007</v>
      </c>
      <c r="G263" s="17">
        <v>9335.7900000000009</v>
      </c>
      <c r="H263" s="17">
        <v>9274.8700000000008</v>
      </c>
      <c r="I263" s="17">
        <v>9583.9599999999991</v>
      </c>
    </row>
    <row r="264" spans="1:9" x14ac:dyDescent="0.2">
      <c r="A264" s="17">
        <v>714</v>
      </c>
      <c r="C264" s="17">
        <v>9518.51</v>
      </c>
      <c r="E264" s="17">
        <v>9531.2099999999991</v>
      </c>
      <c r="F264" s="17">
        <v>9278.9599999999991</v>
      </c>
      <c r="G264" s="17">
        <v>9331.18</v>
      </c>
      <c r="H264" s="17">
        <v>9275.44</v>
      </c>
      <c r="I264" s="17">
        <v>9590.4599999999991</v>
      </c>
    </row>
    <row r="265" spans="1:9" x14ac:dyDescent="0.2">
      <c r="A265" s="17">
        <v>713.9</v>
      </c>
      <c r="C265" s="17">
        <v>9578.7000000000007</v>
      </c>
      <c r="E265" s="17">
        <v>9542.9699999999993</v>
      </c>
      <c r="F265" s="17">
        <v>9279.48</v>
      </c>
      <c r="G265" s="17">
        <v>9326.91</v>
      </c>
      <c r="H265" s="17">
        <v>9276.02</v>
      </c>
      <c r="I265" s="17">
        <v>9597.33</v>
      </c>
    </row>
    <row r="266" spans="1:9" x14ac:dyDescent="0.2">
      <c r="A266" s="17">
        <v>713.8</v>
      </c>
      <c r="C266" s="17">
        <v>9527.93</v>
      </c>
      <c r="E266" s="17">
        <v>9554.68</v>
      </c>
      <c r="F266" s="17">
        <v>9280.01</v>
      </c>
      <c r="G266" s="17">
        <v>9322.99</v>
      </c>
      <c r="H266" s="17">
        <v>9276.59</v>
      </c>
      <c r="I266" s="17">
        <v>9604.49</v>
      </c>
    </row>
    <row r="267" spans="1:9" x14ac:dyDescent="0.2">
      <c r="A267" s="17">
        <v>713.7</v>
      </c>
      <c r="C267" s="17">
        <v>9668.43</v>
      </c>
      <c r="E267" s="17">
        <v>9566.2900000000009</v>
      </c>
      <c r="F267" s="17">
        <v>9280.5300000000007</v>
      </c>
      <c r="G267" s="17">
        <v>9319.41</v>
      </c>
      <c r="H267" s="17">
        <v>9277.17</v>
      </c>
      <c r="I267" s="17">
        <v>9611.9</v>
      </c>
    </row>
    <row r="268" spans="1:9" x14ac:dyDescent="0.2">
      <c r="A268" s="17">
        <v>713.6</v>
      </c>
      <c r="C268" s="17">
        <v>9619.76</v>
      </c>
      <c r="E268" s="17">
        <v>9577.74</v>
      </c>
      <c r="F268" s="17">
        <v>9281.0499999999993</v>
      </c>
      <c r="G268" s="17">
        <v>9316.16</v>
      </c>
      <c r="H268" s="17">
        <v>9277.74</v>
      </c>
      <c r="I268" s="17">
        <v>9619.4699999999993</v>
      </c>
    </row>
    <row r="269" spans="1:9" x14ac:dyDescent="0.2">
      <c r="A269" s="17">
        <v>713.5</v>
      </c>
      <c r="C269" s="17">
        <v>9692.99</v>
      </c>
      <c r="E269" s="17">
        <v>9588.9599999999991</v>
      </c>
      <c r="F269" s="17">
        <v>9281.58</v>
      </c>
      <c r="G269" s="17">
        <v>9313.23</v>
      </c>
      <c r="H269" s="17">
        <v>9278.31</v>
      </c>
      <c r="I269" s="17">
        <v>9627.14</v>
      </c>
    </row>
    <row r="270" spans="1:9" x14ac:dyDescent="0.2">
      <c r="A270" s="17">
        <v>713.4</v>
      </c>
      <c r="C270" s="17">
        <v>9663.7199999999993</v>
      </c>
      <c r="E270" s="17">
        <v>9599.8700000000008</v>
      </c>
      <c r="F270" s="17">
        <v>9282.1</v>
      </c>
      <c r="G270" s="17">
        <v>9310.61</v>
      </c>
      <c r="H270" s="17">
        <v>9278.89</v>
      </c>
      <c r="I270" s="17">
        <v>9634.81</v>
      </c>
    </row>
    <row r="271" spans="1:9" x14ac:dyDescent="0.2">
      <c r="A271" s="17">
        <v>713.3</v>
      </c>
      <c r="C271" s="17">
        <v>9647.0300000000007</v>
      </c>
      <c r="E271" s="17">
        <v>9610.42</v>
      </c>
      <c r="F271" s="17">
        <v>9282.6299999999992</v>
      </c>
      <c r="G271" s="17">
        <v>9308.27</v>
      </c>
      <c r="H271" s="17">
        <v>9279.4599999999991</v>
      </c>
      <c r="I271" s="17">
        <v>9642.4</v>
      </c>
    </row>
    <row r="272" spans="1:9" x14ac:dyDescent="0.2">
      <c r="A272" s="17">
        <v>713.2</v>
      </c>
      <c r="C272" s="17">
        <v>9658.93</v>
      </c>
      <c r="E272" s="17">
        <v>9620.52</v>
      </c>
      <c r="F272" s="17">
        <v>9283.16</v>
      </c>
      <c r="G272" s="17">
        <v>9306.2099999999991</v>
      </c>
      <c r="H272" s="17">
        <v>9280.0400000000009</v>
      </c>
      <c r="I272" s="17">
        <v>9649.82</v>
      </c>
    </row>
    <row r="273" spans="1:9" x14ac:dyDescent="0.2">
      <c r="A273" s="17">
        <v>713.1</v>
      </c>
      <c r="C273" s="17">
        <v>9642.36</v>
      </c>
      <c r="E273" s="17">
        <v>9630.1</v>
      </c>
      <c r="F273" s="17">
        <v>9283.68</v>
      </c>
      <c r="G273" s="17">
        <v>9304.41</v>
      </c>
      <c r="H273" s="17">
        <v>9280.61</v>
      </c>
      <c r="I273" s="17">
        <v>9656.9699999999993</v>
      </c>
    </row>
    <row r="274" spans="1:9" x14ac:dyDescent="0.2">
      <c r="A274" s="17">
        <v>713</v>
      </c>
      <c r="C274" s="17">
        <v>9624.6299999999992</v>
      </c>
      <c r="E274" s="17">
        <v>9639.08</v>
      </c>
      <c r="F274" s="17">
        <v>9284.2099999999991</v>
      </c>
      <c r="G274" s="17">
        <v>9302.85</v>
      </c>
      <c r="H274" s="17">
        <v>9281.18</v>
      </c>
      <c r="I274" s="17">
        <v>9663.77</v>
      </c>
    </row>
    <row r="275" spans="1:9" x14ac:dyDescent="0.2">
      <c r="A275" s="17">
        <v>712.9</v>
      </c>
      <c r="C275" s="17">
        <v>9644.84</v>
      </c>
      <c r="E275" s="17">
        <v>9647.3799999999992</v>
      </c>
      <c r="F275" s="17">
        <v>9284.74</v>
      </c>
      <c r="G275" s="17">
        <v>9301.5</v>
      </c>
      <c r="H275" s="17">
        <v>9281.76</v>
      </c>
      <c r="I275" s="17">
        <v>9670.11</v>
      </c>
    </row>
    <row r="276" spans="1:9" x14ac:dyDescent="0.2">
      <c r="A276" s="17">
        <v>712.8</v>
      </c>
      <c r="C276" s="17">
        <v>9588.9500000000007</v>
      </c>
      <c r="E276" s="17">
        <v>9654.93</v>
      </c>
      <c r="F276" s="17">
        <v>9285.2800000000007</v>
      </c>
      <c r="G276" s="17">
        <v>9300.36</v>
      </c>
      <c r="H276" s="17">
        <v>9282.33</v>
      </c>
      <c r="I276" s="17">
        <v>9675.9</v>
      </c>
    </row>
    <row r="277" spans="1:9" x14ac:dyDescent="0.2">
      <c r="A277" s="17">
        <v>712.7</v>
      </c>
      <c r="C277" s="17">
        <v>9734.2900000000009</v>
      </c>
      <c r="E277" s="17">
        <v>9661.66</v>
      </c>
      <c r="F277" s="17">
        <v>9285.81</v>
      </c>
      <c r="G277" s="17">
        <v>9299.4</v>
      </c>
      <c r="H277" s="17">
        <v>9282.91</v>
      </c>
      <c r="I277" s="17">
        <v>9681.06</v>
      </c>
    </row>
    <row r="278" spans="1:9" x14ac:dyDescent="0.2">
      <c r="A278" s="17">
        <v>712.6</v>
      </c>
      <c r="C278" s="17">
        <v>9609.76</v>
      </c>
      <c r="E278" s="17">
        <v>9667.5</v>
      </c>
      <c r="F278" s="17">
        <v>9286.34</v>
      </c>
      <c r="G278" s="17">
        <v>9298.61</v>
      </c>
      <c r="H278" s="17">
        <v>9283.48</v>
      </c>
      <c r="I278" s="17">
        <v>9685.49</v>
      </c>
    </row>
    <row r="279" spans="1:9" x14ac:dyDescent="0.2">
      <c r="A279" s="17">
        <v>712.5</v>
      </c>
      <c r="C279" s="17">
        <v>9754.4699999999993</v>
      </c>
      <c r="E279" s="17">
        <v>9672.39</v>
      </c>
      <c r="F279" s="17">
        <v>9286.8799999999992</v>
      </c>
      <c r="G279" s="17">
        <v>9297.9699999999993</v>
      </c>
      <c r="H279" s="17">
        <v>9284.0499999999993</v>
      </c>
      <c r="I279" s="17">
        <v>9689.1299999999992</v>
      </c>
    </row>
    <row r="280" spans="1:9" x14ac:dyDescent="0.2">
      <c r="A280" s="17">
        <v>712.4</v>
      </c>
      <c r="C280" s="17">
        <v>9754.43</v>
      </c>
      <c r="E280" s="17">
        <v>9676.2900000000009</v>
      </c>
      <c r="F280" s="17">
        <v>9287.41</v>
      </c>
      <c r="G280" s="17">
        <v>9297.4699999999993</v>
      </c>
      <c r="H280" s="17">
        <v>9284.6299999999992</v>
      </c>
      <c r="I280" s="17">
        <v>9691.92</v>
      </c>
    </row>
    <row r="281" spans="1:9" x14ac:dyDescent="0.2">
      <c r="A281" s="17">
        <v>712.3</v>
      </c>
      <c r="C281" s="17">
        <v>9785.56</v>
      </c>
      <c r="E281" s="17">
        <v>9679.15</v>
      </c>
      <c r="F281" s="17">
        <v>9287.9500000000007</v>
      </c>
      <c r="G281" s="17">
        <v>9297.09</v>
      </c>
      <c r="H281" s="17">
        <v>9285.2000000000007</v>
      </c>
      <c r="I281" s="17">
        <v>9693.7800000000007</v>
      </c>
    </row>
    <row r="282" spans="1:9" x14ac:dyDescent="0.2">
      <c r="A282" s="17">
        <v>712.2</v>
      </c>
      <c r="C282" s="17">
        <v>9652.66</v>
      </c>
      <c r="E282" s="17">
        <v>9680.9500000000007</v>
      </c>
      <c r="F282" s="17">
        <v>9288.48</v>
      </c>
      <c r="G282" s="17">
        <v>9296.81</v>
      </c>
      <c r="H282" s="17">
        <v>9285.7800000000007</v>
      </c>
      <c r="I282" s="17">
        <v>9694.7000000000007</v>
      </c>
    </row>
    <row r="283" spans="1:9" x14ac:dyDescent="0.2">
      <c r="A283" s="17">
        <v>712.1</v>
      </c>
      <c r="C283" s="17">
        <v>9665.01</v>
      </c>
      <c r="E283" s="17">
        <v>9681.67</v>
      </c>
      <c r="F283" s="17">
        <v>9289.02</v>
      </c>
      <c r="G283" s="17">
        <v>9296.6299999999992</v>
      </c>
      <c r="H283" s="17">
        <v>9286.35</v>
      </c>
      <c r="I283" s="17">
        <v>9694.6200000000008</v>
      </c>
    </row>
    <row r="284" spans="1:9" x14ac:dyDescent="0.2">
      <c r="A284" s="17">
        <v>712</v>
      </c>
      <c r="C284" s="17">
        <v>9632.77</v>
      </c>
      <c r="E284" s="17">
        <v>9681.31</v>
      </c>
      <c r="F284" s="17">
        <v>9289.56</v>
      </c>
      <c r="G284" s="17">
        <v>9296.5400000000009</v>
      </c>
      <c r="H284" s="17">
        <v>9286.92</v>
      </c>
      <c r="I284" s="17">
        <v>9693.56</v>
      </c>
    </row>
    <row r="285" spans="1:9" x14ac:dyDescent="0.2">
      <c r="A285" s="17">
        <v>711.9</v>
      </c>
      <c r="C285" s="17">
        <v>9731.3799999999992</v>
      </c>
      <c r="E285" s="17">
        <v>9679.8799999999992</v>
      </c>
      <c r="F285" s="17">
        <v>9290.1</v>
      </c>
      <c r="G285" s="17">
        <v>9296.52</v>
      </c>
      <c r="H285" s="17">
        <v>9287.5</v>
      </c>
      <c r="I285" s="17">
        <v>9691.49</v>
      </c>
    </row>
    <row r="286" spans="1:9" x14ac:dyDescent="0.2">
      <c r="A286" s="17">
        <v>711.8</v>
      </c>
      <c r="C286" s="17">
        <v>9850.75</v>
      </c>
      <c r="E286" s="17">
        <v>9677.4</v>
      </c>
      <c r="F286" s="17">
        <v>9290.64</v>
      </c>
      <c r="G286" s="17">
        <v>9296.56</v>
      </c>
      <c r="H286" s="17">
        <v>9288.07</v>
      </c>
      <c r="I286" s="17">
        <v>9688.4500000000007</v>
      </c>
    </row>
    <row r="287" spans="1:9" x14ac:dyDescent="0.2">
      <c r="A287" s="17">
        <v>711.7</v>
      </c>
      <c r="C287" s="17">
        <v>9711.18</v>
      </c>
      <c r="E287" s="17">
        <v>9673.92</v>
      </c>
      <c r="F287" s="17">
        <v>9291.18</v>
      </c>
      <c r="G287" s="17">
        <v>9296.66</v>
      </c>
      <c r="H287" s="17">
        <v>9288.65</v>
      </c>
      <c r="I287" s="17">
        <v>9684.4599999999991</v>
      </c>
    </row>
    <row r="288" spans="1:9" x14ac:dyDescent="0.2">
      <c r="A288" s="17">
        <v>711.6</v>
      </c>
      <c r="C288" s="17">
        <v>9635.25</v>
      </c>
      <c r="E288" s="17">
        <v>9669.4699999999993</v>
      </c>
      <c r="F288" s="17">
        <v>9291.7199999999993</v>
      </c>
      <c r="G288" s="17">
        <v>9296.81</v>
      </c>
      <c r="H288" s="17">
        <v>9289.2199999999993</v>
      </c>
      <c r="I288" s="17">
        <v>9679.56</v>
      </c>
    </row>
    <row r="289" spans="1:9" x14ac:dyDescent="0.2">
      <c r="A289" s="17">
        <v>711.5</v>
      </c>
      <c r="C289" s="17">
        <v>9608.19</v>
      </c>
      <c r="E289" s="17">
        <v>9664.1200000000008</v>
      </c>
      <c r="F289" s="17">
        <v>9292.26</v>
      </c>
      <c r="G289" s="17">
        <v>9297</v>
      </c>
      <c r="H289" s="17">
        <v>9289.7900000000009</v>
      </c>
      <c r="I289" s="17">
        <v>9673.7900000000009</v>
      </c>
    </row>
    <row r="290" spans="1:9" x14ac:dyDescent="0.2">
      <c r="A290" s="17">
        <v>711.4</v>
      </c>
      <c r="C290" s="17">
        <v>9681.06</v>
      </c>
      <c r="E290" s="17">
        <v>9657.93</v>
      </c>
      <c r="F290" s="17">
        <v>9292.7999999999993</v>
      </c>
      <c r="G290" s="17">
        <v>9297.23</v>
      </c>
      <c r="H290" s="17">
        <v>9290.3700000000008</v>
      </c>
      <c r="I290" s="17">
        <v>9667.23</v>
      </c>
    </row>
    <row r="291" spans="1:9" x14ac:dyDescent="0.2">
      <c r="A291" s="17">
        <v>711.3</v>
      </c>
      <c r="C291" s="17">
        <v>9704.1</v>
      </c>
      <c r="E291" s="17">
        <v>9650.9699999999993</v>
      </c>
      <c r="F291" s="17">
        <v>9293.34</v>
      </c>
      <c r="G291" s="17">
        <v>9297.49</v>
      </c>
      <c r="H291" s="17">
        <v>9290.94</v>
      </c>
      <c r="I291" s="17">
        <v>9659.92</v>
      </c>
    </row>
    <row r="292" spans="1:9" x14ac:dyDescent="0.2">
      <c r="A292" s="17">
        <v>711.2</v>
      </c>
      <c r="C292" s="17">
        <v>9625.3700000000008</v>
      </c>
      <c r="E292" s="17">
        <v>9643.31</v>
      </c>
      <c r="F292" s="17">
        <v>9293.89</v>
      </c>
      <c r="G292" s="17">
        <v>9297.7800000000007</v>
      </c>
      <c r="H292" s="17">
        <v>9291.52</v>
      </c>
      <c r="I292" s="17">
        <v>9651.9500000000007</v>
      </c>
    </row>
    <row r="293" spans="1:9" x14ac:dyDescent="0.2">
      <c r="A293" s="17">
        <v>711.1</v>
      </c>
      <c r="C293" s="17">
        <v>9653.7999999999993</v>
      </c>
      <c r="E293" s="17">
        <v>9635.0400000000009</v>
      </c>
      <c r="F293" s="17">
        <v>9294.43</v>
      </c>
      <c r="G293" s="17">
        <v>9298.1</v>
      </c>
      <c r="H293" s="17">
        <v>9292.09</v>
      </c>
      <c r="I293" s="17">
        <v>9643.39</v>
      </c>
    </row>
    <row r="294" spans="1:9" x14ac:dyDescent="0.2">
      <c r="A294" s="17">
        <v>711</v>
      </c>
      <c r="C294" s="17">
        <v>9573.48</v>
      </c>
      <c r="E294" s="17">
        <v>9626.2199999999993</v>
      </c>
      <c r="F294" s="17">
        <v>9294.9699999999993</v>
      </c>
      <c r="G294" s="17">
        <v>9298.44</v>
      </c>
      <c r="H294" s="17">
        <v>9292.66</v>
      </c>
      <c r="I294" s="17">
        <v>9634.2999999999993</v>
      </c>
    </row>
    <row r="295" spans="1:9" x14ac:dyDescent="0.2">
      <c r="A295" s="17">
        <v>710.9</v>
      </c>
      <c r="C295" s="17">
        <v>9601.0499999999993</v>
      </c>
      <c r="E295" s="17">
        <v>9616.93</v>
      </c>
      <c r="F295" s="17">
        <v>9295.52</v>
      </c>
      <c r="G295" s="17">
        <v>9298.7900000000009</v>
      </c>
      <c r="H295" s="17">
        <v>9293.24</v>
      </c>
      <c r="I295" s="17">
        <v>9624.77</v>
      </c>
    </row>
    <row r="296" spans="1:9" x14ac:dyDescent="0.2">
      <c r="A296" s="17">
        <v>710.8</v>
      </c>
      <c r="C296" s="17">
        <v>9692.51</v>
      </c>
      <c r="E296" s="17">
        <v>9607.25</v>
      </c>
      <c r="F296" s="17">
        <v>9296.06</v>
      </c>
      <c r="G296" s="17">
        <v>9299.16</v>
      </c>
      <c r="H296" s="17">
        <v>9293.81</v>
      </c>
      <c r="I296" s="17">
        <v>9614.86</v>
      </c>
    </row>
    <row r="297" spans="1:9" x14ac:dyDescent="0.2">
      <c r="A297" s="17">
        <v>710.7</v>
      </c>
      <c r="C297" s="17">
        <v>9599.06</v>
      </c>
      <c r="E297" s="17">
        <v>9597.26</v>
      </c>
      <c r="F297" s="17">
        <v>9296.61</v>
      </c>
      <c r="G297" s="17">
        <v>9299.5499999999993</v>
      </c>
      <c r="H297" s="17">
        <v>9294.39</v>
      </c>
      <c r="I297" s="17">
        <v>9604.65</v>
      </c>
    </row>
    <row r="298" spans="1:9" x14ac:dyDescent="0.2">
      <c r="A298" s="17">
        <v>710.6</v>
      </c>
      <c r="C298" s="17">
        <v>9570.34</v>
      </c>
      <c r="E298" s="17">
        <v>9587.01</v>
      </c>
      <c r="F298" s="17">
        <v>9297.16</v>
      </c>
      <c r="G298" s="17">
        <v>9299.94</v>
      </c>
      <c r="H298" s="17">
        <v>9294.9599999999991</v>
      </c>
      <c r="I298" s="17">
        <v>9594.2000000000007</v>
      </c>
    </row>
    <row r="299" spans="1:9" x14ac:dyDescent="0.2">
      <c r="A299" s="17">
        <v>710.5</v>
      </c>
      <c r="C299" s="17">
        <v>9602.08</v>
      </c>
      <c r="E299" s="17">
        <v>9576.59</v>
      </c>
      <c r="F299" s="17">
        <v>9297.7000000000007</v>
      </c>
      <c r="G299" s="17">
        <v>9300.35</v>
      </c>
      <c r="H299" s="17">
        <v>9295.5300000000007</v>
      </c>
      <c r="I299" s="17">
        <v>9583.58</v>
      </c>
    </row>
    <row r="300" spans="1:9" x14ac:dyDescent="0.2">
      <c r="A300" s="17">
        <v>710.4</v>
      </c>
      <c r="C300" s="17">
        <v>9555.59</v>
      </c>
      <c r="E300" s="17">
        <v>9566.0400000000009</v>
      </c>
      <c r="F300" s="17">
        <v>9298.25</v>
      </c>
      <c r="G300" s="17">
        <v>9300.77</v>
      </c>
      <c r="H300" s="17">
        <v>9296.11</v>
      </c>
      <c r="I300" s="17">
        <v>9572.85</v>
      </c>
    </row>
    <row r="301" spans="1:9" x14ac:dyDescent="0.2">
      <c r="A301" s="17">
        <v>710.3</v>
      </c>
      <c r="C301" s="17">
        <v>9602.43</v>
      </c>
      <c r="E301" s="17">
        <v>9555.44</v>
      </c>
      <c r="F301" s="17">
        <v>9298.7999999999993</v>
      </c>
      <c r="G301" s="17">
        <v>9301.2000000000007</v>
      </c>
      <c r="H301" s="17">
        <v>9296.68</v>
      </c>
      <c r="I301" s="17">
        <v>9562.08</v>
      </c>
    </row>
    <row r="302" spans="1:9" x14ac:dyDescent="0.2">
      <c r="A302" s="17">
        <v>710.2</v>
      </c>
      <c r="C302" s="17">
        <v>9503.2800000000007</v>
      </c>
      <c r="E302" s="17">
        <v>9544.83</v>
      </c>
      <c r="F302" s="17">
        <v>9299.35</v>
      </c>
      <c r="G302" s="17">
        <v>9301.64</v>
      </c>
      <c r="H302" s="17">
        <v>9297.26</v>
      </c>
      <c r="I302" s="17">
        <v>9551.31</v>
      </c>
    </row>
    <row r="303" spans="1:9" x14ac:dyDescent="0.2">
      <c r="A303" s="17">
        <v>710.1</v>
      </c>
      <c r="C303" s="17">
        <v>9592.18</v>
      </c>
      <c r="E303" s="17">
        <v>9534.2800000000007</v>
      </c>
      <c r="F303" s="17">
        <v>9299.9</v>
      </c>
      <c r="G303" s="17">
        <v>9302.08</v>
      </c>
      <c r="H303" s="17">
        <v>9297.83</v>
      </c>
      <c r="I303" s="17">
        <v>9540.59</v>
      </c>
    </row>
    <row r="304" spans="1:9" x14ac:dyDescent="0.2">
      <c r="A304" s="17">
        <v>710</v>
      </c>
      <c r="C304" s="17">
        <v>9589.2999999999993</v>
      </c>
      <c r="E304" s="17">
        <v>9523.81</v>
      </c>
      <c r="F304" s="17">
        <v>9300.4500000000007</v>
      </c>
      <c r="G304" s="17">
        <v>9302.5300000000007</v>
      </c>
      <c r="H304" s="17">
        <v>9298.4</v>
      </c>
      <c r="I304" s="17">
        <v>9529.98</v>
      </c>
    </row>
    <row r="305" spans="1:9" x14ac:dyDescent="0.2">
      <c r="A305" s="17">
        <v>709.9</v>
      </c>
      <c r="C305" s="17">
        <v>9642.83</v>
      </c>
      <c r="E305" s="17">
        <v>9513.49</v>
      </c>
      <c r="F305" s="17">
        <v>9301</v>
      </c>
      <c r="G305" s="17">
        <v>9302.98</v>
      </c>
      <c r="H305" s="17">
        <v>9298.98</v>
      </c>
      <c r="I305" s="17">
        <v>9519.51</v>
      </c>
    </row>
    <row r="306" spans="1:9" x14ac:dyDescent="0.2">
      <c r="A306" s="17">
        <v>709.8</v>
      </c>
      <c r="C306" s="17">
        <v>9452.52</v>
      </c>
      <c r="E306" s="17">
        <v>9503.34</v>
      </c>
      <c r="F306" s="17">
        <v>9301.5499999999993</v>
      </c>
      <c r="G306" s="17">
        <v>9303.44</v>
      </c>
      <c r="H306" s="17">
        <v>9299.5499999999993</v>
      </c>
      <c r="I306" s="17">
        <v>9509.23</v>
      </c>
    </row>
    <row r="307" spans="1:9" x14ac:dyDescent="0.2">
      <c r="A307" s="17">
        <v>709.7</v>
      </c>
      <c r="C307" s="17">
        <v>9490.24</v>
      </c>
      <c r="E307" s="17">
        <v>9493.41</v>
      </c>
      <c r="F307" s="17">
        <v>9302.1</v>
      </c>
      <c r="G307" s="17">
        <v>9303.91</v>
      </c>
      <c r="H307" s="17">
        <v>9300.1299999999992</v>
      </c>
      <c r="I307" s="17">
        <v>9499.17</v>
      </c>
    </row>
    <row r="308" spans="1:9" x14ac:dyDescent="0.2">
      <c r="A308" s="17">
        <v>709.6</v>
      </c>
      <c r="C308" s="17">
        <v>9515.44</v>
      </c>
      <c r="E308" s="17">
        <v>9483.7199999999993</v>
      </c>
      <c r="F308" s="17">
        <v>9302.65</v>
      </c>
      <c r="G308" s="17">
        <v>9304.3799999999992</v>
      </c>
      <c r="H308" s="17">
        <v>9300.7000000000007</v>
      </c>
      <c r="I308" s="17">
        <v>9489.35</v>
      </c>
    </row>
    <row r="309" spans="1:9" x14ac:dyDescent="0.2">
      <c r="A309" s="17">
        <v>709.5</v>
      </c>
      <c r="C309" s="17">
        <v>9435.57</v>
      </c>
      <c r="E309" s="17">
        <v>9474.31</v>
      </c>
      <c r="F309" s="17">
        <v>9303.2000000000007</v>
      </c>
      <c r="G309" s="17">
        <v>9304.85</v>
      </c>
      <c r="H309" s="17">
        <v>9301.27</v>
      </c>
      <c r="I309" s="17">
        <v>9479.82</v>
      </c>
    </row>
    <row r="310" spans="1:9" x14ac:dyDescent="0.2">
      <c r="A310" s="17">
        <v>709.4</v>
      </c>
      <c r="C310" s="17">
        <v>9501.1299999999992</v>
      </c>
      <c r="E310" s="17">
        <v>9465.19</v>
      </c>
      <c r="F310" s="17">
        <v>9303.75</v>
      </c>
      <c r="G310" s="17">
        <v>9305.33</v>
      </c>
      <c r="H310" s="17">
        <v>9301.85</v>
      </c>
      <c r="I310" s="17">
        <v>9470.58</v>
      </c>
    </row>
    <row r="311" spans="1:9" x14ac:dyDescent="0.2">
      <c r="A311" s="17">
        <v>709.3</v>
      </c>
      <c r="C311" s="17">
        <v>9441.09</v>
      </c>
      <c r="E311" s="17">
        <v>9456.4</v>
      </c>
      <c r="F311" s="17">
        <v>9304.2999999999993</v>
      </c>
      <c r="G311" s="17">
        <v>9305.81</v>
      </c>
      <c r="H311" s="17">
        <v>9302.42</v>
      </c>
      <c r="I311" s="17">
        <v>9461.67</v>
      </c>
    </row>
    <row r="312" spans="1:9" x14ac:dyDescent="0.2">
      <c r="A312" s="17">
        <v>709.2</v>
      </c>
      <c r="C312" s="17">
        <v>9408.35</v>
      </c>
      <c r="E312" s="17">
        <v>9447.93</v>
      </c>
      <c r="F312" s="17">
        <v>9304.86</v>
      </c>
      <c r="G312" s="17">
        <v>9306.2999999999993</v>
      </c>
      <c r="H312" s="17">
        <v>9303</v>
      </c>
      <c r="I312" s="17">
        <v>9453.1</v>
      </c>
    </row>
    <row r="313" spans="1:9" x14ac:dyDescent="0.2">
      <c r="A313" s="17">
        <v>709.1</v>
      </c>
      <c r="C313" s="17">
        <v>9342.44</v>
      </c>
      <c r="E313" s="17">
        <v>9439.82</v>
      </c>
      <c r="F313" s="17">
        <v>9305.41</v>
      </c>
      <c r="G313" s="17">
        <v>9306.7900000000009</v>
      </c>
      <c r="H313" s="17">
        <v>9303.57</v>
      </c>
      <c r="I313" s="17">
        <v>9444.8700000000008</v>
      </c>
    </row>
    <row r="314" spans="1:9" x14ac:dyDescent="0.2">
      <c r="A314" s="17">
        <v>709</v>
      </c>
      <c r="C314" s="17">
        <v>9420.69</v>
      </c>
      <c r="E314" s="17">
        <v>9432.06</v>
      </c>
      <c r="F314" s="17">
        <v>9305.9599999999991</v>
      </c>
      <c r="G314" s="17">
        <v>9307.2800000000007</v>
      </c>
      <c r="H314" s="17">
        <v>9304.14</v>
      </c>
      <c r="I314" s="17">
        <v>9437.02</v>
      </c>
    </row>
    <row r="315" spans="1:9" x14ac:dyDescent="0.2">
      <c r="A315" s="17">
        <v>708.9</v>
      </c>
      <c r="C315" s="17">
        <v>9433.2099999999991</v>
      </c>
      <c r="E315" s="17">
        <v>9424.67</v>
      </c>
      <c r="F315" s="17">
        <v>9306.52</v>
      </c>
      <c r="G315" s="17">
        <v>9307.7800000000007</v>
      </c>
      <c r="H315" s="17">
        <v>9304.7199999999993</v>
      </c>
      <c r="I315" s="17">
        <v>9429.5300000000007</v>
      </c>
    </row>
    <row r="316" spans="1:9" x14ac:dyDescent="0.2">
      <c r="A316" s="17">
        <v>708.8</v>
      </c>
      <c r="C316" s="17">
        <v>9344.92</v>
      </c>
      <c r="E316" s="17">
        <v>9417.65</v>
      </c>
      <c r="F316" s="17">
        <v>9307.07</v>
      </c>
      <c r="G316" s="17">
        <v>9308.2800000000007</v>
      </c>
      <c r="H316" s="17">
        <v>9305.2900000000009</v>
      </c>
      <c r="I316" s="17">
        <v>9422.41</v>
      </c>
    </row>
    <row r="317" spans="1:9" x14ac:dyDescent="0.2">
      <c r="A317" s="17">
        <v>708.7</v>
      </c>
      <c r="C317" s="17">
        <v>9365.4599999999991</v>
      </c>
      <c r="E317" s="17">
        <v>9411</v>
      </c>
      <c r="F317" s="17">
        <v>9307.6200000000008</v>
      </c>
      <c r="G317" s="17">
        <v>9308.7800000000007</v>
      </c>
      <c r="H317" s="17">
        <v>9305.8700000000008</v>
      </c>
      <c r="I317" s="17">
        <v>9415.67</v>
      </c>
    </row>
    <row r="318" spans="1:9" x14ac:dyDescent="0.2">
      <c r="A318" s="17">
        <v>708.6</v>
      </c>
      <c r="C318" s="17">
        <v>9476.5400000000009</v>
      </c>
      <c r="E318" s="17">
        <v>9404.73</v>
      </c>
      <c r="F318" s="17">
        <v>9308.18</v>
      </c>
      <c r="G318" s="17">
        <v>9309.2800000000007</v>
      </c>
      <c r="H318" s="17">
        <v>9306.44</v>
      </c>
      <c r="I318" s="17">
        <v>9409.31</v>
      </c>
    </row>
    <row r="319" spans="1:9" x14ac:dyDescent="0.2">
      <c r="A319" s="17">
        <v>708.5</v>
      </c>
      <c r="C319" s="17">
        <v>9351.7999999999993</v>
      </c>
      <c r="E319" s="17">
        <v>9398.82</v>
      </c>
      <c r="F319" s="17">
        <v>9308.73</v>
      </c>
      <c r="G319" s="17">
        <v>9309.7900000000009</v>
      </c>
      <c r="H319" s="17">
        <v>9307.01</v>
      </c>
      <c r="I319" s="17">
        <v>9403.32</v>
      </c>
    </row>
    <row r="320" spans="1:9" x14ac:dyDescent="0.2">
      <c r="A320" s="17">
        <v>708.4</v>
      </c>
      <c r="C320" s="17">
        <v>9467.9500000000007</v>
      </c>
      <c r="E320" s="17">
        <v>9393.2800000000007</v>
      </c>
      <c r="F320" s="17">
        <v>9309.2900000000009</v>
      </c>
      <c r="G320" s="17">
        <v>9310.2999999999993</v>
      </c>
      <c r="H320" s="17">
        <v>9307.59</v>
      </c>
      <c r="I320" s="17">
        <v>9397.69</v>
      </c>
    </row>
    <row r="321" spans="1:9" x14ac:dyDescent="0.2">
      <c r="A321" s="17">
        <v>708.3</v>
      </c>
      <c r="C321" s="17">
        <v>9353.73</v>
      </c>
      <c r="E321" s="17">
        <v>9388.1</v>
      </c>
      <c r="F321" s="17">
        <v>9309.84</v>
      </c>
      <c r="G321" s="17">
        <v>9310.81</v>
      </c>
      <c r="H321" s="17">
        <v>9308.16</v>
      </c>
      <c r="I321" s="17">
        <v>9392.43</v>
      </c>
    </row>
    <row r="322" spans="1:9" x14ac:dyDescent="0.2">
      <c r="A322" s="17">
        <v>708.2</v>
      </c>
      <c r="C322" s="17">
        <v>9361.6299999999992</v>
      </c>
      <c r="E322" s="17">
        <v>9383.27</v>
      </c>
      <c r="F322" s="17">
        <v>9310.4</v>
      </c>
      <c r="G322" s="17">
        <v>9311.32</v>
      </c>
      <c r="H322" s="17">
        <v>9308.74</v>
      </c>
      <c r="I322" s="17">
        <v>9387.52</v>
      </c>
    </row>
    <row r="323" spans="1:9" x14ac:dyDescent="0.2">
      <c r="A323" s="17">
        <v>708.1</v>
      </c>
      <c r="C323" s="17">
        <v>9419.2999999999993</v>
      </c>
      <c r="E323" s="17">
        <v>9378.7800000000007</v>
      </c>
      <c r="F323" s="17">
        <v>9310.9599999999991</v>
      </c>
      <c r="G323" s="17">
        <v>9311.84</v>
      </c>
      <c r="H323" s="17">
        <v>9309.31</v>
      </c>
      <c r="I323" s="17">
        <v>9382.9500000000007</v>
      </c>
    </row>
    <row r="324" spans="1:9" x14ac:dyDescent="0.2">
      <c r="A324" s="17">
        <v>708</v>
      </c>
      <c r="C324" s="17">
        <v>9448.66</v>
      </c>
      <c r="E324" s="17">
        <v>9374.6200000000008</v>
      </c>
      <c r="F324" s="17">
        <v>9311.51</v>
      </c>
      <c r="G324" s="17">
        <v>9312.35</v>
      </c>
      <c r="H324" s="17">
        <v>9309.8799999999992</v>
      </c>
      <c r="I324" s="17">
        <v>9378.7099999999991</v>
      </c>
    </row>
    <row r="325" spans="1:9" x14ac:dyDescent="0.2">
      <c r="A325" s="17">
        <v>707.9</v>
      </c>
      <c r="C325" s="17">
        <v>9394.68</v>
      </c>
      <c r="E325" s="17">
        <v>9370.77</v>
      </c>
      <c r="F325" s="17">
        <v>9312.07</v>
      </c>
      <c r="G325" s="17">
        <v>9312.8700000000008</v>
      </c>
      <c r="H325" s="17">
        <v>9310.4599999999991</v>
      </c>
      <c r="I325" s="17">
        <v>9374.7999999999993</v>
      </c>
    </row>
    <row r="326" spans="1:9" x14ac:dyDescent="0.2">
      <c r="A326" s="17">
        <v>707.8</v>
      </c>
      <c r="C326" s="17">
        <v>9354.77</v>
      </c>
      <c r="E326" s="17">
        <v>9367.23</v>
      </c>
      <c r="F326" s="17">
        <v>9312.6299999999992</v>
      </c>
      <c r="G326" s="17">
        <v>9313.39</v>
      </c>
      <c r="H326" s="17">
        <v>9311.0300000000007</v>
      </c>
      <c r="I326" s="17">
        <v>9371.19</v>
      </c>
    </row>
    <row r="327" spans="1:9" x14ac:dyDescent="0.2">
      <c r="A327" s="17">
        <v>707.7</v>
      </c>
      <c r="C327" s="17">
        <v>9336.66</v>
      </c>
      <c r="E327" s="17">
        <v>9363.98</v>
      </c>
      <c r="F327" s="17">
        <v>9313.18</v>
      </c>
      <c r="G327" s="17">
        <v>9313.92</v>
      </c>
      <c r="H327" s="17">
        <v>9311.61</v>
      </c>
      <c r="I327" s="17">
        <v>9367.8700000000008</v>
      </c>
    </row>
    <row r="328" spans="1:9" x14ac:dyDescent="0.2">
      <c r="A328" s="17">
        <v>707.6</v>
      </c>
      <c r="C328" s="17">
        <v>9281.36</v>
      </c>
      <c r="E328" s="17">
        <v>9361.01</v>
      </c>
      <c r="F328" s="17">
        <v>9313.74</v>
      </c>
      <c r="G328" s="17">
        <v>9314.44</v>
      </c>
      <c r="H328" s="17">
        <v>9312.18</v>
      </c>
      <c r="I328" s="17">
        <v>9364.83</v>
      </c>
    </row>
    <row r="329" spans="1:9" x14ac:dyDescent="0.2">
      <c r="A329" s="17">
        <v>707.5</v>
      </c>
      <c r="C329" s="17">
        <v>9346.32</v>
      </c>
      <c r="E329" s="17">
        <v>9358.2999999999993</v>
      </c>
      <c r="F329" s="17">
        <v>9314.2999999999993</v>
      </c>
      <c r="G329" s="17">
        <v>9314.9699999999993</v>
      </c>
      <c r="H329" s="17">
        <v>9312.75</v>
      </c>
      <c r="I329" s="17">
        <v>9362.06</v>
      </c>
    </row>
    <row r="330" spans="1:9" x14ac:dyDescent="0.2">
      <c r="A330" s="17">
        <v>707.4</v>
      </c>
      <c r="C330" s="17">
        <v>9356.5</v>
      </c>
      <c r="E330" s="17">
        <v>9355.84</v>
      </c>
      <c r="F330" s="17">
        <v>9314.86</v>
      </c>
      <c r="G330" s="17">
        <v>9315.49</v>
      </c>
      <c r="H330" s="17">
        <v>9313.33</v>
      </c>
      <c r="I330" s="17">
        <v>9359.5300000000007</v>
      </c>
    </row>
    <row r="331" spans="1:9" x14ac:dyDescent="0.2">
      <c r="A331" s="17">
        <v>707.3</v>
      </c>
      <c r="C331" s="17">
        <v>9324.41</v>
      </c>
      <c r="E331" s="17">
        <v>9353.61</v>
      </c>
      <c r="F331" s="17">
        <v>9315.42</v>
      </c>
      <c r="G331" s="17">
        <v>9316.02</v>
      </c>
      <c r="H331" s="17">
        <v>9313.9</v>
      </c>
      <c r="I331" s="17">
        <v>9357.24</v>
      </c>
    </row>
    <row r="332" spans="1:9" x14ac:dyDescent="0.2">
      <c r="A332" s="17">
        <v>707.2</v>
      </c>
      <c r="C332" s="17">
        <v>9345.6</v>
      </c>
      <c r="E332" s="17">
        <v>9351.6</v>
      </c>
      <c r="F332" s="17">
        <v>9315.9699999999993</v>
      </c>
      <c r="G332" s="17">
        <v>9316.5499999999993</v>
      </c>
      <c r="H332" s="17">
        <v>9314.48</v>
      </c>
      <c r="I332" s="17">
        <v>9355.18</v>
      </c>
    </row>
    <row r="333" spans="1:9" x14ac:dyDescent="0.2">
      <c r="A333" s="17">
        <v>707.1</v>
      </c>
      <c r="C333" s="17">
        <v>9313.8700000000008</v>
      </c>
      <c r="E333" s="17">
        <v>9349.7999999999993</v>
      </c>
      <c r="F333" s="17">
        <v>9316.5300000000007</v>
      </c>
      <c r="G333" s="17">
        <v>9317.08</v>
      </c>
      <c r="H333" s="17">
        <v>9315.0499999999993</v>
      </c>
      <c r="I333" s="17">
        <v>9353.32</v>
      </c>
    </row>
    <row r="334" spans="1:9" x14ac:dyDescent="0.2">
      <c r="A334" s="17">
        <v>707</v>
      </c>
      <c r="C334" s="17">
        <v>9337.09</v>
      </c>
      <c r="E334" s="17">
        <v>9348.19</v>
      </c>
      <c r="F334" s="17">
        <v>9317.09</v>
      </c>
      <c r="G334" s="17">
        <v>9317.6200000000008</v>
      </c>
      <c r="H334" s="17">
        <v>9315.6200000000008</v>
      </c>
      <c r="I334" s="17">
        <v>9351.65</v>
      </c>
    </row>
    <row r="335" spans="1:9" x14ac:dyDescent="0.2">
      <c r="A335" s="17">
        <v>706.9</v>
      </c>
      <c r="C335" s="17">
        <v>9303.23</v>
      </c>
      <c r="E335" s="17">
        <v>9346.76</v>
      </c>
      <c r="F335" s="17">
        <v>9317.65</v>
      </c>
      <c r="G335" s="17">
        <v>9318.15</v>
      </c>
      <c r="H335" s="17">
        <v>9316.2000000000007</v>
      </c>
      <c r="I335" s="17">
        <v>9350.16</v>
      </c>
    </row>
    <row r="336" spans="1:9" x14ac:dyDescent="0.2">
      <c r="A336" s="17">
        <v>706.8</v>
      </c>
      <c r="C336" s="17">
        <v>9356.8799999999992</v>
      </c>
      <c r="E336" s="17">
        <v>9345.49</v>
      </c>
      <c r="F336" s="17">
        <v>9318.2099999999991</v>
      </c>
      <c r="G336" s="17">
        <v>9318.68</v>
      </c>
      <c r="H336" s="17">
        <v>9316.77</v>
      </c>
      <c r="I336" s="17">
        <v>9348.84</v>
      </c>
    </row>
    <row r="337" spans="1:9" x14ac:dyDescent="0.2">
      <c r="A337" s="17">
        <v>706.7</v>
      </c>
      <c r="C337" s="17">
        <v>9371</v>
      </c>
      <c r="E337" s="17">
        <v>9344.3799999999992</v>
      </c>
      <c r="F337" s="17">
        <v>9318.77</v>
      </c>
      <c r="G337" s="17">
        <v>9319.2199999999993</v>
      </c>
      <c r="H337" s="17">
        <v>9317.35</v>
      </c>
      <c r="I337" s="17">
        <v>9347.68</v>
      </c>
    </row>
    <row r="338" spans="1:9" x14ac:dyDescent="0.2">
      <c r="A338" s="17">
        <v>706.6</v>
      </c>
      <c r="C338" s="17">
        <v>9319.4599999999991</v>
      </c>
      <c r="E338" s="17">
        <v>9343.41</v>
      </c>
      <c r="F338" s="17">
        <v>9319.33</v>
      </c>
      <c r="G338" s="17">
        <v>9319.76</v>
      </c>
      <c r="H338" s="17">
        <v>9317.92</v>
      </c>
      <c r="I338" s="17">
        <v>9346.66</v>
      </c>
    </row>
    <row r="339" spans="1:9" x14ac:dyDescent="0.2">
      <c r="A339" s="17">
        <v>706.5</v>
      </c>
      <c r="C339" s="17">
        <v>9370.56</v>
      </c>
      <c r="E339" s="17">
        <v>9342.57</v>
      </c>
      <c r="F339" s="17">
        <v>9319.89</v>
      </c>
      <c r="G339" s="17">
        <v>9320.2999999999993</v>
      </c>
      <c r="H339" s="17">
        <v>9318.49</v>
      </c>
      <c r="I339" s="17">
        <v>9345.77</v>
      </c>
    </row>
    <row r="340" spans="1:9" x14ac:dyDescent="0.2">
      <c r="A340" s="17">
        <v>706.4</v>
      </c>
      <c r="C340" s="17">
        <v>9284.59</v>
      </c>
      <c r="E340" s="17">
        <v>9341.84</v>
      </c>
      <c r="F340" s="17">
        <v>9320.4500000000007</v>
      </c>
      <c r="G340" s="17">
        <v>9320.84</v>
      </c>
      <c r="H340" s="17">
        <v>9319.07</v>
      </c>
      <c r="I340" s="17">
        <v>9344.99</v>
      </c>
    </row>
    <row r="341" spans="1:9" x14ac:dyDescent="0.2">
      <c r="A341" s="17">
        <v>706.3</v>
      </c>
      <c r="C341" s="17">
        <v>9306.93</v>
      </c>
      <c r="E341" s="17">
        <v>9341.23</v>
      </c>
      <c r="F341" s="17">
        <v>9321.01</v>
      </c>
      <c r="G341" s="17">
        <v>9321.3799999999992</v>
      </c>
      <c r="H341" s="17">
        <v>9319.64</v>
      </c>
      <c r="I341" s="17">
        <v>9344.33</v>
      </c>
    </row>
    <row r="342" spans="1:9" x14ac:dyDescent="0.2">
      <c r="A342" s="17">
        <v>706.2</v>
      </c>
      <c r="C342" s="17">
        <v>9431.9</v>
      </c>
      <c r="E342" s="17">
        <v>9340.7199999999993</v>
      </c>
      <c r="F342" s="17">
        <v>9321.57</v>
      </c>
      <c r="G342" s="17">
        <v>9321.92</v>
      </c>
      <c r="H342" s="17">
        <v>9320.2199999999993</v>
      </c>
      <c r="I342" s="17">
        <v>9343.77</v>
      </c>
    </row>
    <row r="343" spans="1:9" x14ac:dyDescent="0.2">
      <c r="A343" s="17">
        <v>706.1</v>
      </c>
      <c r="C343" s="17">
        <v>9291.2000000000007</v>
      </c>
      <c r="E343" s="17">
        <v>9340.2900000000009</v>
      </c>
      <c r="F343" s="17">
        <v>9322.1299999999992</v>
      </c>
      <c r="G343" s="17">
        <v>9322.4599999999991</v>
      </c>
      <c r="H343" s="17">
        <v>9320.7900000000009</v>
      </c>
      <c r="I343" s="17">
        <v>9343.2999999999993</v>
      </c>
    </row>
    <row r="344" spans="1:9" x14ac:dyDescent="0.2">
      <c r="A344" s="17">
        <v>706</v>
      </c>
      <c r="C344" s="17">
        <v>9364.16</v>
      </c>
      <c r="E344" s="17">
        <v>9339.9500000000007</v>
      </c>
      <c r="F344" s="17">
        <v>9322.69</v>
      </c>
      <c r="G344" s="17">
        <v>9323</v>
      </c>
      <c r="H344" s="17">
        <v>9321.36</v>
      </c>
      <c r="I344" s="17">
        <v>9342.92</v>
      </c>
    </row>
    <row r="345" spans="1:9" x14ac:dyDescent="0.2">
      <c r="A345" s="17">
        <v>705.9</v>
      </c>
      <c r="C345" s="17">
        <v>9477.85</v>
      </c>
      <c r="E345" s="17">
        <v>9339.69</v>
      </c>
      <c r="F345" s="17">
        <v>9323.25</v>
      </c>
      <c r="G345" s="17">
        <v>9323.5499999999993</v>
      </c>
      <c r="H345" s="17">
        <v>9321.94</v>
      </c>
      <c r="I345" s="17">
        <v>9342.61</v>
      </c>
    </row>
    <row r="346" spans="1:9" x14ac:dyDescent="0.2">
      <c r="A346" s="17">
        <v>705.8</v>
      </c>
      <c r="C346" s="17">
        <v>9471.7999999999993</v>
      </c>
      <c r="E346" s="17">
        <v>9339.49</v>
      </c>
      <c r="F346" s="17">
        <v>9323.82</v>
      </c>
      <c r="G346" s="17">
        <v>9324.09</v>
      </c>
      <c r="H346" s="17">
        <v>9322.51</v>
      </c>
      <c r="I346" s="17">
        <v>9342.3700000000008</v>
      </c>
    </row>
    <row r="347" spans="1:9" x14ac:dyDescent="0.2">
      <c r="A347" s="17">
        <v>705.7</v>
      </c>
      <c r="C347" s="17">
        <v>9363.57</v>
      </c>
      <c r="E347" s="17">
        <v>9339.35</v>
      </c>
      <c r="F347" s="17">
        <v>9324.3799999999992</v>
      </c>
      <c r="G347" s="17">
        <v>9324.64</v>
      </c>
      <c r="H347" s="17">
        <v>9323.09</v>
      </c>
      <c r="I347" s="17">
        <v>9342.2000000000007</v>
      </c>
    </row>
    <row r="348" spans="1:9" x14ac:dyDescent="0.2">
      <c r="A348" s="17">
        <v>705.6</v>
      </c>
      <c r="C348" s="17">
        <v>9322.1</v>
      </c>
      <c r="E348" s="17">
        <v>9339.27</v>
      </c>
      <c r="F348" s="17">
        <v>9324.94</v>
      </c>
      <c r="G348" s="17">
        <v>9325.18</v>
      </c>
      <c r="H348" s="17">
        <v>9323.66</v>
      </c>
      <c r="I348" s="17">
        <v>9342.08</v>
      </c>
    </row>
    <row r="349" spans="1:9" x14ac:dyDescent="0.2">
      <c r="A349" s="17">
        <v>705.5</v>
      </c>
      <c r="C349" s="17">
        <v>9296.5</v>
      </c>
      <c r="E349" s="17">
        <v>9339.24</v>
      </c>
      <c r="F349" s="17">
        <v>9325.5</v>
      </c>
      <c r="G349" s="17">
        <v>9325.73</v>
      </c>
      <c r="H349" s="17">
        <v>9324.23</v>
      </c>
      <c r="I349" s="17">
        <v>9342.01</v>
      </c>
    </row>
    <row r="350" spans="1:9" x14ac:dyDescent="0.2">
      <c r="A350" s="17">
        <v>705.4</v>
      </c>
      <c r="C350" s="17">
        <v>9427.2199999999993</v>
      </c>
      <c r="E350" s="17">
        <v>9339.26</v>
      </c>
      <c r="F350" s="17">
        <v>9326.06</v>
      </c>
      <c r="G350" s="17">
        <v>9326.2800000000007</v>
      </c>
      <c r="H350" s="17">
        <v>9324.81</v>
      </c>
      <c r="I350" s="17">
        <v>9341.98</v>
      </c>
    </row>
    <row r="351" spans="1:9" x14ac:dyDescent="0.2">
      <c r="A351" s="17">
        <v>705.3</v>
      </c>
      <c r="C351" s="17">
        <v>9327.3799999999992</v>
      </c>
      <c r="E351" s="17">
        <v>9339.31</v>
      </c>
      <c r="F351" s="17">
        <v>9326.6200000000008</v>
      </c>
      <c r="G351" s="17">
        <v>9326.83</v>
      </c>
      <c r="H351" s="17">
        <v>9325.3799999999992</v>
      </c>
      <c r="I351" s="17">
        <v>9342</v>
      </c>
    </row>
    <row r="352" spans="1:9" x14ac:dyDescent="0.2">
      <c r="A352" s="17">
        <v>705.2</v>
      </c>
      <c r="C352" s="17">
        <v>9366.7800000000007</v>
      </c>
      <c r="E352" s="17">
        <v>9339.41</v>
      </c>
      <c r="F352" s="17">
        <v>9327.19</v>
      </c>
      <c r="G352" s="17">
        <v>9327.3799999999992</v>
      </c>
      <c r="H352" s="17">
        <v>9325.9599999999991</v>
      </c>
      <c r="I352" s="17">
        <v>9342.06</v>
      </c>
    </row>
    <row r="353" spans="1:9" x14ac:dyDescent="0.2">
      <c r="A353" s="17">
        <v>705.1</v>
      </c>
      <c r="C353" s="17">
        <v>9385.85</v>
      </c>
      <c r="E353" s="17">
        <v>9339.5300000000007</v>
      </c>
      <c r="F353" s="17">
        <v>9327.75</v>
      </c>
      <c r="G353" s="17">
        <v>9327.93</v>
      </c>
      <c r="H353" s="17">
        <v>9326.5300000000007</v>
      </c>
      <c r="I353" s="17">
        <v>9342.15</v>
      </c>
    </row>
    <row r="354" spans="1:9" x14ac:dyDescent="0.2">
      <c r="A354" s="17">
        <v>705</v>
      </c>
      <c r="C354" s="17">
        <v>9233.42</v>
      </c>
      <c r="E354" s="17">
        <v>9339.69</v>
      </c>
      <c r="F354" s="17">
        <v>9328.31</v>
      </c>
      <c r="G354" s="17">
        <v>9328.48</v>
      </c>
      <c r="H354" s="17">
        <v>9327.1</v>
      </c>
      <c r="I354" s="17">
        <v>9342.27</v>
      </c>
    </row>
    <row r="355" spans="1:9" x14ac:dyDescent="0.2">
      <c r="A355" s="17">
        <v>704.9</v>
      </c>
      <c r="C355" s="17">
        <v>9370.2099999999991</v>
      </c>
      <c r="E355" s="17">
        <v>9339.8700000000008</v>
      </c>
      <c r="F355" s="17">
        <v>9328.8799999999992</v>
      </c>
      <c r="G355" s="17">
        <v>9329.0300000000007</v>
      </c>
      <c r="H355" s="17">
        <v>9327.68</v>
      </c>
      <c r="I355" s="17">
        <v>9342.42</v>
      </c>
    </row>
    <row r="356" spans="1:9" x14ac:dyDescent="0.2">
      <c r="A356" s="17">
        <v>704.8</v>
      </c>
      <c r="C356" s="17">
        <v>9396.5400000000009</v>
      </c>
      <c r="E356" s="17">
        <v>9340.08</v>
      </c>
      <c r="F356" s="17">
        <v>9329.44</v>
      </c>
      <c r="G356" s="17">
        <v>9329.58</v>
      </c>
      <c r="H356" s="17">
        <v>9328.25</v>
      </c>
      <c r="I356" s="17">
        <v>9342.6</v>
      </c>
    </row>
    <row r="357" spans="1:9" x14ac:dyDescent="0.2">
      <c r="A357" s="17">
        <v>704.7</v>
      </c>
      <c r="C357" s="17">
        <v>9392.77</v>
      </c>
      <c r="E357" s="17">
        <v>9340.31</v>
      </c>
      <c r="F357" s="17">
        <v>9330</v>
      </c>
      <c r="G357" s="17">
        <v>9330.1299999999992</v>
      </c>
      <c r="H357" s="17">
        <v>9328.83</v>
      </c>
      <c r="I357" s="17">
        <v>9342.7900000000009</v>
      </c>
    </row>
    <row r="358" spans="1:9" x14ac:dyDescent="0.2">
      <c r="A358" s="17">
        <v>704.6</v>
      </c>
      <c r="C358" s="17">
        <v>9370.0400000000009</v>
      </c>
      <c r="E358" s="17">
        <v>9340.56</v>
      </c>
      <c r="F358" s="17">
        <v>9330.56</v>
      </c>
      <c r="G358" s="17">
        <v>9330.68</v>
      </c>
      <c r="H358" s="17">
        <v>9329.4</v>
      </c>
      <c r="I358" s="17">
        <v>9343.01</v>
      </c>
    </row>
    <row r="359" spans="1:9" x14ac:dyDescent="0.2">
      <c r="A359" s="17">
        <v>704.5</v>
      </c>
      <c r="C359" s="17">
        <v>9351</v>
      </c>
      <c r="E359" s="17">
        <v>9340.83</v>
      </c>
      <c r="F359" s="17">
        <v>9331.1299999999992</v>
      </c>
      <c r="G359" s="17">
        <v>9331.24</v>
      </c>
      <c r="H359" s="17">
        <v>9329.9699999999993</v>
      </c>
      <c r="I359" s="17">
        <v>9343.25</v>
      </c>
    </row>
    <row r="360" spans="1:9" x14ac:dyDescent="0.2">
      <c r="A360" s="17">
        <v>704.4</v>
      </c>
      <c r="C360" s="17">
        <v>9348.11</v>
      </c>
      <c r="E360" s="17">
        <v>9341.1200000000008</v>
      </c>
      <c r="F360" s="17">
        <v>9331.69</v>
      </c>
      <c r="G360" s="17">
        <v>9331.7900000000009</v>
      </c>
      <c r="H360" s="17">
        <v>9330.5499999999993</v>
      </c>
      <c r="I360" s="17">
        <v>9343.5</v>
      </c>
    </row>
    <row r="361" spans="1:9" x14ac:dyDescent="0.2">
      <c r="A361" s="17">
        <v>704.3</v>
      </c>
      <c r="C361" s="17">
        <v>9303.9699999999993</v>
      </c>
      <c r="E361" s="17">
        <v>9341.41</v>
      </c>
      <c r="F361" s="17">
        <v>9332.26</v>
      </c>
      <c r="G361" s="17">
        <v>9332.34</v>
      </c>
      <c r="H361" s="17">
        <v>9331.1200000000008</v>
      </c>
      <c r="I361" s="17">
        <v>9343.77</v>
      </c>
    </row>
    <row r="362" spans="1:9" x14ac:dyDescent="0.2">
      <c r="A362" s="17">
        <v>704.2</v>
      </c>
      <c r="C362" s="17">
        <v>9378.67</v>
      </c>
      <c r="E362" s="17">
        <v>9341.73</v>
      </c>
      <c r="F362" s="17">
        <v>9332.82</v>
      </c>
      <c r="G362" s="17">
        <v>9332.9</v>
      </c>
      <c r="H362" s="17">
        <v>9331.7000000000007</v>
      </c>
      <c r="I362" s="17">
        <v>9344.0499999999993</v>
      </c>
    </row>
    <row r="363" spans="1:9" x14ac:dyDescent="0.2">
      <c r="A363" s="17">
        <v>704.1</v>
      </c>
      <c r="C363" s="17">
        <v>9325.52</v>
      </c>
      <c r="E363" s="17">
        <v>9342.0499999999993</v>
      </c>
      <c r="F363" s="17">
        <v>9333.3799999999992</v>
      </c>
      <c r="G363" s="17">
        <v>9333.4500000000007</v>
      </c>
      <c r="H363" s="17">
        <v>9332.27</v>
      </c>
      <c r="I363" s="17">
        <v>9344.35</v>
      </c>
    </row>
    <row r="364" spans="1:9" x14ac:dyDescent="0.2">
      <c r="A364" s="17">
        <v>704</v>
      </c>
      <c r="C364" s="17">
        <v>9403.64</v>
      </c>
      <c r="E364" s="17">
        <v>9342.39</v>
      </c>
      <c r="F364" s="17">
        <v>9333.9500000000007</v>
      </c>
      <c r="G364" s="17">
        <v>9334.01</v>
      </c>
      <c r="H364" s="17">
        <v>9332.84</v>
      </c>
      <c r="I364" s="17">
        <v>9344.66</v>
      </c>
    </row>
    <row r="365" spans="1:9" x14ac:dyDescent="0.2">
      <c r="A365" s="17">
        <v>703.9</v>
      </c>
      <c r="C365" s="17">
        <v>9343.91</v>
      </c>
      <c r="E365" s="17">
        <v>9342.74</v>
      </c>
      <c r="F365" s="17">
        <v>9334.51</v>
      </c>
      <c r="G365" s="17">
        <v>9334.57</v>
      </c>
      <c r="H365" s="17">
        <v>9333.42</v>
      </c>
      <c r="I365" s="17">
        <v>9344.98</v>
      </c>
    </row>
    <row r="366" spans="1:9" x14ac:dyDescent="0.2">
      <c r="A366" s="17">
        <v>703.8</v>
      </c>
      <c r="C366" s="17">
        <v>9378.8799999999992</v>
      </c>
      <c r="E366" s="17">
        <v>9343.09</v>
      </c>
      <c r="F366" s="17">
        <v>9335.08</v>
      </c>
      <c r="G366" s="17">
        <v>9335.1200000000008</v>
      </c>
      <c r="H366" s="17">
        <v>9333.99</v>
      </c>
      <c r="I366" s="17">
        <v>9345.31</v>
      </c>
    </row>
    <row r="367" spans="1:9" x14ac:dyDescent="0.2">
      <c r="A367" s="17">
        <v>703.7</v>
      </c>
      <c r="C367" s="17">
        <v>9371.9699999999993</v>
      </c>
      <c r="E367" s="17">
        <v>9343.4599999999991</v>
      </c>
      <c r="F367" s="17">
        <v>9335.64</v>
      </c>
      <c r="G367" s="17">
        <v>9335.68</v>
      </c>
      <c r="H367" s="17">
        <v>9334.57</v>
      </c>
      <c r="I367" s="17">
        <v>9345.65</v>
      </c>
    </row>
    <row r="368" spans="1:9" x14ac:dyDescent="0.2">
      <c r="A368" s="17">
        <v>703.6</v>
      </c>
      <c r="C368" s="17">
        <v>9397.3799999999992</v>
      </c>
      <c r="E368" s="17">
        <v>9343.83</v>
      </c>
      <c r="F368" s="17">
        <v>9336.2099999999991</v>
      </c>
      <c r="G368" s="17">
        <v>9336.24</v>
      </c>
      <c r="H368" s="17">
        <v>9335.14</v>
      </c>
      <c r="I368" s="17">
        <v>9345.99</v>
      </c>
    </row>
    <row r="369" spans="1:9" x14ac:dyDescent="0.2">
      <c r="A369" s="17">
        <v>703.5</v>
      </c>
      <c r="C369" s="17">
        <v>9355.0300000000007</v>
      </c>
      <c r="E369" s="17">
        <v>9344.2099999999991</v>
      </c>
      <c r="F369" s="17">
        <v>9336.77</v>
      </c>
      <c r="G369" s="17">
        <v>9336.7900000000009</v>
      </c>
      <c r="H369" s="17">
        <v>9335.7099999999991</v>
      </c>
      <c r="I369" s="17">
        <v>9346.35</v>
      </c>
    </row>
    <row r="370" spans="1:9" x14ac:dyDescent="0.2">
      <c r="A370" s="17">
        <v>703.4</v>
      </c>
      <c r="C370" s="17">
        <v>9376.69</v>
      </c>
      <c r="E370" s="17">
        <v>9344.6</v>
      </c>
      <c r="F370" s="17">
        <v>9337.34</v>
      </c>
      <c r="G370" s="17">
        <v>9337.35</v>
      </c>
      <c r="H370" s="17">
        <v>9336.2900000000009</v>
      </c>
      <c r="I370" s="17">
        <v>9346.7099999999991</v>
      </c>
    </row>
    <row r="371" spans="1:9" x14ac:dyDescent="0.2">
      <c r="A371" s="17">
        <v>703.3</v>
      </c>
      <c r="C371" s="17">
        <v>9415.7099999999991</v>
      </c>
      <c r="E371" s="17">
        <v>9345</v>
      </c>
      <c r="F371" s="17">
        <v>9337.9</v>
      </c>
      <c r="G371" s="17">
        <v>9337.91</v>
      </c>
      <c r="H371" s="17">
        <v>9336.86</v>
      </c>
      <c r="I371" s="17">
        <v>9347.08</v>
      </c>
    </row>
    <row r="372" spans="1:9" x14ac:dyDescent="0.2">
      <c r="A372" s="17">
        <v>703.2</v>
      </c>
      <c r="C372" s="17">
        <v>9351.49</v>
      </c>
      <c r="E372" s="17">
        <v>9345.4</v>
      </c>
      <c r="F372" s="17">
        <v>9338.4699999999993</v>
      </c>
      <c r="G372" s="17">
        <v>9338.4699999999993</v>
      </c>
      <c r="H372" s="17">
        <v>9337.44</v>
      </c>
      <c r="I372" s="17">
        <v>9347.4599999999991</v>
      </c>
    </row>
    <row r="373" spans="1:9" x14ac:dyDescent="0.2">
      <c r="A373" s="17">
        <v>703.1</v>
      </c>
      <c r="C373" s="17">
        <v>9339.3700000000008</v>
      </c>
      <c r="E373" s="17">
        <v>9345.81</v>
      </c>
      <c r="F373" s="17">
        <v>9339.0300000000007</v>
      </c>
      <c r="G373" s="17">
        <v>9339.0300000000007</v>
      </c>
      <c r="H373" s="17">
        <v>9338.01</v>
      </c>
      <c r="I373" s="17">
        <v>9347.84</v>
      </c>
    </row>
    <row r="374" spans="1:9" x14ac:dyDescent="0.2">
      <c r="A374" s="17">
        <v>703</v>
      </c>
      <c r="C374" s="17">
        <v>9338.19</v>
      </c>
      <c r="E374" s="17">
        <v>9346.2199999999993</v>
      </c>
      <c r="F374" s="17">
        <v>9339.6</v>
      </c>
      <c r="G374" s="17">
        <v>9339.59</v>
      </c>
      <c r="H374" s="17">
        <v>9338.58</v>
      </c>
      <c r="I374" s="17">
        <v>9348.23</v>
      </c>
    </row>
    <row r="375" spans="1:9" x14ac:dyDescent="0.2">
      <c r="A375" s="17">
        <v>702.9</v>
      </c>
      <c r="C375" s="17">
        <v>9309.5</v>
      </c>
      <c r="E375" s="17">
        <v>9346.64</v>
      </c>
      <c r="F375" s="17">
        <v>9340.16</v>
      </c>
      <c r="G375" s="17">
        <v>9340.15</v>
      </c>
      <c r="H375" s="17">
        <v>9339.16</v>
      </c>
      <c r="I375" s="17">
        <v>9348.6299999999992</v>
      </c>
    </row>
    <row r="376" spans="1:9" x14ac:dyDescent="0.2">
      <c r="A376" s="17">
        <v>702.8</v>
      </c>
      <c r="C376" s="17">
        <v>9369.69</v>
      </c>
      <c r="E376" s="17">
        <v>9347.06</v>
      </c>
      <c r="F376" s="17">
        <v>9340.73</v>
      </c>
      <c r="G376" s="17">
        <v>9340.7000000000007</v>
      </c>
      <c r="H376" s="17">
        <v>9339.73</v>
      </c>
      <c r="I376" s="17">
        <v>9349.0300000000007</v>
      </c>
    </row>
    <row r="377" spans="1:9" x14ac:dyDescent="0.2">
      <c r="A377" s="17">
        <v>702.7</v>
      </c>
      <c r="C377" s="17">
        <v>9430.92</v>
      </c>
      <c r="E377" s="17">
        <v>9347.49</v>
      </c>
      <c r="F377" s="17">
        <v>9341.2900000000009</v>
      </c>
      <c r="G377" s="17">
        <v>9341.27</v>
      </c>
      <c r="H377" s="17">
        <v>9340.31</v>
      </c>
      <c r="I377" s="17">
        <v>9349.43</v>
      </c>
    </row>
    <row r="378" spans="1:9" x14ac:dyDescent="0.2">
      <c r="A378" s="17">
        <v>702.6</v>
      </c>
      <c r="C378" s="17">
        <v>9409.94</v>
      </c>
      <c r="E378" s="17">
        <v>9347.92</v>
      </c>
      <c r="F378" s="17">
        <v>9341.86</v>
      </c>
      <c r="G378" s="17">
        <v>9341.83</v>
      </c>
      <c r="H378" s="17">
        <v>9340.8799999999992</v>
      </c>
      <c r="I378" s="17">
        <v>9349.84</v>
      </c>
    </row>
    <row r="379" spans="1:9" x14ac:dyDescent="0.2">
      <c r="A379" s="17">
        <v>702.5</v>
      </c>
      <c r="C379" s="17">
        <v>9398.25</v>
      </c>
      <c r="E379" s="17">
        <v>9348.36</v>
      </c>
      <c r="F379" s="17">
        <v>9342.42</v>
      </c>
      <c r="G379" s="17">
        <v>9342.39</v>
      </c>
      <c r="H379" s="17">
        <v>9341.4500000000007</v>
      </c>
      <c r="I379" s="17">
        <v>9350.26</v>
      </c>
    </row>
    <row r="380" spans="1:9" x14ac:dyDescent="0.2">
      <c r="A380" s="17">
        <v>702.4</v>
      </c>
      <c r="C380" s="17">
        <v>9364.24</v>
      </c>
      <c r="E380" s="17">
        <v>9348.7999999999993</v>
      </c>
      <c r="F380" s="17">
        <v>9342.99</v>
      </c>
      <c r="G380" s="17">
        <v>9342.9500000000007</v>
      </c>
      <c r="H380" s="17">
        <v>9342.0300000000007</v>
      </c>
      <c r="I380" s="17">
        <v>9350.68</v>
      </c>
    </row>
    <row r="381" spans="1:9" x14ac:dyDescent="0.2">
      <c r="A381" s="17">
        <v>702.3</v>
      </c>
      <c r="C381" s="17">
        <v>9341.48</v>
      </c>
      <c r="E381" s="17">
        <v>9349.24</v>
      </c>
      <c r="F381" s="17">
        <v>9343.56</v>
      </c>
      <c r="G381" s="17">
        <v>9343.51</v>
      </c>
      <c r="H381" s="17">
        <v>9342.6</v>
      </c>
      <c r="I381" s="17">
        <v>9351.1</v>
      </c>
    </row>
    <row r="382" spans="1:9" x14ac:dyDescent="0.2">
      <c r="A382" s="17">
        <v>702.2</v>
      </c>
      <c r="C382" s="17">
        <v>9310.92</v>
      </c>
      <c r="E382" s="17">
        <v>9349.69</v>
      </c>
      <c r="F382" s="17">
        <v>9344.1200000000008</v>
      </c>
      <c r="G382" s="17">
        <v>9344.07</v>
      </c>
      <c r="H382" s="17">
        <v>9343.18</v>
      </c>
      <c r="I382" s="17">
        <v>9351.5300000000007</v>
      </c>
    </row>
    <row r="383" spans="1:9" x14ac:dyDescent="0.2">
      <c r="A383" s="17">
        <v>702.1</v>
      </c>
      <c r="C383" s="17">
        <v>9333.18</v>
      </c>
      <c r="E383" s="17">
        <v>9352.3700000000008</v>
      </c>
      <c r="F383" s="17">
        <v>9346.92</v>
      </c>
      <c r="G383" s="17">
        <v>9346.86</v>
      </c>
      <c r="H383" s="17">
        <v>9345.98</v>
      </c>
      <c r="I383" s="17">
        <v>9354.19</v>
      </c>
    </row>
    <row r="384" spans="1:9" x14ac:dyDescent="0.2">
      <c r="A384" s="17">
        <v>702</v>
      </c>
      <c r="C384" s="17">
        <v>9366.08</v>
      </c>
      <c r="E384" s="17">
        <v>9355.0499999999993</v>
      </c>
      <c r="F384" s="17">
        <v>9349.7099999999991</v>
      </c>
      <c r="G384" s="17">
        <v>9349.65</v>
      </c>
      <c r="H384" s="17">
        <v>9348.7800000000007</v>
      </c>
      <c r="I384" s="17">
        <v>9356.85</v>
      </c>
    </row>
    <row r="385" spans="1:9" x14ac:dyDescent="0.2">
      <c r="A385" s="17">
        <v>701.9</v>
      </c>
      <c r="C385" s="17">
        <v>9479.75</v>
      </c>
      <c r="E385" s="17">
        <v>9357.73</v>
      </c>
      <c r="F385" s="17">
        <v>9352.5</v>
      </c>
      <c r="G385" s="17">
        <v>9352.44</v>
      </c>
      <c r="H385" s="17">
        <v>9351.58</v>
      </c>
      <c r="I385" s="17">
        <v>9359.52</v>
      </c>
    </row>
    <row r="386" spans="1:9" x14ac:dyDescent="0.2">
      <c r="A386" s="17">
        <v>701.8</v>
      </c>
      <c r="C386" s="17">
        <v>9368.2000000000007</v>
      </c>
      <c r="E386" s="17">
        <v>9360.42</v>
      </c>
      <c r="F386" s="17">
        <v>9355.2999999999993</v>
      </c>
      <c r="G386" s="17">
        <v>9355.23</v>
      </c>
      <c r="H386" s="17">
        <v>9354.3799999999992</v>
      </c>
      <c r="I386" s="17">
        <v>9362.19</v>
      </c>
    </row>
    <row r="387" spans="1:9" x14ac:dyDescent="0.2">
      <c r="A387" s="17">
        <v>701.7</v>
      </c>
      <c r="C387" s="17">
        <v>9329.7800000000007</v>
      </c>
      <c r="E387" s="17">
        <v>9363.11</v>
      </c>
      <c r="F387" s="17">
        <v>9358.09</v>
      </c>
      <c r="G387" s="17">
        <v>9358.02</v>
      </c>
      <c r="H387" s="17">
        <v>9357.18</v>
      </c>
      <c r="I387" s="17">
        <v>9364.86</v>
      </c>
    </row>
    <row r="388" spans="1:9" x14ac:dyDescent="0.2">
      <c r="A388" s="17">
        <v>701.6</v>
      </c>
      <c r="C388" s="17">
        <v>9334.2000000000007</v>
      </c>
      <c r="E388" s="17">
        <v>9365.81</v>
      </c>
      <c r="F388" s="17">
        <v>9360.89</v>
      </c>
      <c r="G388" s="17">
        <v>9360.81</v>
      </c>
      <c r="H388" s="17">
        <v>9359.98</v>
      </c>
      <c r="I388" s="17">
        <v>9367.5400000000009</v>
      </c>
    </row>
    <row r="389" spans="1:9" x14ac:dyDescent="0.2">
      <c r="A389" s="17">
        <v>701.5</v>
      </c>
      <c r="C389" s="17">
        <v>9408.93</v>
      </c>
      <c r="E389" s="17">
        <v>9368.51</v>
      </c>
      <c r="F389" s="17">
        <v>9363.68</v>
      </c>
      <c r="G389" s="17">
        <v>9363.6</v>
      </c>
      <c r="H389" s="17">
        <v>9362.7900000000009</v>
      </c>
      <c r="I389" s="17">
        <v>9370.2099999999991</v>
      </c>
    </row>
    <row r="390" spans="1:9" x14ac:dyDescent="0.2">
      <c r="A390" s="17">
        <v>701.4</v>
      </c>
      <c r="C390" s="17">
        <v>9492.7999999999993</v>
      </c>
      <c r="E390" s="17">
        <v>9371.2099999999991</v>
      </c>
      <c r="F390" s="17">
        <v>9366.4699999999993</v>
      </c>
      <c r="G390" s="17">
        <v>9366.39</v>
      </c>
      <c r="H390" s="17">
        <v>9365.59</v>
      </c>
      <c r="I390" s="17">
        <v>9372.9</v>
      </c>
    </row>
    <row r="391" spans="1:9" x14ac:dyDescent="0.2">
      <c r="A391" s="17">
        <v>701.3</v>
      </c>
      <c r="C391" s="17">
        <v>9455.2999999999993</v>
      </c>
      <c r="E391" s="17">
        <v>9373.91</v>
      </c>
      <c r="F391" s="17">
        <v>9369.27</v>
      </c>
      <c r="G391" s="17">
        <v>9369.18</v>
      </c>
      <c r="H391" s="17">
        <v>9368.39</v>
      </c>
      <c r="I391" s="17">
        <v>9375.58</v>
      </c>
    </row>
    <row r="392" spans="1:9" x14ac:dyDescent="0.2">
      <c r="A392" s="17">
        <v>701.2</v>
      </c>
      <c r="C392" s="17">
        <v>9359.52</v>
      </c>
      <c r="E392" s="17">
        <v>9376.61</v>
      </c>
      <c r="F392" s="17">
        <v>9372.06</v>
      </c>
      <c r="G392" s="17">
        <v>9371.9699999999993</v>
      </c>
      <c r="H392" s="17">
        <v>9371.19</v>
      </c>
      <c r="I392" s="17">
        <v>9378.27</v>
      </c>
    </row>
    <row r="393" spans="1:9" x14ac:dyDescent="0.2">
      <c r="A393" s="17">
        <v>701.1</v>
      </c>
      <c r="C393" s="17">
        <v>9510.93</v>
      </c>
      <c r="E393" s="17">
        <v>9379.32</v>
      </c>
      <c r="F393" s="17">
        <v>9374.86</v>
      </c>
      <c r="G393" s="17">
        <v>9374.76</v>
      </c>
      <c r="H393" s="17">
        <v>9373.99</v>
      </c>
      <c r="I393" s="17">
        <v>9380.9599999999991</v>
      </c>
    </row>
    <row r="394" spans="1:9" x14ac:dyDescent="0.2">
      <c r="A394" s="17">
        <v>701</v>
      </c>
      <c r="C394" s="17">
        <v>9318.7999999999993</v>
      </c>
      <c r="E394" s="17">
        <v>9382.0300000000007</v>
      </c>
      <c r="F394" s="17">
        <v>9377.65</v>
      </c>
      <c r="G394" s="17">
        <v>9377.5499999999993</v>
      </c>
      <c r="H394" s="17">
        <v>9376.7900000000009</v>
      </c>
      <c r="I394" s="17">
        <v>9383.66</v>
      </c>
    </row>
    <row r="395" spans="1:9" x14ac:dyDescent="0.2">
      <c r="A395" s="17">
        <v>700.9</v>
      </c>
      <c r="C395" s="17">
        <v>9419.3799999999992</v>
      </c>
      <c r="E395" s="17">
        <v>9384.75</v>
      </c>
      <c r="F395" s="17">
        <v>9380.4500000000007</v>
      </c>
      <c r="G395" s="17">
        <v>9380.35</v>
      </c>
      <c r="H395" s="17">
        <v>9379.59</v>
      </c>
      <c r="I395" s="17">
        <v>9386.35</v>
      </c>
    </row>
    <row r="396" spans="1:9" x14ac:dyDescent="0.2">
      <c r="A396" s="17">
        <v>700.8</v>
      </c>
      <c r="C396" s="17">
        <v>9379.1299999999992</v>
      </c>
      <c r="E396" s="17">
        <v>9387.4599999999991</v>
      </c>
      <c r="F396" s="17">
        <v>9383.24</v>
      </c>
      <c r="G396" s="17">
        <v>9383.14</v>
      </c>
      <c r="H396" s="17">
        <v>9382.39</v>
      </c>
      <c r="I396" s="17">
        <v>9389.0499999999993</v>
      </c>
    </row>
    <row r="397" spans="1:9" x14ac:dyDescent="0.2">
      <c r="A397" s="17">
        <v>700.7</v>
      </c>
      <c r="C397" s="17">
        <v>9451.2000000000007</v>
      </c>
      <c r="E397" s="17">
        <v>9390.18</v>
      </c>
      <c r="F397" s="17">
        <v>9386.0400000000009</v>
      </c>
      <c r="G397" s="17">
        <v>9385.93</v>
      </c>
      <c r="H397" s="17">
        <v>9385.2000000000007</v>
      </c>
      <c r="I397" s="17">
        <v>9391.75</v>
      </c>
    </row>
    <row r="398" spans="1:9" x14ac:dyDescent="0.2">
      <c r="A398" s="17">
        <v>700.6</v>
      </c>
      <c r="C398" s="17">
        <v>9453.2900000000009</v>
      </c>
      <c r="E398" s="17">
        <v>9392.9</v>
      </c>
      <c r="F398" s="17">
        <v>9388.83</v>
      </c>
      <c r="G398" s="17">
        <v>9388.7199999999993</v>
      </c>
      <c r="H398" s="17">
        <v>9388</v>
      </c>
      <c r="I398" s="17">
        <v>9394.4500000000007</v>
      </c>
    </row>
    <row r="399" spans="1:9" x14ac:dyDescent="0.2">
      <c r="A399" s="17">
        <v>700.5</v>
      </c>
      <c r="C399" s="17">
        <v>9391.32</v>
      </c>
      <c r="E399" s="17">
        <v>9395.6200000000008</v>
      </c>
      <c r="F399" s="17">
        <v>9391.6299999999992</v>
      </c>
      <c r="G399" s="17">
        <v>9391.51</v>
      </c>
      <c r="H399" s="17">
        <v>9390.7999999999993</v>
      </c>
      <c r="I399" s="17">
        <v>9397.16</v>
      </c>
    </row>
    <row r="400" spans="1:9" x14ac:dyDescent="0.2">
      <c r="A400" s="17">
        <v>700.4</v>
      </c>
      <c r="C400" s="17">
        <v>9368.41</v>
      </c>
      <c r="E400" s="17">
        <v>9398.34</v>
      </c>
      <c r="F400" s="17">
        <v>9394.42</v>
      </c>
      <c r="G400" s="17">
        <v>9394.31</v>
      </c>
      <c r="H400" s="17">
        <v>9393.6</v>
      </c>
      <c r="I400" s="17">
        <v>9399.8700000000008</v>
      </c>
    </row>
    <row r="401" spans="1:9" x14ac:dyDescent="0.2">
      <c r="A401" s="17">
        <v>700.3</v>
      </c>
      <c r="C401" s="17">
        <v>9414.19</v>
      </c>
      <c r="E401" s="17">
        <v>9401.06</v>
      </c>
      <c r="F401" s="17">
        <v>9397.2199999999993</v>
      </c>
      <c r="G401" s="17">
        <v>9397.1</v>
      </c>
      <c r="H401" s="17">
        <v>9396.4</v>
      </c>
      <c r="I401" s="17">
        <v>9402.58</v>
      </c>
    </row>
    <row r="402" spans="1:9" x14ac:dyDescent="0.2">
      <c r="A402" s="17">
        <v>700.2</v>
      </c>
      <c r="C402" s="17">
        <v>9415.01</v>
      </c>
      <c r="E402" s="17">
        <v>9403.7900000000009</v>
      </c>
      <c r="F402" s="17">
        <v>9400.01</v>
      </c>
      <c r="G402" s="17">
        <v>9399.89</v>
      </c>
      <c r="H402" s="17">
        <v>9399.2000000000007</v>
      </c>
      <c r="I402" s="17">
        <v>9405.2900000000009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EF6E-317D-F143-9B0F-6DA700D5C916}">
  <dimension ref="A2:H262"/>
  <sheetViews>
    <sheetView tabSelected="1" topLeftCell="B1" zoomScale="164" zoomScaleNormal="164" workbookViewId="0">
      <selection activeCell="D12" sqref="D12"/>
    </sheetView>
  </sheetViews>
  <sheetFormatPr baseColWidth="10" defaultRowHeight="15" x14ac:dyDescent="0.2"/>
  <cols>
    <col min="1" max="1" width="81" style="17" bestFit="1" customWidth="1"/>
    <col min="2" max="2" width="6.33203125" style="17" bestFit="1" customWidth="1"/>
    <col min="3" max="3" width="21.5" style="17" bestFit="1" customWidth="1"/>
    <col min="4" max="4" width="4" style="17" bestFit="1" customWidth="1"/>
    <col min="5" max="8" width="21.5" style="17" bestFit="1" customWidth="1"/>
    <col min="9" max="255" width="8.83203125" style="17" customWidth="1"/>
    <col min="256" max="16384" width="10.83203125" style="17"/>
  </cols>
  <sheetData>
    <row r="2" spans="1:8" x14ac:dyDescent="0.2">
      <c r="A2" s="17" t="s">
        <v>219</v>
      </c>
      <c r="E2" s="17" t="s">
        <v>232</v>
      </c>
      <c r="F2" s="17" t="s">
        <v>233</v>
      </c>
      <c r="G2" s="17" t="s">
        <v>222</v>
      </c>
      <c r="H2" s="17" t="s">
        <v>223</v>
      </c>
    </row>
    <row r="3" spans="1:8" x14ac:dyDescent="0.2">
      <c r="A3" s="17" t="s">
        <v>224</v>
      </c>
      <c r="C3" s="17" t="s">
        <v>225</v>
      </c>
      <c r="E3" s="17" t="s">
        <v>225</v>
      </c>
      <c r="F3" s="17" t="s">
        <v>225</v>
      </c>
      <c r="G3" s="17" t="s">
        <v>225</v>
      </c>
      <c r="H3" s="17" t="s">
        <v>225</v>
      </c>
    </row>
    <row r="4" spans="1:8" x14ac:dyDescent="0.2">
      <c r="A4" s="17">
        <v>150</v>
      </c>
      <c r="C4" s="17">
        <v>2138.58</v>
      </c>
      <c r="E4" s="17">
        <v>2094.69</v>
      </c>
      <c r="F4" s="17">
        <v>2093.67</v>
      </c>
      <c r="G4" s="17">
        <v>2089.2199999999998</v>
      </c>
      <c r="H4" s="17">
        <v>2099.14</v>
      </c>
    </row>
    <row r="5" spans="1:8" x14ac:dyDescent="0.2">
      <c r="A5" s="17">
        <v>149.9</v>
      </c>
      <c r="C5" s="17">
        <v>2012.74</v>
      </c>
      <c r="E5" s="17">
        <v>2093.7399999999998</v>
      </c>
      <c r="F5" s="17">
        <v>2092.71</v>
      </c>
      <c r="G5" s="17">
        <v>2088.19</v>
      </c>
      <c r="H5" s="17">
        <v>2098.2600000000002</v>
      </c>
    </row>
    <row r="6" spans="1:8" x14ac:dyDescent="0.2">
      <c r="A6" s="17">
        <v>149.80000000000001</v>
      </c>
      <c r="C6" s="17">
        <v>2026.7</v>
      </c>
      <c r="E6" s="17">
        <v>2070.4299999999998</v>
      </c>
      <c r="F6" s="17">
        <v>2069.41</v>
      </c>
      <c r="G6" s="17">
        <v>2064.8200000000002</v>
      </c>
      <c r="H6" s="17">
        <v>2075.02</v>
      </c>
    </row>
    <row r="7" spans="1:8" x14ac:dyDescent="0.2">
      <c r="A7" s="17">
        <v>149.69999999999999</v>
      </c>
      <c r="C7" s="17">
        <v>2102.5100000000002</v>
      </c>
      <c r="E7" s="17">
        <v>2057</v>
      </c>
      <c r="F7" s="17">
        <v>2055.9699999999998</v>
      </c>
      <c r="G7" s="17">
        <v>2051.31</v>
      </c>
      <c r="H7" s="17">
        <v>2061.66</v>
      </c>
    </row>
    <row r="8" spans="1:8" x14ac:dyDescent="0.2">
      <c r="A8" s="17">
        <v>149.6</v>
      </c>
      <c r="C8" s="17">
        <v>2061.81</v>
      </c>
      <c r="E8" s="17">
        <v>2056.33</v>
      </c>
      <c r="F8" s="17">
        <v>2055.31</v>
      </c>
      <c r="G8" s="17">
        <v>2050.5700000000002</v>
      </c>
      <c r="H8" s="17">
        <v>2061.0700000000002</v>
      </c>
    </row>
    <row r="9" spans="1:8" x14ac:dyDescent="0.2">
      <c r="A9" s="17">
        <v>149.5</v>
      </c>
      <c r="C9" s="17">
        <v>2052.7800000000002</v>
      </c>
      <c r="E9" s="17">
        <v>2049.7199999999998</v>
      </c>
      <c r="F9" s="17">
        <v>2048.69</v>
      </c>
      <c r="G9" s="17">
        <v>2043.88</v>
      </c>
      <c r="H9" s="17">
        <v>2054.5300000000002</v>
      </c>
    </row>
    <row r="10" spans="1:8" x14ac:dyDescent="0.2">
      <c r="A10" s="17">
        <v>149.4</v>
      </c>
      <c r="C10" s="17">
        <v>2052.62</v>
      </c>
      <c r="E10" s="17">
        <v>2038.37</v>
      </c>
      <c r="F10" s="17">
        <v>2037.34</v>
      </c>
      <c r="G10" s="17">
        <v>2032.46</v>
      </c>
      <c r="H10" s="17">
        <v>2043.26</v>
      </c>
    </row>
    <row r="11" spans="1:8" x14ac:dyDescent="0.2">
      <c r="A11" s="17">
        <v>149.30000000000001</v>
      </c>
      <c r="C11" s="17">
        <v>2029.53</v>
      </c>
      <c r="E11" s="17">
        <v>2025.47</v>
      </c>
      <c r="F11" s="17">
        <v>2024.44</v>
      </c>
      <c r="G11" s="17">
        <v>2019.47</v>
      </c>
      <c r="H11" s="17">
        <v>2030.44</v>
      </c>
    </row>
    <row r="12" spans="1:8" x14ac:dyDescent="0.2">
      <c r="A12" s="17">
        <v>149.19999999999999</v>
      </c>
      <c r="C12" s="17">
        <v>2058.46</v>
      </c>
      <c r="E12" s="17">
        <v>2010.46</v>
      </c>
      <c r="F12" s="17">
        <v>2009.43</v>
      </c>
      <c r="G12" s="17">
        <v>2004.39</v>
      </c>
      <c r="H12" s="17">
        <v>2015.51</v>
      </c>
    </row>
    <row r="13" spans="1:8" x14ac:dyDescent="0.2">
      <c r="A13" s="17">
        <v>149.1</v>
      </c>
      <c r="C13" s="17">
        <v>2018.18</v>
      </c>
      <c r="E13" s="17">
        <v>1999.78</v>
      </c>
      <c r="F13" s="17">
        <v>1998.75</v>
      </c>
      <c r="G13" s="17">
        <v>1993.61</v>
      </c>
      <c r="H13" s="17">
        <v>2004.91</v>
      </c>
    </row>
    <row r="14" spans="1:8" x14ac:dyDescent="0.2">
      <c r="A14" s="17">
        <v>149</v>
      </c>
      <c r="C14" s="17">
        <v>1947.71</v>
      </c>
      <c r="E14" s="17">
        <v>1997.17</v>
      </c>
      <c r="F14" s="17">
        <v>1996.14</v>
      </c>
      <c r="G14" s="17">
        <v>1990.93</v>
      </c>
      <c r="H14" s="17">
        <v>2002.39</v>
      </c>
    </row>
    <row r="15" spans="1:8" x14ac:dyDescent="0.2">
      <c r="A15" s="17">
        <v>148.9</v>
      </c>
      <c r="C15" s="17">
        <v>1935.63</v>
      </c>
      <c r="E15" s="17">
        <v>1996.47</v>
      </c>
      <c r="F15" s="17">
        <v>1995.44</v>
      </c>
      <c r="G15" s="17">
        <v>1990.14</v>
      </c>
      <c r="H15" s="17">
        <v>2001.77</v>
      </c>
    </row>
    <row r="16" spans="1:8" x14ac:dyDescent="0.2">
      <c r="A16" s="17">
        <v>148.80000000000001</v>
      </c>
      <c r="C16" s="17">
        <v>1994.67</v>
      </c>
      <c r="E16" s="17">
        <v>1976.5</v>
      </c>
      <c r="F16" s="17">
        <v>1975.48</v>
      </c>
      <c r="G16" s="17">
        <v>1970.08</v>
      </c>
      <c r="H16" s="17">
        <v>1981.89</v>
      </c>
    </row>
    <row r="17" spans="1:8" x14ac:dyDescent="0.2">
      <c r="A17" s="17">
        <v>148.69999999999999</v>
      </c>
      <c r="C17" s="17">
        <v>2105.9299999999998</v>
      </c>
      <c r="E17" s="17">
        <v>1965.6</v>
      </c>
      <c r="F17" s="17">
        <v>1964.57</v>
      </c>
      <c r="G17" s="17">
        <v>1959.09</v>
      </c>
      <c r="H17" s="17">
        <v>1971.08</v>
      </c>
    </row>
    <row r="18" spans="1:8" x14ac:dyDescent="0.2">
      <c r="A18" s="17">
        <v>148.6</v>
      </c>
      <c r="C18" s="17">
        <v>1895.32</v>
      </c>
      <c r="E18" s="17">
        <v>1965.68</v>
      </c>
      <c r="F18" s="17">
        <v>1964.65</v>
      </c>
      <c r="G18" s="17">
        <v>1959.08</v>
      </c>
      <c r="H18" s="17">
        <v>1971.25</v>
      </c>
    </row>
    <row r="19" spans="1:8" x14ac:dyDescent="0.2">
      <c r="A19" s="17">
        <v>148.5</v>
      </c>
      <c r="C19" s="17">
        <v>1863.9</v>
      </c>
      <c r="E19" s="17">
        <v>1964.62</v>
      </c>
      <c r="F19" s="17">
        <v>1963.6</v>
      </c>
      <c r="G19" s="17">
        <v>1957.93</v>
      </c>
      <c r="H19" s="17">
        <v>1970.3</v>
      </c>
    </row>
    <row r="20" spans="1:8" x14ac:dyDescent="0.2">
      <c r="A20" s="17">
        <v>148.4</v>
      </c>
      <c r="C20" s="17">
        <v>2022.87</v>
      </c>
      <c r="E20" s="17">
        <v>1963.11</v>
      </c>
      <c r="F20" s="17">
        <v>1962.09</v>
      </c>
      <c r="G20" s="17">
        <v>1956.32</v>
      </c>
      <c r="H20" s="17">
        <v>1968.88</v>
      </c>
    </row>
    <row r="21" spans="1:8" x14ac:dyDescent="0.2">
      <c r="A21" s="17">
        <v>148.30000000000001</v>
      </c>
      <c r="C21" s="17">
        <v>2025.07</v>
      </c>
      <c r="E21" s="17">
        <v>1963.17</v>
      </c>
      <c r="F21" s="17">
        <v>1962.16</v>
      </c>
      <c r="G21" s="17">
        <v>1956.29</v>
      </c>
      <c r="H21" s="17">
        <v>1969.04</v>
      </c>
    </row>
    <row r="22" spans="1:8" x14ac:dyDescent="0.2">
      <c r="A22" s="17">
        <v>148.19999999999999</v>
      </c>
      <c r="C22" s="17">
        <v>1974.43</v>
      </c>
      <c r="E22" s="17">
        <v>1963.11</v>
      </c>
      <c r="F22" s="17">
        <v>1962.1</v>
      </c>
      <c r="G22" s="17">
        <v>1956.12</v>
      </c>
      <c r="H22" s="17">
        <v>1969.08</v>
      </c>
    </row>
    <row r="23" spans="1:8" x14ac:dyDescent="0.2">
      <c r="A23" s="17">
        <v>148.1</v>
      </c>
      <c r="C23" s="17">
        <v>1928.93</v>
      </c>
      <c r="E23" s="17">
        <v>1961.75</v>
      </c>
      <c r="F23" s="17">
        <v>1960.74</v>
      </c>
      <c r="G23" s="17">
        <v>1954.66</v>
      </c>
      <c r="H23" s="17">
        <v>1967.83</v>
      </c>
    </row>
    <row r="24" spans="1:8" x14ac:dyDescent="0.2">
      <c r="A24" s="17">
        <v>148</v>
      </c>
      <c r="C24" s="17">
        <v>2206.8200000000002</v>
      </c>
      <c r="E24" s="17">
        <v>1960.21</v>
      </c>
      <c r="F24" s="17">
        <v>1959.2</v>
      </c>
      <c r="G24" s="17">
        <v>1953.01</v>
      </c>
      <c r="H24" s="17">
        <v>1966.4</v>
      </c>
    </row>
    <row r="25" spans="1:8" x14ac:dyDescent="0.2">
      <c r="A25" s="17">
        <v>147.9</v>
      </c>
      <c r="C25" s="17">
        <v>2064.11</v>
      </c>
      <c r="E25" s="17">
        <v>1958.73</v>
      </c>
      <c r="F25" s="17">
        <v>1957.73</v>
      </c>
      <c r="G25" s="17">
        <v>1951.43</v>
      </c>
      <c r="H25" s="17">
        <v>1965.03</v>
      </c>
    </row>
    <row r="26" spans="1:8" x14ac:dyDescent="0.2">
      <c r="A26" s="17">
        <v>147.80000000000001</v>
      </c>
      <c r="C26" s="17">
        <v>2001.19</v>
      </c>
      <c r="E26" s="17">
        <v>1957.05</v>
      </c>
      <c r="F26" s="17">
        <v>1956.07</v>
      </c>
      <c r="G26" s="17">
        <v>1949.65</v>
      </c>
      <c r="H26" s="17">
        <v>1963.47</v>
      </c>
    </row>
    <row r="27" spans="1:8" x14ac:dyDescent="0.2">
      <c r="A27" s="17">
        <v>147.69999999999999</v>
      </c>
      <c r="C27" s="17">
        <v>2018.96</v>
      </c>
      <c r="E27" s="17">
        <v>1955.15</v>
      </c>
      <c r="F27" s="17">
        <v>1954.17</v>
      </c>
      <c r="G27" s="17">
        <v>1947.63</v>
      </c>
      <c r="H27" s="17">
        <v>1961.69</v>
      </c>
    </row>
    <row r="28" spans="1:8" x14ac:dyDescent="0.2">
      <c r="A28" s="17">
        <v>147.6</v>
      </c>
      <c r="C28" s="17">
        <v>1982.37</v>
      </c>
      <c r="E28" s="17">
        <v>1954.18</v>
      </c>
      <c r="F28" s="17">
        <v>1953.21</v>
      </c>
      <c r="G28" s="17">
        <v>1946.55</v>
      </c>
      <c r="H28" s="17">
        <v>1960.84</v>
      </c>
    </row>
    <row r="29" spans="1:8" x14ac:dyDescent="0.2">
      <c r="A29" s="17">
        <v>147.5</v>
      </c>
      <c r="C29" s="17">
        <v>1949.97</v>
      </c>
      <c r="E29" s="17">
        <v>1953.71</v>
      </c>
      <c r="F29" s="17">
        <v>1952.74</v>
      </c>
      <c r="G29" s="17">
        <v>1945.96</v>
      </c>
      <c r="H29" s="17">
        <v>1960.49</v>
      </c>
    </row>
    <row r="30" spans="1:8" x14ac:dyDescent="0.2">
      <c r="A30" s="17">
        <v>147.4</v>
      </c>
      <c r="C30" s="17">
        <v>1931.15</v>
      </c>
      <c r="E30" s="17">
        <v>1953.27</v>
      </c>
      <c r="F30" s="17">
        <v>1952.32</v>
      </c>
      <c r="G30" s="17">
        <v>1945.41</v>
      </c>
      <c r="H30" s="17">
        <v>1960.19</v>
      </c>
    </row>
    <row r="31" spans="1:8" x14ac:dyDescent="0.2">
      <c r="A31" s="17">
        <v>147.30000000000001</v>
      </c>
      <c r="C31" s="17">
        <v>1985.98</v>
      </c>
      <c r="E31" s="17">
        <v>1952.87</v>
      </c>
      <c r="F31" s="17">
        <v>1951.93</v>
      </c>
      <c r="G31" s="17">
        <v>1944.89</v>
      </c>
      <c r="H31" s="17">
        <v>1959.92</v>
      </c>
    </row>
    <row r="32" spans="1:8" x14ac:dyDescent="0.2">
      <c r="A32" s="17">
        <v>147.19999999999999</v>
      </c>
      <c r="C32" s="17">
        <v>2008.81</v>
      </c>
      <c r="E32" s="17">
        <v>1952.26</v>
      </c>
      <c r="F32" s="17">
        <v>1951.33</v>
      </c>
      <c r="G32" s="17">
        <v>1944.15</v>
      </c>
      <c r="H32" s="17">
        <v>1959.44</v>
      </c>
    </row>
    <row r="33" spans="1:8" x14ac:dyDescent="0.2">
      <c r="A33" s="17">
        <v>147.1</v>
      </c>
      <c r="C33" s="17">
        <v>2037.3</v>
      </c>
      <c r="E33" s="17">
        <v>1951.62</v>
      </c>
      <c r="F33" s="17">
        <v>1950.7</v>
      </c>
      <c r="G33" s="17">
        <v>1943.38</v>
      </c>
      <c r="H33" s="17">
        <v>1958.94</v>
      </c>
    </row>
    <row r="34" spans="1:8" x14ac:dyDescent="0.2">
      <c r="A34" s="17">
        <v>147</v>
      </c>
      <c r="C34" s="17">
        <v>1952.6</v>
      </c>
      <c r="E34" s="17">
        <v>1950.5</v>
      </c>
      <c r="F34" s="17">
        <v>1949.59</v>
      </c>
      <c r="G34" s="17">
        <v>1942.13</v>
      </c>
      <c r="H34" s="17">
        <v>1957.96</v>
      </c>
    </row>
    <row r="35" spans="1:8" x14ac:dyDescent="0.2">
      <c r="A35" s="17">
        <v>146.9</v>
      </c>
      <c r="C35" s="17">
        <v>2057.4699999999998</v>
      </c>
      <c r="E35" s="17">
        <v>1949.68</v>
      </c>
      <c r="F35" s="17">
        <v>1948.79</v>
      </c>
      <c r="G35" s="17">
        <v>1941.18</v>
      </c>
      <c r="H35" s="17">
        <v>1957.3</v>
      </c>
    </row>
    <row r="36" spans="1:8" x14ac:dyDescent="0.2">
      <c r="A36" s="17">
        <v>146.80000000000001</v>
      </c>
      <c r="C36" s="17">
        <v>1898.47</v>
      </c>
      <c r="E36" s="17">
        <v>1949.18</v>
      </c>
      <c r="F36" s="17">
        <v>1948.31</v>
      </c>
      <c r="G36" s="17">
        <v>1940.54</v>
      </c>
      <c r="H36" s="17">
        <v>1956.95</v>
      </c>
    </row>
    <row r="37" spans="1:8" x14ac:dyDescent="0.2">
      <c r="A37" s="17">
        <v>146.69999999999999</v>
      </c>
      <c r="C37" s="17">
        <v>1923.57</v>
      </c>
      <c r="E37" s="17">
        <v>1949.23</v>
      </c>
      <c r="F37" s="17">
        <v>1948.37</v>
      </c>
      <c r="G37" s="17">
        <v>1940.44</v>
      </c>
      <c r="H37" s="17">
        <v>1957.15</v>
      </c>
    </row>
    <row r="38" spans="1:8" x14ac:dyDescent="0.2">
      <c r="A38" s="17">
        <v>146.6</v>
      </c>
      <c r="C38" s="17">
        <v>1889.83</v>
      </c>
      <c r="E38" s="17">
        <v>1949.14</v>
      </c>
      <c r="F38" s="17">
        <v>1948.3</v>
      </c>
      <c r="G38" s="17">
        <v>1940.21</v>
      </c>
      <c r="H38" s="17">
        <v>1957.22</v>
      </c>
    </row>
    <row r="39" spans="1:8" x14ac:dyDescent="0.2">
      <c r="A39" s="17">
        <v>146.5</v>
      </c>
      <c r="C39" s="17">
        <v>1988.34</v>
      </c>
      <c r="E39" s="17">
        <v>1949.04</v>
      </c>
      <c r="F39" s="17">
        <v>1948.22</v>
      </c>
      <c r="G39" s="17">
        <v>1939.96</v>
      </c>
      <c r="H39" s="17">
        <v>1957.29</v>
      </c>
    </row>
    <row r="40" spans="1:8" x14ac:dyDescent="0.2">
      <c r="A40" s="17">
        <v>146.4</v>
      </c>
      <c r="C40" s="17">
        <v>2059.96</v>
      </c>
      <c r="E40" s="17">
        <v>1948.82</v>
      </c>
      <c r="F40" s="17">
        <v>1948.03</v>
      </c>
      <c r="G40" s="17">
        <v>1939.6</v>
      </c>
      <c r="H40" s="17">
        <v>1957.25</v>
      </c>
    </row>
    <row r="41" spans="1:8" x14ac:dyDescent="0.2">
      <c r="A41" s="17">
        <v>146.30000000000001</v>
      </c>
      <c r="C41" s="17">
        <v>1927.34</v>
      </c>
      <c r="E41" s="17">
        <v>1948.5</v>
      </c>
      <c r="F41" s="17">
        <v>1947.72</v>
      </c>
      <c r="G41" s="17">
        <v>1939.12</v>
      </c>
      <c r="H41" s="17">
        <v>1957.1</v>
      </c>
    </row>
    <row r="42" spans="1:8" x14ac:dyDescent="0.2">
      <c r="A42" s="17">
        <v>146.19999999999999</v>
      </c>
      <c r="C42" s="17">
        <v>1953.79</v>
      </c>
      <c r="E42" s="17">
        <v>1947.88</v>
      </c>
      <c r="F42" s="17">
        <v>1947.13</v>
      </c>
      <c r="G42" s="17">
        <v>1938.35</v>
      </c>
      <c r="H42" s="17">
        <v>1956.67</v>
      </c>
    </row>
    <row r="43" spans="1:8" x14ac:dyDescent="0.2">
      <c r="A43" s="17">
        <v>146.1</v>
      </c>
      <c r="C43" s="17">
        <v>1964.22</v>
      </c>
      <c r="E43" s="17">
        <v>1946.82</v>
      </c>
      <c r="F43" s="17">
        <v>1946.1</v>
      </c>
      <c r="G43" s="17">
        <v>1937.12</v>
      </c>
      <c r="H43" s="17">
        <v>1955.8</v>
      </c>
    </row>
    <row r="44" spans="1:8" x14ac:dyDescent="0.2">
      <c r="A44" s="17">
        <v>146</v>
      </c>
      <c r="C44" s="17">
        <v>2103.4299999999998</v>
      </c>
      <c r="E44" s="17">
        <v>1946.19</v>
      </c>
      <c r="F44" s="17">
        <v>1945.5</v>
      </c>
      <c r="G44" s="17">
        <v>1936.32</v>
      </c>
      <c r="H44" s="17">
        <v>1955.36</v>
      </c>
    </row>
    <row r="45" spans="1:8" x14ac:dyDescent="0.2">
      <c r="A45" s="17">
        <v>145.9</v>
      </c>
      <c r="C45" s="17">
        <v>1942.22</v>
      </c>
      <c r="E45" s="17">
        <v>1945.38</v>
      </c>
      <c r="F45" s="17">
        <v>1944.72</v>
      </c>
      <c r="G45" s="17">
        <v>1935.34</v>
      </c>
      <c r="H45" s="17">
        <v>1954.75</v>
      </c>
    </row>
    <row r="46" spans="1:8" x14ac:dyDescent="0.2">
      <c r="A46" s="17">
        <v>145.80000000000001</v>
      </c>
      <c r="C46" s="17">
        <v>1971.97</v>
      </c>
      <c r="E46" s="17">
        <v>1944.36</v>
      </c>
      <c r="F46" s="17">
        <v>1943.73</v>
      </c>
      <c r="G46" s="17">
        <v>1934.15</v>
      </c>
      <c r="H46" s="17">
        <v>1953.94</v>
      </c>
    </row>
    <row r="47" spans="1:8" x14ac:dyDescent="0.2">
      <c r="A47" s="17">
        <v>145.69999999999999</v>
      </c>
      <c r="C47" s="17">
        <v>2005.25</v>
      </c>
      <c r="E47" s="17">
        <v>1943.17</v>
      </c>
      <c r="F47" s="17">
        <v>1942.58</v>
      </c>
      <c r="G47" s="17">
        <v>1932.78</v>
      </c>
      <c r="H47" s="17">
        <v>1952.97</v>
      </c>
    </row>
    <row r="48" spans="1:8" x14ac:dyDescent="0.2">
      <c r="A48" s="17">
        <v>145.6</v>
      </c>
      <c r="C48" s="17">
        <v>2005.72</v>
      </c>
      <c r="E48" s="17">
        <v>1942.06</v>
      </c>
      <c r="F48" s="17">
        <v>1941.51</v>
      </c>
      <c r="G48" s="17">
        <v>1931.49</v>
      </c>
      <c r="H48" s="17">
        <v>1952.08</v>
      </c>
    </row>
    <row r="49" spans="1:8" x14ac:dyDescent="0.2">
      <c r="A49" s="17">
        <v>145.5</v>
      </c>
      <c r="C49" s="17">
        <v>2076.06</v>
      </c>
      <c r="E49" s="17">
        <v>1941.21</v>
      </c>
      <c r="F49" s="17">
        <v>1940.7</v>
      </c>
      <c r="G49" s="17">
        <v>1930.44</v>
      </c>
      <c r="H49" s="17">
        <v>1951.46</v>
      </c>
    </row>
    <row r="50" spans="1:8" x14ac:dyDescent="0.2">
      <c r="A50" s="17">
        <v>145.4</v>
      </c>
      <c r="C50" s="17">
        <v>1870</v>
      </c>
      <c r="E50" s="17">
        <v>1940.4</v>
      </c>
      <c r="F50" s="17">
        <v>1939.94</v>
      </c>
      <c r="G50" s="17">
        <v>1929.44</v>
      </c>
      <c r="H50" s="17">
        <v>1950.89</v>
      </c>
    </row>
    <row r="51" spans="1:8" x14ac:dyDescent="0.2">
      <c r="A51" s="17">
        <v>145.30000000000001</v>
      </c>
      <c r="C51" s="17">
        <v>1957.3</v>
      </c>
      <c r="E51" s="17">
        <v>1939.6</v>
      </c>
      <c r="F51" s="17">
        <v>1939.19</v>
      </c>
      <c r="G51" s="17">
        <v>1928.45</v>
      </c>
      <c r="H51" s="17">
        <v>1950.34</v>
      </c>
    </row>
    <row r="52" spans="1:8" x14ac:dyDescent="0.2">
      <c r="A52" s="17">
        <v>145.19999999999999</v>
      </c>
      <c r="C52" s="17">
        <v>1998.16</v>
      </c>
      <c r="E52" s="17">
        <v>1938.6</v>
      </c>
      <c r="F52" s="17">
        <v>1938.24</v>
      </c>
      <c r="G52" s="17">
        <v>1927.24</v>
      </c>
      <c r="H52" s="17">
        <v>1949.6</v>
      </c>
    </row>
    <row r="53" spans="1:8" x14ac:dyDescent="0.2">
      <c r="A53" s="17">
        <v>145.1</v>
      </c>
      <c r="C53" s="17">
        <v>2057.9499999999998</v>
      </c>
      <c r="E53" s="17">
        <v>1938.19</v>
      </c>
      <c r="F53" s="17">
        <v>1937.88</v>
      </c>
      <c r="G53" s="17">
        <v>1926.62</v>
      </c>
      <c r="H53" s="17">
        <v>1949.45</v>
      </c>
    </row>
    <row r="54" spans="1:8" x14ac:dyDescent="0.2">
      <c r="A54" s="17">
        <v>145</v>
      </c>
      <c r="C54" s="17">
        <v>1915.18</v>
      </c>
      <c r="E54" s="17">
        <v>1937.52</v>
      </c>
      <c r="F54" s="17">
        <v>1937.27</v>
      </c>
      <c r="G54" s="17">
        <v>1925.73</v>
      </c>
      <c r="H54" s="17">
        <v>1949.06</v>
      </c>
    </row>
    <row r="55" spans="1:8" x14ac:dyDescent="0.2">
      <c r="A55" s="17">
        <v>144.9</v>
      </c>
      <c r="C55" s="17">
        <v>1937.29</v>
      </c>
      <c r="E55" s="17">
        <v>1936.92</v>
      </c>
      <c r="F55" s="17">
        <v>1936.73</v>
      </c>
      <c r="G55" s="17">
        <v>1924.91</v>
      </c>
      <c r="H55" s="17">
        <v>1948.75</v>
      </c>
    </row>
    <row r="56" spans="1:8" x14ac:dyDescent="0.2">
      <c r="A56" s="17">
        <v>144.80000000000001</v>
      </c>
      <c r="C56" s="17">
        <v>1935.94</v>
      </c>
      <c r="E56" s="17">
        <v>1936.56</v>
      </c>
      <c r="F56" s="17">
        <v>1936.44</v>
      </c>
      <c r="G56" s="17">
        <v>1924.32</v>
      </c>
      <c r="H56" s="17">
        <v>1948.68</v>
      </c>
    </row>
    <row r="57" spans="1:8" x14ac:dyDescent="0.2">
      <c r="A57" s="17">
        <v>144.69999999999999</v>
      </c>
      <c r="C57" s="17">
        <v>1934.01</v>
      </c>
      <c r="E57" s="17">
        <v>1936.53</v>
      </c>
      <c r="F57" s="17">
        <v>1936.48</v>
      </c>
      <c r="G57" s="17">
        <v>1924.05</v>
      </c>
      <c r="H57" s="17">
        <v>1948.95</v>
      </c>
    </row>
    <row r="58" spans="1:8" x14ac:dyDescent="0.2">
      <c r="A58" s="17">
        <v>144.6</v>
      </c>
      <c r="C58" s="17">
        <v>1969.82</v>
      </c>
      <c r="E58" s="17">
        <v>1936.62</v>
      </c>
      <c r="F58" s="17">
        <v>1936.64</v>
      </c>
      <c r="G58" s="17">
        <v>1923.9</v>
      </c>
      <c r="H58" s="17">
        <v>1949.36</v>
      </c>
    </row>
    <row r="59" spans="1:8" x14ac:dyDescent="0.2">
      <c r="A59" s="17">
        <v>144.5</v>
      </c>
      <c r="C59" s="17">
        <v>1883.98</v>
      </c>
      <c r="E59" s="17">
        <v>1936.83</v>
      </c>
      <c r="F59" s="17">
        <v>1936.93</v>
      </c>
      <c r="G59" s="17">
        <v>1923.86</v>
      </c>
      <c r="H59" s="17">
        <v>1949.9</v>
      </c>
    </row>
    <row r="60" spans="1:8" x14ac:dyDescent="0.2">
      <c r="A60" s="17">
        <v>144.4</v>
      </c>
      <c r="C60" s="17">
        <v>1905.4</v>
      </c>
      <c r="E60" s="17">
        <v>1937.02</v>
      </c>
      <c r="F60" s="17">
        <v>1937.21</v>
      </c>
      <c r="G60" s="17">
        <v>1923.79</v>
      </c>
      <c r="H60" s="17">
        <v>1950.44</v>
      </c>
    </row>
    <row r="61" spans="1:8" x14ac:dyDescent="0.2">
      <c r="A61" s="17">
        <v>144.30000000000001</v>
      </c>
      <c r="C61" s="17">
        <v>1926.1</v>
      </c>
      <c r="E61" s="17">
        <v>1936.55</v>
      </c>
      <c r="F61" s="17">
        <v>1936.83</v>
      </c>
      <c r="G61" s="17">
        <v>1923.06</v>
      </c>
      <c r="H61" s="17">
        <v>1950.33</v>
      </c>
    </row>
    <row r="62" spans="1:8" x14ac:dyDescent="0.2">
      <c r="A62" s="17">
        <v>144.19999999999999</v>
      </c>
      <c r="C62" s="17">
        <v>2026.66</v>
      </c>
      <c r="E62" s="17">
        <v>1936.7</v>
      </c>
      <c r="F62" s="17">
        <v>1937.08</v>
      </c>
      <c r="G62" s="17">
        <v>1922.94</v>
      </c>
      <c r="H62" s="17">
        <v>1950.85</v>
      </c>
    </row>
    <row r="63" spans="1:8" x14ac:dyDescent="0.2">
      <c r="A63" s="17">
        <v>144.1</v>
      </c>
      <c r="C63" s="17">
        <v>1879.51</v>
      </c>
      <c r="E63" s="17">
        <v>1936.6</v>
      </c>
      <c r="F63" s="17">
        <v>1937.08</v>
      </c>
      <c r="G63" s="17">
        <v>1922.55</v>
      </c>
      <c r="H63" s="17">
        <v>1951.13</v>
      </c>
    </row>
    <row r="64" spans="1:8" x14ac:dyDescent="0.2">
      <c r="A64" s="17">
        <v>144</v>
      </c>
      <c r="C64" s="17">
        <v>1919.62</v>
      </c>
      <c r="E64" s="17">
        <v>1935.76</v>
      </c>
      <c r="F64" s="17">
        <v>1936.36</v>
      </c>
      <c r="G64" s="17">
        <v>1921.43</v>
      </c>
      <c r="H64" s="17">
        <v>1950.69</v>
      </c>
    </row>
    <row r="65" spans="1:8" x14ac:dyDescent="0.2">
      <c r="A65" s="17">
        <v>143.9</v>
      </c>
      <c r="C65" s="17">
        <v>2007.86</v>
      </c>
      <c r="E65" s="17">
        <v>1934.57</v>
      </c>
      <c r="F65" s="17">
        <v>1935.28</v>
      </c>
      <c r="G65" s="17">
        <v>1919.93</v>
      </c>
      <c r="H65" s="17">
        <v>1949.92</v>
      </c>
    </row>
    <row r="66" spans="1:8" x14ac:dyDescent="0.2">
      <c r="A66" s="17">
        <v>143.80000000000001</v>
      </c>
      <c r="C66" s="17">
        <v>1971.65</v>
      </c>
      <c r="E66" s="17">
        <v>1933.7</v>
      </c>
      <c r="F66" s="17">
        <v>1934.54</v>
      </c>
      <c r="G66" s="17">
        <v>1918.76</v>
      </c>
      <c r="H66" s="17">
        <v>1949.48</v>
      </c>
    </row>
    <row r="67" spans="1:8" x14ac:dyDescent="0.2">
      <c r="A67" s="17">
        <v>143.69999999999999</v>
      </c>
      <c r="C67" s="17">
        <v>1974.69</v>
      </c>
      <c r="E67" s="17">
        <v>1933.08</v>
      </c>
      <c r="F67" s="17">
        <v>1934.06</v>
      </c>
      <c r="G67" s="17">
        <v>1917.82</v>
      </c>
      <c r="H67" s="17">
        <v>1949.32</v>
      </c>
    </row>
    <row r="68" spans="1:8" x14ac:dyDescent="0.2">
      <c r="A68" s="17">
        <v>143.6</v>
      </c>
      <c r="C68" s="17">
        <v>1839.03</v>
      </c>
      <c r="E68" s="17">
        <v>1932.24</v>
      </c>
      <c r="F68" s="17">
        <v>1933.36</v>
      </c>
      <c r="G68" s="17">
        <v>1916.65</v>
      </c>
      <c r="H68" s="17">
        <v>1948.95</v>
      </c>
    </row>
    <row r="69" spans="1:8" x14ac:dyDescent="0.2">
      <c r="A69" s="17">
        <v>143.5</v>
      </c>
      <c r="C69" s="17">
        <v>1948.35</v>
      </c>
      <c r="E69" s="17">
        <v>1931.12</v>
      </c>
      <c r="F69" s="17">
        <v>1932.4</v>
      </c>
      <c r="G69" s="17">
        <v>1915.2</v>
      </c>
      <c r="H69" s="17">
        <v>1948.33</v>
      </c>
    </row>
    <row r="70" spans="1:8" x14ac:dyDescent="0.2">
      <c r="A70" s="17">
        <v>143.4</v>
      </c>
      <c r="C70" s="17">
        <v>2041.15</v>
      </c>
      <c r="E70" s="17">
        <v>1929.86</v>
      </c>
      <c r="F70" s="17">
        <v>1931.31</v>
      </c>
      <c r="G70" s="17">
        <v>1913.59</v>
      </c>
      <c r="H70" s="17">
        <v>1947.59</v>
      </c>
    </row>
    <row r="71" spans="1:8" x14ac:dyDescent="0.2">
      <c r="A71" s="17">
        <v>143.30000000000001</v>
      </c>
      <c r="C71" s="17">
        <v>1987</v>
      </c>
      <c r="E71" s="17">
        <v>1928.51</v>
      </c>
      <c r="F71" s="17">
        <v>1930.14</v>
      </c>
      <c r="G71" s="17">
        <v>1911.88</v>
      </c>
      <c r="H71" s="17">
        <v>1946.78</v>
      </c>
    </row>
    <row r="72" spans="1:8" x14ac:dyDescent="0.2">
      <c r="A72" s="17">
        <v>143.19999999999999</v>
      </c>
      <c r="C72" s="17">
        <v>1980.86</v>
      </c>
      <c r="E72" s="17">
        <v>1926.39</v>
      </c>
      <c r="F72" s="17">
        <v>1928.21</v>
      </c>
      <c r="G72" s="17">
        <v>1909.38</v>
      </c>
      <c r="H72" s="17">
        <v>1945.22</v>
      </c>
    </row>
    <row r="73" spans="1:8" x14ac:dyDescent="0.2">
      <c r="A73" s="17">
        <v>143.1</v>
      </c>
      <c r="C73" s="17">
        <v>1941.95</v>
      </c>
      <c r="E73" s="17">
        <v>1924.83</v>
      </c>
      <c r="F73" s="17">
        <v>1926.86</v>
      </c>
      <c r="G73" s="17">
        <v>1907.44</v>
      </c>
      <c r="H73" s="17">
        <v>1944.25</v>
      </c>
    </row>
    <row r="74" spans="1:8" x14ac:dyDescent="0.2">
      <c r="A74" s="17">
        <v>143</v>
      </c>
      <c r="C74" s="17">
        <v>1858.85</v>
      </c>
      <c r="E74" s="17">
        <v>1924.34</v>
      </c>
      <c r="F74" s="17">
        <v>1926.59</v>
      </c>
      <c r="G74" s="17">
        <v>1906.55</v>
      </c>
      <c r="H74" s="17">
        <v>1944.38</v>
      </c>
    </row>
    <row r="75" spans="1:8" x14ac:dyDescent="0.2">
      <c r="A75" s="17">
        <v>142.9</v>
      </c>
      <c r="C75" s="17">
        <v>1882.57</v>
      </c>
      <c r="E75" s="17">
        <v>1923.99</v>
      </c>
      <c r="F75" s="17">
        <v>1926.47</v>
      </c>
      <c r="G75" s="17">
        <v>1905.78</v>
      </c>
      <c r="H75" s="17">
        <v>1944.68</v>
      </c>
    </row>
    <row r="76" spans="1:8" x14ac:dyDescent="0.2">
      <c r="A76" s="17">
        <v>142.80000000000001</v>
      </c>
      <c r="C76" s="17">
        <v>1965.4</v>
      </c>
      <c r="E76" s="17">
        <v>1923.97</v>
      </c>
      <c r="F76" s="17">
        <v>1926.71</v>
      </c>
      <c r="G76" s="17">
        <v>1905.33</v>
      </c>
      <c r="H76" s="17">
        <v>1945.34</v>
      </c>
    </row>
    <row r="77" spans="1:8" x14ac:dyDescent="0.2">
      <c r="A77" s="17">
        <v>142.69999999999999</v>
      </c>
      <c r="C77" s="17">
        <v>1931.08</v>
      </c>
      <c r="E77" s="17">
        <v>1924.22</v>
      </c>
      <c r="F77" s="17">
        <v>1927.24</v>
      </c>
      <c r="G77" s="17">
        <v>1905.15</v>
      </c>
      <c r="H77" s="17">
        <v>1946.31</v>
      </c>
    </row>
    <row r="78" spans="1:8" x14ac:dyDescent="0.2">
      <c r="A78" s="17">
        <v>142.6</v>
      </c>
      <c r="C78" s="17">
        <v>1902.68</v>
      </c>
      <c r="E78" s="17">
        <v>1923.83</v>
      </c>
      <c r="F78" s="17">
        <v>1927.14</v>
      </c>
      <c r="G78" s="17">
        <v>1904.29</v>
      </c>
      <c r="H78" s="17">
        <v>1946.67</v>
      </c>
    </row>
    <row r="79" spans="1:8" x14ac:dyDescent="0.2">
      <c r="A79" s="17">
        <v>142.5</v>
      </c>
      <c r="C79" s="17">
        <v>1951.53</v>
      </c>
      <c r="E79" s="17">
        <v>1922.56</v>
      </c>
      <c r="F79" s="17">
        <v>1926.18</v>
      </c>
      <c r="G79" s="17">
        <v>1902.55</v>
      </c>
      <c r="H79" s="17">
        <v>1946.19</v>
      </c>
    </row>
    <row r="80" spans="1:8" x14ac:dyDescent="0.2">
      <c r="A80" s="17">
        <v>142.4</v>
      </c>
      <c r="C80" s="17">
        <v>2004.88</v>
      </c>
      <c r="E80" s="17">
        <v>1920.51</v>
      </c>
      <c r="F80" s="17">
        <v>1924.48</v>
      </c>
      <c r="G80" s="17">
        <v>1900.01</v>
      </c>
      <c r="H80" s="17">
        <v>1944.99</v>
      </c>
    </row>
    <row r="81" spans="1:8" x14ac:dyDescent="0.2">
      <c r="A81" s="17">
        <v>142.30000000000001</v>
      </c>
      <c r="C81" s="17">
        <v>2068.79</v>
      </c>
      <c r="E81" s="17">
        <v>1917.81</v>
      </c>
      <c r="F81" s="17">
        <v>1922.16</v>
      </c>
      <c r="G81" s="17">
        <v>1896.8</v>
      </c>
      <c r="H81" s="17">
        <v>1943.17</v>
      </c>
    </row>
    <row r="82" spans="1:8" x14ac:dyDescent="0.2">
      <c r="A82" s="17">
        <v>142.19999999999999</v>
      </c>
      <c r="C82" s="17">
        <v>2014.55</v>
      </c>
      <c r="E82" s="17">
        <v>1914.52</v>
      </c>
      <c r="F82" s="17">
        <v>1919.27</v>
      </c>
      <c r="G82" s="17">
        <v>1892.97</v>
      </c>
      <c r="H82" s="17">
        <v>1940.81</v>
      </c>
    </row>
    <row r="83" spans="1:8" x14ac:dyDescent="0.2">
      <c r="A83" s="17">
        <v>142.1</v>
      </c>
      <c r="C83" s="17">
        <v>1975.87</v>
      </c>
      <c r="E83" s="17">
        <v>1911.1</v>
      </c>
      <c r="F83" s="17">
        <v>1916.31</v>
      </c>
      <c r="G83" s="17">
        <v>1889.01</v>
      </c>
      <c r="H83" s="17">
        <v>1938.4</v>
      </c>
    </row>
    <row r="84" spans="1:8" x14ac:dyDescent="0.2">
      <c r="A84" s="17">
        <v>142</v>
      </c>
      <c r="C84" s="17">
        <v>1953.51</v>
      </c>
      <c r="E84" s="17">
        <v>1908.12</v>
      </c>
      <c r="F84" s="17">
        <v>1913.81</v>
      </c>
      <c r="G84" s="17">
        <v>1885.45</v>
      </c>
      <c r="H84" s="17">
        <v>1936.47</v>
      </c>
    </row>
    <row r="85" spans="1:8" x14ac:dyDescent="0.2">
      <c r="A85" s="17">
        <v>141.9</v>
      </c>
      <c r="C85" s="17">
        <v>1930.8</v>
      </c>
      <c r="E85" s="17">
        <v>1906.37</v>
      </c>
      <c r="F85" s="17">
        <v>1912.61</v>
      </c>
      <c r="G85" s="17">
        <v>1883.12</v>
      </c>
      <c r="H85" s="17">
        <v>1935.86</v>
      </c>
    </row>
    <row r="86" spans="1:8" x14ac:dyDescent="0.2">
      <c r="A86" s="17">
        <v>141.80000000000001</v>
      </c>
      <c r="C86" s="17">
        <v>1880.13</v>
      </c>
      <c r="E86" s="17">
        <v>1905.55</v>
      </c>
      <c r="F86" s="17">
        <v>1912.4</v>
      </c>
      <c r="G86" s="17">
        <v>1881.68</v>
      </c>
      <c r="H86" s="17">
        <v>1936.26</v>
      </c>
    </row>
    <row r="87" spans="1:8" x14ac:dyDescent="0.2">
      <c r="A87" s="17">
        <v>141.69999999999999</v>
      </c>
      <c r="C87" s="17">
        <v>1876.49</v>
      </c>
      <c r="E87" s="17">
        <v>1905.43</v>
      </c>
      <c r="F87" s="17">
        <v>1912.95</v>
      </c>
      <c r="G87" s="17">
        <v>1880.93</v>
      </c>
      <c r="H87" s="17">
        <v>1937.46</v>
      </c>
    </row>
    <row r="88" spans="1:8" x14ac:dyDescent="0.2">
      <c r="A88" s="17">
        <v>141.6</v>
      </c>
      <c r="C88" s="17">
        <v>1874.4</v>
      </c>
      <c r="E88" s="17">
        <v>1905.99</v>
      </c>
      <c r="F88" s="17">
        <v>1914.28</v>
      </c>
      <c r="G88" s="17">
        <v>1880.82</v>
      </c>
      <c r="H88" s="17">
        <v>1939.45</v>
      </c>
    </row>
    <row r="89" spans="1:8" x14ac:dyDescent="0.2">
      <c r="A89" s="17">
        <v>141.5</v>
      </c>
      <c r="C89" s="17">
        <v>1857.58</v>
      </c>
      <c r="E89" s="17">
        <v>1906.6</v>
      </c>
      <c r="F89" s="17">
        <v>1915.75</v>
      </c>
      <c r="G89" s="17">
        <v>1880.74</v>
      </c>
      <c r="H89" s="17">
        <v>1941.62</v>
      </c>
    </row>
    <row r="90" spans="1:8" x14ac:dyDescent="0.2">
      <c r="A90" s="17">
        <v>141.4</v>
      </c>
      <c r="C90" s="17">
        <v>1915.51</v>
      </c>
      <c r="E90" s="17">
        <v>1907.17</v>
      </c>
      <c r="F90" s="17">
        <v>1917.31</v>
      </c>
      <c r="G90" s="17">
        <v>1880.58</v>
      </c>
      <c r="H90" s="17">
        <v>1943.9</v>
      </c>
    </row>
    <row r="91" spans="1:8" x14ac:dyDescent="0.2">
      <c r="A91" s="17">
        <v>141.30000000000001</v>
      </c>
      <c r="C91" s="17">
        <v>1979.3</v>
      </c>
      <c r="E91" s="17">
        <v>1907.7</v>
      </c>
      <c r="F91" s="17">
        <v>1918.98</v>
      </c>
      <c r="G91" s="17">
        <v>1880.36</v>
      </c>
      <c r="H91" s="17">
        <v>1946.32</v>
      </c>
    </row>
    <row r="92" spans="1:8" x14ac:dyDescent="0.2">
      <c r="A92" s="17">
        <v>141.19999999999999</v>
      </c>
      <c r="C92" s="17">
        <v>1976.95</v>
      </c>
      <c r="E92" s="17">
        <v>1908.23</v>
      </c>
      <c r="F92" s="17">
        <v>1920.84</v>
      </c>
      <c r="G92" s="17">
        <v>1880.11</v>
      </c>
      <c r="H92" s="17">
        <v>1948.96</v>
      </c>
    </row>
    <row r="93" spans="1:8" x14ac:dyDescent="0.2">
      <c r="A93" s="17">
        <v>141.1</v>
      </c>
      <c r="C93" s="17">
        <v>1901.84</v>
      </c>
      <c r="E93" s="17">
        <v>1908.63</v>
      </c>
      <c r="F93" s="17">
        <v>1922.79</v>
      </c>
      <c r="G93" s="17">
        <v>1879.69</v>
      </c>
      <c r="H93" s="17">
        <v>1951.73</v>
      </c>
    </row>
    <row r="94" spans="1:8" x14ac:dyDescent="0.2">
      <c r="A94" s="17">
        <v>141</v>
      </c>
      <c r="C94" s="17">
        <v>2094.41</v>
      </c>
      <c r="E94" s="17">
        <v>1909.04</v>
      </c>
      <c r="F94" s="17">
        <v>1925.01</v>
      </c>
      <c r="G94" s="17">
        <v>1879.25</v>
      </c>
      <c r="H94" s="17">
        <v>1954.8</v>
      </c>
    </row>
    <row r="95" spans="1:8" x14ac:dyDescent="0.2">
      <c r="A95" s="17">
        <v>140.9</v>
      </c>
      <c r="C95" s="17">
        <v>1956.17</v>
      </c>
      <c r="E95" s="17">
        <v>1909.51</v>
      </c>
      <c r="F95" s="17">
        <v>1927.61</v>
      </c>
      <c r="G95" s="17">
        <v>1878.82</v>
      </c>
      <c r="H95" s="17">
        <v>1958.3</v>
      </c>
    </row>
    <row r="96" spans="1:8" x14ac:dyDescent="0.2">
      <c r="A96" s="17">
        <v>140.80000000000001</v>
      </c>
      <c r="C96" s="17">
        <v>1944.62</v>
      </c>
      <c r="E96" s="17">
        <v>1910.01</v>
      </c>
      <c r="F96" s="17">
        <v>1930.66</v>
      </c>
      <c r="G96" s="17">
        <v>1878.4</v>
      </c>
      <c r="H96" s="17">
        <v>1962.27</v>
      </c>
    </row>
    <row r="97" spans="1:8" x14ac:dyDescent="0.2">
      <c r="A97" s="17">
        <v>140.69999999999999</v>
      </c>
      <c r="C97" s="17">
        <v>1970.68</v>
      </c>
      <c r="E97" s="17">
        <v>1910.61</v>
      </c>
      <c r="F97" s="17">
        <v>1934.25</v>
      </c>
      <c r="G97" s="17">
        <v>1878.02</v>
      </c>
      <c r="H97" s="17">
        <v>1966.84</v>
      </c>
    </row>
    <row r="98" spans="1:8" x14ac:dyDescent="0.2">
      <c r="A98" s="17">
        <v>140.6</v>
      </c>
      <c r="C98" s="17">
        <v>1841.27</v>
      </c>
      <c r="E98" s="17">
        <v>1911.33</v>
      </c>
      <c r="F98" s="17">
        <v>1938.54</v>
      </c>
      <c r="G98" s="17">
        <v>1877.72</v>
      </c>
      <c r="H98" s="17">
        <v>1972.15</v>
      </c>
    </row>
    <row r="99" spans="1:8" x14ac:dyDescent="0.2">
      <c r="A99" s="17">
        <v>140.5</v>
      </c>
      <c r="C99" s="17">
        <v>1967.79</v>
      </c>
      <c r="E99" s="17">
        <v>1912.1</v>
      </c>
      <c r="F99" s="17">
        <v>1943.56</v>
      </c>
      <c r="G99" s="17">
        <v>1877.43</v>
      </c>
      <c r="H99" s="17">
        <v>1978.23</v>
      </c>
    </row>
    <row r="100" spans="1:8" x14ac:dyDescent="0.2">
      <c r="A100" s="17">
        <v>140.4</v>
      </c>
      <c r="C100" s="17">
        <v>1952.68</v>
      </c>
      <c r="E100" s="17">
        <v>1912.79</v>
      </c>
      <c r="F100" s="17">
        <v>1949.28</v>
      </c>
      <c r="G100" s="17">
        <v>1877</v>
      </c>
      <c r="H100" s="17">
        <v>1985.07</v>
      </c>
    </row>
    <row r="101" spans="1:8" x14ac:dyDescent="0.2">
      <c r="A101" s="17">
        <v>140.30000000000001</v>
      </c>
      <c r="C101" s="17">
        <v>2132.9499999999998</v>
      </c>
      <c r="E101" s="17">
        <v>1913.49</v>
      </c>
      <c r="F101" s="17">
        <v>1955.95</v>
      </c>
      <c r="G101" s="17">
        <v>1876.53</v>
      </c>
      <c r="H101" s="17">
        <v>1992.91</v>
      </c>
    </row>
    <row r="102" spans="1:8" x14ac:dyDescent="0.2">
      <c r="A102" s="17">
        <v>140.19999999999999</v>
      </c>
      <c r="C102" s="17">
        <v>2025.74</v>
      </c>
      <c r="E102" s="17">
        <v>1914.15</v>
      </c>
      <c r="F102" s="17">
        <v>1963.65</v>
      </c>
      <c r="G102" s="17">
        <v>1875.96</v>
      </c>
      <c r="H102" s="17">
        <v>2001.85</v>
      </c>
    </row>
    <row r="103" spans="1:8" x14ac:dyDescent="0.2">
      <c r="A103" s="17">
        <v>140.1</v>
      </c>
      <c r="C103" s="17">
        <v>1983.48</v>
      </c>
      <c r="E103" s="17">
        <v>1914.89</v>
      </c>
      <c r="F103" s="17">
        <v>1972.7</v>
      </c>
      <c r="G103" s="17">
        <v>1875.4</v>
      </c>
      <c r="H103" s="17">
        <v>2012.19</v>
      </c>
    </row>
    <row r="104" spans="1:8" x14ac:dyDescent="0.2">
      <c r="A104" s="17">
        <v>140</v>
      </c>
      <c r="C104" s="17">
        <v>1940.32</v>
      </c>
      <c r="E104" s="17">
        <v>1915.63</v>
      </c>
      <c r="F104" s="17">
        <v>1983.18</v>
      </c>
      <c r="G104" s="17">
        <v>1874.78</v>
      </c>
      <c r="H104" s="17">
        <v>2024.03</v>
      </c>
    </row>
    <row r="105" spans="1:8" x14ac:dyDescent="0.2">
      <c r="A105" s="17">
        <v>139.9</v>
      </c>
      <c r="C105" s="17">
        <v>2049.33</v>
      </c>
      <c r="E105" s="17">
        <v>1916.45</v>
      </c>
      <c r="F105" s="17">
        <v>1995.39</v>
      </c>
      <c r="G105" s="17">
        <v>1874.16</v>
      </c>
      <c r="H105" s="17">
        <v>2037.68</v>
      </c>
    </row>
    <row r="106" spans="1:8" x14ac:dyDescent="0.2">
      <c r="A106" s="17">
        <v>139.80000000000001</v>
      </c>
      <c r="C106" s="17">
        <v>2115.7600000000002</v>
      </c>
      <c r="E106" s="17">
        <v>1917.4</v>
      </c>
      <c r="F106" s="17">
        <v>2009.58</v>
      </c>
      <c r="G106" s="17">
        <v>1873.6</v>
      </c>
      <c r="H106" s="17">
        <v>2053.38</v>
      </c>
    </row>
    <row r="107" spans="1:8" x14ac:dyDescent="0.2">
      <c r="A107" s="17">
        <v>139.69999999999999</v>
      </c>
      <c r="C107" s="17">
        <v>1943.39</v>
      </c>
      <c r="E107" s="17">
        <v>1918.41</v>
      </c>
      <c r="F107" s="17">
        <v>2025.87</v>
      </c>
      <c r="G107" s="17">
        <v>1872.99</v>
      </c>
      <c r="H107" s="17">
        <v>2071.29</v>
      </c>
    </row>
    <row r="108" spans="1:8" x14ac:dyDescent="0.2">
      <c r="A108" s="17">
        <v>139.6</v>
      </c>
      <c r="C108" s="17">
        <v>2037.12</v>
      </c>
      <c r="E108" s="17">
        <v>1919.36</v>
      </c>
      <c r="F108" s="17">
        <v>2044.39</v>
      </c>
      <c r="G108" s="17">
        <v>1872.24</v>
      </c>
      <c r="H108" s="17">
        <v>2091.5100000000002</v>
      </c>
    </row>
    <row r="109" spans="1:8" x14ac:dyDescent="0.2">
      <c r="A109" s="17">
        <v>139.5</v>
      </c>
      <c r="C109" s="17">
        <v>2156.36</v>
      </c>
      <c r="E109" s="17">
        <v>1920.37</v>
      </c>
      <c r="F109" s="17">
        <v>2065.4499999999998</v>
      </c>
      <c r="G109" s="17">
        <v>1871.43</v>
      </c>
      <c r="H109" s="17">
        <v>2114.39</v>
      </c>
    </row>
    <row r="110" spans="1:8" x14ac:dyDescent="0.2">
      <c r="A110" s="17">
        <v>139.4</v>
      </c>
      <c r="C110" s="17">
        <v>2119.36</v>
      </c>
      <c r="E110" s="17">
        <v>1921.51</v>
      </c>
      <c r="F110" s="17">
        <v>2089.3200000000002</v>
      </c>
      <c r="G110" s="17">
        <v>1870.63</v>
      </c>
      <c r="H110" s="17">
        <v>2140.1999999999998</v>
      </c>
    </row>
    <row r="111" spans="1:8" x14ac:dyDescent="0.2">
      <c r="A111" s="17">
        <v>139.30000000000001</v>
      </c>
      <c r="C111" s="17">
        <v>2096</v>
      </c>
      <c r="E111" s="17">
        <v>1922.62</v>
      </c>
      <c r="F111" s="17">
        <v>2116.0300000000002</v>
      </c>
      <c r="G111" s="17">
        <v>1869.65</v>
      </c>
      <c r="H111" s="17">
        <v>2168.9899999999998</v>
      </c>
    </row>
    <row r="112" spans="1:8" x14ac:dyDescent="0.2">
      <c r="A112" s="17">
        <v>139.19999999999999</v>
      </c>
      <c r="C112" s="17">
        <v>2189</v>
      </c>
      <c r="E112" s="17">
        <v>1923.69</v>
      </c>
      <c r="F112" s="17">
        <v>2145.6999999999998</v>
      </c>
      <c r="G112" s="17">
        <v>1868.47</v>
      </c>
      <c r="H112" s="17">
        <v>2200.91</v>
      </c>
    </row>
    <row r="113" spans="1:8" x14ac:dyDescent="0.2">
      <c r="A113" s="17">
        <v>139.1</v>
      </c>
      <c r="C113" s="17">
        <v>2315.52</v>
      </c>
      <c r="E113" s="17">
        <v>1924.84</v>
      </c>
      <c r="F113" s="17">
        <v>2178.58</v>
      </c>
      <c r="G113" s="17">
        <v>1867.2</v>
      </c>
      <c r="H113" s="17">
        <v>2236.23</v>
      </c>
    </row>
    <row r="114" spans="1:8" x14ac:dyDescent="0.2">
      <c r="A114" s="17">
        <v>139</v>
      </c>
      <c r="C114" s="17">
        <v>2289.2600000000002</v>
      </c>
      <c r="E114" s="17">
        <v>1926.05</v>
      </c>
      <c r="F114" s="17">
        <v>2214.69</v>
      </c>
      <c r="G114" s="17">
        <v>1865.75</v>
      </c>
      <c r="H114" s="17">
        <v>2274.98</v>
      </c>
    </row>
    <row r="115" spans="1:8" x14ac:dyDescent="0.2">
      <c r="A115" s="17">
        <v>138.9</v>
      </c>
      <c r="C115" s="17">
        <v>2360.25</v>
      </c>
      <c r="E115" s="17">
        <v>1927.25</v>
      </c>
      <c r="F115" s="17">
        <v>2253.98</v>
      </c>
      <c r="G115" s="17">
        <v>1864.05</v>
      </c>
      <c r="H115" s="17">
        <v>2317.1799999999998</v>
      </c>
    </row>
    <row r="116" spans="1:8" x14ac:dyDescent="0.2">
      <c r="A116" s="17">
        <v>138.80000000000001</v>
      </c>
      <c r="C116" s="17">
        <v>2447.1799999999998</v>
      </c>
      <c r="E116" s="17">
        <v>1928.6</v>
      </c>
      <c r="F116" s="17">
        <v>2296.5100000000002</v>
      </c>
      <c r="G116" s="17">
        <v>1862.18</v>
      </c>
      <c r="H116" s="17">
        <v>2362.9299999999998</v>
      </c>
    </row>
    <row r="117" spans="1:8" x14ac:dyDescent="0.2">
      <c r="A117" s="17">
        <v>138.69999999999999</v>
      </c>
      <c r="C117" s="17">
        <v>2405.2800000000002</v>
      </c>
      <c r="E117" s="17">
        <v>1930.21</v>
      </c>
      <c r="F117" s="17">
        <v>2342.2800000000002</v>
      </c>
      <c r="G117" s="17">
        <v>1860.23</v>
      </c>
      <c r="H117" s="17">
        <v>2412.2600000000002</v>
      </c>
    </row>
    <row r="118" spans="1:8" x14ac:dyDescent="0.2">
      <c r="A118" s="17">
        <v>138.6</v>
      </c>
      <c r="C118" s="17">
        <v>2431.42</v>
      </c>
      <c r="E118" s="17">
        <v>1932.08</v>
      </c>
      <c r="F118" s="17">
        <v>2391.0100000000002</v>
      </c>
      <c r="G118" s="17">
        <v>1858.11</v>
      </c>
      <c r="H118" s="17">
        <v>2464.98</v>
      </c>
    </row>
    <row r="119" spans="1:8" x14ac:dyDescent="0.2">
      <c r="A119" s="17">
        <v>138.5</v>
      </c>
      <c r="C119" s="17">
        <v>2522.42</v>
      </c>
      <c r="E119" s="17">
        <v>1934.27</v>
      </c>
      <c r="F119" s="17">
        <v>2442.44</v>
      </c>
      <c r="G119" s="17">
        <v>1855.81</v>
      </c>
      <c r="H119" s="17">
        <v>2520.9</v>
      </c>
    </row>
    <row r="120" spans="1:8" x14ac:dyDescent="0.2">
      <c r="A120" s="17">
        <v>138.4</v>
      </c>
      <c r="C120" s="17">
        <v>2611.56</v>
      </c>
      <c r="E120" s="17">
        <v>1936.9</v>
      </c>
      <c r="F120" s="17">
        <v>2496.2199999999998</v>
      </c>
      <c r="G120" s="17">
        <v>1853.35</v>
      </c>
      <c r="H120" s="17">
        <v>2579.7800000000002</v>
      </c>
    </row>
    <row r="121" spans="1:8" x14ac:dyDescent="0.2">
      <c r="A121" s="17">
        <v>138.30000000000001</v>
      </c>
      <c r="C121" s="17">
        <v>2656.78</v>
      </c>
      <c r="E121" s="17">
        <v>1940.01</v>
      </c>
      <c r="F121" s="17">
        <v>2551.83</v>
      </c>
      <c r="G121" s="17">
        <v>1850.63</v>
      </c>
      <c r="H121" s="17">
        <v>2641.21</v>
      </c>
    </row>
    <row r="122" spans="1:8" x14ac:dyDescent="0.2">
      <c r="A122" s="17">
        <v>138.19999999999999</v>
      </c>
      <c r="C122" s="17">
        <v>2750.86</v>
      </c>
      <c r="E122" s="17">
        <v>1943.69</v>
      </c>
      <c r="F122" s="17">
        <v>2608.6799999999998</v>
      </c>
      <c r="G122" s="17">
        <v>1847.64</v>
      </c>
      <c r="H122" s="17">
        <v>2704.73</v>
      </c>
    </row>
    <row r="123" spans="1:8" x14ac:dyDescent="0.2">
      <c r="A123" s="17">
        <v>138.1</v>
      </c>
      <c r="C123" s="17">
        <v>2803.6</v>
      </c>
      <c r="E123" s="17">
        <v>1948.21</v>
      </c>
      <c r="F123" s="17">
        <v>2666.22</v>
      </c>
      <c r="G123" s="17">
        <v>1844.49</v>
      </c>
      <c r="H123" s="17">
        <v>2769.95</v>
      </c>
    </row>
    <row r="124" spans="1:8" x14ac:dyDescent="0.2">
      <c r="A124" s="17">
        <v>138</v>
      </c>
      <c r="C124" s="17">
        <v>2752.62</v>
      </c>
      <c r="E124" s="17">
        <v>1953.73</v>
      </c>
      <c r="F124" s="17">
        <v>2723.66</v>
      </c>
      <c r="G124" s="17">
        <v>1841.13</v>
      </c>
      <c r="H124" s="17">
        <v>2836.25</v>
      </c>
    </row>
    <row r="125" spans="1:8" x14ac:dyDescent="0.2">
      <c r="A125" s="17">
        <v>137.9</v>
      </c>
      <c r="C125" s="17">
        <v>2874.8</v>
      </c>
      <c r="E125" s="17">
        <v>1960.4</v>
      </c>
      <c r="F125" s="17">
        <v>2780.06</v>
      </c>
      <c r="G125" s="17">
        <v>1837.52</v>
      </c>
      <c r="H125" s="17">
        <v>2902.93</v>
      </c>
    </row>
    <row r="126" spans="1:8" x14ac:dyDescent="0.2">
      <c r="A126" s="17">
        <v>137.80000000000001</v>
      </c>
      <c r="C126" s="17">
        <v>3001.85</v>
      </c>
      <c r="E126" s="17">
        <v>1968.5</v>
      </c>
      <c r="F126" s="17">
        <v>2834.5</v>
      </c>
      <c r="G126" s="17">
        <v>1833.7</v>
      </c>
      <c r="H126" s="17">
        <v>2969.3</v>
      </c>
    </row>
    <row r="127" spans="1:8" x14ac:dyDescent="0.2">
      <c r="A127" s="17">
        <v>137.69999999999999</v>
      </c>
      <c r="C127" s="17">
        <v>3027.62</v>
      </c>
      <c r="E127" s="17">
        <v>1978.37</v>
      </c>
      <c r="F127" s="17">
        <v>2885.99</v>
      </c>
      <c r="G127" s="17">
        <v>1829.74</v>
      </c>
      <c r="H127" s="17">
        <v>3034.61</v>
      </c>
    </row>
    <row r="128" spans="1:8" x14ac:dyDescent="0.2">
      <c r="A128" s="17">
        <v>137.6</v>
      </c>
      <c r="C128" s="17">
        <v>2986.32</v>
      </c>
      <c r="E128" s="17">
        <v>1990.21</v>
      </c>
      <c r="F128" s="17">
        <v>2933.28</v>
      </c>
      <c r="G128" s="17">
        <v>1825.55</v>
      </c>
      <c r="H128" s="17">
        <v>3097.93</v>
      </c>
    </row>
    <row r="129" spans="1:8" x14ac:dyDescent="0.2">
      <c r="A129" s="17">
        <v>137.5</v>
      </c>
      <c r="C129" s="17">
        <v>3060.67</v>
      </c>
      <c r="E129" s="17">
        <v>2004.36</v>
      </c>
      <c r="F129" s="17">
        <v>2975.19</v>
      </c>
      <c r="G129" s="17">
        <v>1821.14</v>
      </c>
      <c r="H129" s="17">
        <v>3158.41</v>
      </c>
    </row>
    <row r="130" spans="1:8" x14ac:dyDescent="0.2">
      <c r="A130" s="17">
        <v>137.4</v>
      </c>
      <c r="C130" s="17">
        <v>3169.89</v>
      </c>
      <c r="E130" s="17">
        <v>2021.17</v>
      </c>
      <c r="F130" s="17">
        <v>3010.57</v>
      </c>
      <c r="G130" s="17">
        <v>1816.53</v>
      </c>
      <c r="H130" s="17">
        <v>3215.21</v>
      </c>
    </row>
    <row r="131" spans="1:8" x14ac:dyDescent="0.2">
      <c r="A131" s="17">
        <v>137.30000000000001</v>
      </c>
      <c r="C131" s="17">
        <v>3264.78</v>
      </c>
      <c r="E131" s="17">
        <v>2041.01</v>
      </c>
      <c r="F131" s="17">
        <v>3038.26</v>
      </c>
      <c r="G131" s="17">
        <v>1811.71</v>
      </c>
      <c r="H131" s="17">
        <v>3267.56</v>
      </c>
    </row>
    <row r="132" spans="1:8" x14ac:dyDescent="0.2">
      <c r="A132" s="17">
        <v>137.19999999999999</v>
      </c>
      <c r="C132" s="17">
        <v>3295.55</v>
      </c>
      <c r="E132" s="17">
        <v>2064.14</v>
      </c>
      <c r="F132" s="17">
        <v>3057.14</v>
      </c>
      <c r="G132" s="17">
        <v>1806.57</v>
      </c>
      <c r="H132" s="17">
        <v>3314.71</v>
      </c>
    </row>
    <row r="133" spans="1:8" x14ac:dyDescent="0.2">
      <c r="A133" s="17">
        <v>137.1</v>
      </c>
      <c r="C133" s="17">
        <v>3436.58</v>
      </c>
      <c r="E133" s="17">
        <v>2091.06</v>
      </c>
      <c r="F133" s="17">
        <v>3066.53</v>
      </c>
      <c r="G133" s="17">
        <v>1801.2</v>
      </c>
      <c r="H133" s="17">
        <v>3356.39</v>
      </c>
    </row>
    <row r="134" spans="1:8" x14ac:dyDescent="0.2">
      <c r="A134" s="17">
        <v>137</v>
      </c>
      <c r="C134" s="17">
        <v>3337.95</v>
      </c>
      <c r="E134" s="17">
        <v>2122.17</v>
      </c>
      <c r="F134" s="17">
        <v>3065.94</v>
      </c>
      <c r="G134" s="17">
        <v>1795.63</v>
      </c>
      <c r="H134" s="17">
        <v>3392.47</v>
      </c>
    </row>
    <row r="135" spans="1:8" x14ac:dyDescent="0.2">
      <c r="A135" s="17">
        <v>136.9</v>
      </c>
      <c r="C135" s="17">
        <v>3438.82</v>
      </c>
      <c r="E135" s="17">
        <v>2157.89</v>
      </c>
      <c r="F135" s="17">
        <v>3055.25</v>
      </c>
      <c r="G135" s="17">
        <v>1789.92</v>
      </c>
      <c r="H135" s="17">
        <v>3423.22</v>
      </c>
    </row>
    <row r="136" spans="1:8" x14ac:dyDescent="0.2">
      <c r="A136" s="17">
        <v>136.80000000000001</v>
      </c>
      <c r="C136" s="17">
        <v>3438.9</v>
      </c>
      <c r="E136" s="17">
        <v>2198.56</v>
      </c>
      <c r="F136" s="17">
        <v>3034.62</v>
      </c>
      <c r="G136" s="17">
        <v>1784.05</v>
      </c>
      <c r="H136" s="17">
        <v>3449.13</v>
      </c>
    </row>
    <row r="137" spans="1:8" x14ac:dyDescent="0.2">
      <c r="A137" s="17">
        <v>136.69999999999999</v>
      </c>
      <c r="C137" s="17">
        <v>3504.98</v>
      </c>
      <c r="E137" s="17">
        <v>2244.63</v>
      </c>
      <c r="F137" s="17">
        <v>3004.69</v>
      </c>
      <c r="G137" s="17">
        <v>1778.15</v>
      </c>
      <c r="H137" s="17">
        <v>3471.17</v>
      </c>
    </row>
    <row r="138" spans="1:8" x14ac:dyDescent="0.2">
      <c r="A138" s="17">
        <v>136.6</v>
      </c>
      <c r="C138" s="17">
        <v>3435.15</v>
      </c>
      <c r="E138" s="17">
        <v>2296.2399999999998</v>
      </c>
      <c r="F138" s="17">
        <v>2966.17</v>
      </c>
      <c r="G138" s="17">
        <v>1772.13</v>
      </c>
      <c r="H138" s="17">
        <v>3490.28</v>
      </c>
    </row>
    <row r="139" spans="1:8" x14ac:dyDescent="0.2">
      <c r="A139" s="17">
        <v>136.5</v>
      </c>
      <c r="C139" s="17">
        <v>3482.72</v>
      </c>
      <c r="E139" s="17">
        <v>2353.58</v>
      </c>
      <c r="F139" s="17">
        <v>2920.05</v>
      </c>
      <c r="G139" s="17">
        <v>1766</v>
      </c>
      <c r="H139" s="17">
        <v>3507.63</v>
      </c>
    </row>
    <row r="140" spans="1:8" x14ac:dyDescent="0.2">
      <c r="A140" s="17">
        <v>136.4</v>
      </c>
      <c r="C140" s="17">
        <v>3579.07</v>
      </c>
      <c r="E140" s="17">
        <v>2416.8000000000002</v>
      </c>
      <c r="F140" s="17">
        <v>2867.51</v>
      </c>
      <c r="G140" s="17">
        <v>1759.79</v>
      </c>
      <c r="H140" s="17">
        <v>3524.52</v>
      </c>
    </row>
    <row r="141" spans="1:8" x14ac:dyDescent="0.2">
      <c r="A141" s="17">
        <v>136.30000000000001</v>
      </c>
      <c r="C141" s="17">
        <v>3515.46</v>
      </c>
      <c r="E141" s="17">
        <v>2485.87</v>
      </c>
      <c r="F141" s="17">
        <v>2809.74</v>
      </c>
      <c r="G141" s="17">
        <v>1753.5</v>
      </c>
      <c r="H141" s="17">
        <v>3542.11</v>
      </c>
    </row>
    <row r="142" spans="1:8" x14ac:dyDescent="0.2">
      <c r="A142" s="17">
        <v>136.19999999999999</v>
      </c>
      <c r="C142" s="17">
        <v>3582.33</v>
      </c>
      <c r="E142" s="17">
        <v>2560.5700000000002</v>
      </c>
      <c r="F142" s="17">
        <v>2747.84</v>
      </c>
      <c r="G142" s="17">
        <v>1747.04</v>
      </c>
      <c r="H142" s="17">
        <v>3561.36</v>
      </c>
    </row>
    <row r="143" spans="1:8" x14ac:dyDescent="0.2">
      <c r="A143" s="17">
        <v>136.1</v>
      </c>
      <c r="C143" s="17">
        <v>3660.72</v>
      </c>
      <c r="E143" s="17">
        <v>2640.58</v>
      </c>
      <c r="F143" s="17">
        <v>2682.88</v>
      </c>
      <c r="G143" s="17">
        <v>1740.35</v>
      </c>
      <c r="H143" s="17">
        <v>3583.12</v>
      </c>
    </row>
    <row r="144" spans="1:8" x14ac:dyDescent="0.2">
      <c r="A144" s="17">
        <v>136</v>
      </c>
      <c r="C144" s="17">
        <v>3773.56</v>
      </c>
      <c r="E144" s="17">
        <v>2725.6</v>
      </c>
      <c r="F144" s="17">
        <v>2616.0500000000002</v>
      </c>
      <c r="G144" s="17">
        <v>1733.53</v>
      </c>
      <c r="H144" s="17">
        <v>3608.13</v>
      </c>
    </row>
    <row r="145" spans="1:8" x14ac:dyDescent="0.2">
      <c r="A145" s="17">
        <v>135.9</v>
      </c>
      <c r="C145" s="17">
        <v>3732.09</v>
      </c>
      <c r="E145" s="17">
        <v>2814.97</v>
      </c>
      <c r="F145" s="17">
        <v>2548.21</v>
      </c>
      <c r="G145" s="17">
        <v>1726.47</v>
      </c>
      <c r="H145" s="17">
        <v>3636.71</v>
      </c>
    </row>
    <row r="146" spans="1:8" x14ac:dyDescent="0.2">
      <c r="A146" s="17">
        <v>135.80000000000001</v>
      </c>
      <c r="C146" s="17">
        <v>3814.61</v>
      </c>
      <c r="E146" s="17">
        <v>2908</v>
      </c>
      <c r="F146" s="17">
        <v>2480.2800000000002</v>
      </c>
      <c r="G146" s="17">
        <v>1719.24</v>
      </c>
      <c r="H146" s="17">
        <v>3669.04</v>
      </c>
    </row>
    <row r="147" spans="1:8" x14ac:dyDescent="0.2">
      <c r="A147" s="17">
        <v>135.69999999999999</v>
      </c>
      <c r="C147" s="17">
        <v>3808.21</v>
      </c>
      <c r="E147" s="17">
        <v>3003.91</v>
      </c>
      <c r="F147" s="17">
        <v>2413.13</v>
      </c>
      <c r="G147" s="17">
        <v>1711.93</v>
      </c>
      <c r="H147" s="17">
        <v>3705.11</v>
      </c>
    </row>
    <row r="148" spans="1:8" x14ac:dyDescent="0.2">
      <c r="A148" s="17">
        <v>135.6</v>
      </c>
      <c r="C148" s="17">
        <v>3722.99</v>
      </c>
      <c r="E148" s="17">
        <v>3101.66</v>
      </c>
      <c r="F148" s="17">
        <v>2347.4899999999998</v>
      </c>
      <c r="G148" s="17">
        <v>1704.61</v>
      </c>
      <c r="H148" s="17">
        <v>3744.54</v>
      </c>
    </row>
    <row r="149" spans="1:8" x14ac:dyDescent="0.2">
      <c r="A149" s="17">
        <v>135.5</v>
      </c>
      <c r="C149" s="17">
        <v>3762.51</v>
      </c>
      <c r="E149" s="17">
        <v>3199.94</v>
      </c>
      <c r="F149" s="17">
        <v>2283.84</v>
      </c>
      <c r="G149" s="17">
        <v>1697.22</v>
      </c>
      <c r="H149" s="17">
        <v>3786.56</v>
      </c>
    </row>
    <row r="150" spans="1:8" x14ac:dyDescent="0.2">
      <c r="A150" s="17">
        <v>135.4</v>
      </c>
      <c r="C150" s="17">
        <v>3809.61</v>
      </c>
      <c r="E150" s="17">
        <v>3297.2</v>
      </c>
      <c r="F150" s="17">
        <v>2222.56</v>
      </c>
      <c r="G150" s="17">
        <v>1689.66</v>
      </c>
      <c r="H150" s="17">
        <v>3830.1</v>
      </c>
    </row>
    <row r="151" spans="1:8" x14ac:dyDescent="0.2">
      <c r="A151" s="17">
        <v>135.30000000000001</v>
      </c>
      <c r="C151" s="17">
        <v>4009.03</v>
      </c>
      <c r="E151" s="17">
        <v>3391.96</v>
      </c>
      <c r="F151" s="17">
        <v>2164.11</v>
      </c>
      <c r="G151" s="17">
        <v>1682.06</v>
      </c>
      <c r="H151" s="17">
        <v>3874.01</v>
      </c>
    </row>
    <row r="152" spans="1:8" x14ac:dyDescent="0.2">
      <c r="A152" s="17">
        <v>135.19999999999999</v>
      </c>
      <c r="C152" s="17">
        <v>3823.38</v>
      </c>
      <c r="E152" s="17">
        <v>3482.33</v>
      </c>
      <c r="F152" s="17">
        <v>2108.6799999999998</v>
      </c>
      <c r="G152" s="17">
        <v>1674.35</v>
      </c>
      <c r="H152" s="17">
        <v>3916.66</v>
      </c>
    </row>
    <row r="153" spans="1:8" x14ac:dyDescent="0.2">
      <c r="A153" s="17">
        <v>135.1</v>
      </c>
      <c r="C153" s="17">
        <v>3864.43</v>
      </c>
      <c r="E153" s="17">
        <v>3566.34</v>
      </c>
      <c r="F153" s="17">
        <v>2056.41</v>
      </c>
      <c r="G153" s="17">
        <v>1666.48</v>
      </c>
      <c r="H153" s="17">
        <v>3956.27</v>
      </c>
    </row>
    <row r="154" spans="1:8" x14ac:dyDescent="0.2">
      <c r="A154" s="17">
        <v>135</v>
      </c>
      <c r="C154" s="17">
        <v>3934.86</v>
      </c>
      <c r="E154" s="17">
        <v>3642.03</v>
      </c>
      <c r="F154" s="17">
        <v>2007.48</v>
      </c>
      <c r="G154" s="17">
        <v>1658.54</v>
      </c>
      <c r="H154" s="17">
        <v>3990.97</v>
      </c>
    </row>
    <row r="155" spans="1:8" x14ac:dyDescent="0.2">
      <c r="A155" s="17">
        <v>134.9</v>
      </c>
      <c r="C155" s="17">
        <v>3884.95</v>
      </c>
      <c r="E155" s="17">
        <v>3707.38</v>
      </c>
      <c r="F155" s="17">
        <v>1961.95</v>
      </c>
      <c r="G155" s="17">
        <v>1650.57</v>
      </c>
      <c r="H155" s="17">
        <v>4018.76</v>
      </c>
    </row>
    <row r="156" spans="1:8" x14ac:dyDescent="0.2">
      <c r="A156" s="17">
        <v>134.80000000000001</v>
      </c>
      <c r="C156" s="17">
        <v>4003.83</v>
      </c>
      <c r="E156" s="17">
        <v>3760.26</v>
      </c>
      <c r="F156" s="17">
        <v>1919.69</v>
      </c>
      <c r="G156" s="17">
        <v>1642.46</v>
      </c>
      <c r="H156" s="17">
        <v>4037.49</v>
      </c>
    </row>
    <row r="157" spans="1:8" x14ac:dyDescent="0.2">
      <c r="A157" s="17">
        <v>134.69999999999999</v>
      </c>
      <c r="C157" s="17">
        <v>3994.42</v>
      </c>
      <c r="E157" s="17">
        <v>3798.87</v>
      </c>
      <c r="F157" s="17">
        <v>1880.59</v>
      </c>
      <c r="G157" s="17">
        <v>1634.21</v>
      </c>
      <c r="H157" s="17">
        <v>4045.24</v>
      </c>
    </row>
    <row r="158" spans="1:8" x14ac:dyDescent="0.2">
      <c r="A158" s="17">
        <v>134.6</v>
      </c>
      <c r="C158" s="17">
        <v>4021</v>
      </c>
      <c r="E158" s="17">
        <v>3821.75</v>
      </c>
      <c r="F158" s="17">
        <v>1844.59</v>
      </c>
      <c r="G158" s="17">
        <v>1625.89</v>
      </c>
      <c r="H158" s="17">
        <v>4040.45</v>
      </c>
    </row>
    <row r="159" spans="1:8" x14ac:dyDescent="0.2">
      <c r="A159" s="17">
        <v>134.5</v>
      </c>
      <c r="C159" s="17">
        <v>3998.35</v>
      </c>
      <c r="E159" s="17">
        <v>3827.83</v>
      </c>
      <c r="F159" s="17">
        <v>1811.5</v>
      </c>
      <c r="G159" s="17">
        <v>1617.48</v>
      </c>
      <c r="H159" s="17">
        <v>4021.85</v>
      </c>
    </row>
    <row r="160" spans="1:8" x14ac:dyDescent="0.2">
      <c r="A160" s="17">
        <v>134.4</v>
      </c>
      <c r="C160" s="17">
        <v>3985.41</v>
      </c>
      <c r="E160" s="17">
        <v>3816.77</v>
      </c>
      <c r="F160" s="17">
        <v>1781.28</v>
      </c>
      <c r="G160" s="17">
        <v>1609.12</v>
      </c>
      <c r="H160" s="17">
        <v>3988.92</v>
      </c>
    </row>
    <row r="161" spans="1:8" x14ac:dyDescent="0.2">
      <c r="A161" s="17">
        <v>134.30000000000001</v>
      </c>
      <c r="C161" s="17">
        <v>3872.66</v>
      </c>
      <c r="E161" s="17">
        <v>3788.73</v>
      </c>
      <c r="F161" s="17">
        <v>1753.79</v>
      </c>
      <c r="G161" s="17">
        <v>1600.92</v>
      </c>
      <c r="H161" s="17">
        <v>3941.61</v>
      </c>
    </row>
    <row r="162" spans="1:8" x14ac:dyDescent="0.2">
      <c r="A162" s="17">
        <v>134.19999999999999</v>
      </c>
      <c r="C162" s="17">
        <v>3752.15</v>
      </c>
      <c r="E162" s="17">
        <v>3744.38</v>
      </c>
      <c r="F162" s="17">
        <v>1728.79</v>
      </c>
      <c r="G162" s="17">
        <v>1592.81</v>
      </c>
      <c r="H162" s="17">
        <v>3880.36</v>
      </c>
    </row>
    <row r="163" spans="1:8" x14ac:dyDescent="0.2">
      <c r="A163" s="17">
        <v>134.1</v>
      </c>
      <c r="C163" s="17">
        <v>3832.44</v>
      </c>
      <c r="E163" s="17">
        <v>3684.94</v>
      </c>
      <c r="F163" s="17">
        <v>1706.08</v>
      </c>
      <c r="G163" s="17">
        <v>1584.85</v>
      </c>
      <c r="H163" s="17">
        <v>3806.17</v>
      </c>
    </row>
    <row r="164" spans="1:8" x14ac:dyDescent="0.2">
      <c r="A164" s="17">
        <v>134</v>
      </c>
      <c r="C164" s="17">
        <v>3768.42</v>
      </c>
      <c r="E164" s="17">
        <v>3612.17</v>
      </c>
      <c r="F164" s="17">
        <v>1685.56</v>
      </c>
      <c r="G164" s="17">
        <v>1577.15</v>
      </c>
      <c r="H164" s="17">
        <v>3720.58</v>
      </c>
    </row>
    <row r="165" spans="1:8" x14ac:dyDescent="0.2">
      <c r="A165" s="17">
        <v>133.9</v>
      </c>
      <c r="C165" s="17">
        <v>3566.42</v>
      </c>
      <c r="E165" s="17">
        <v>3527.89</v>
      </c>
      <c r="F165" s="17">
        <v>1666.95</v>
      </c>
      <c r="G165" s="17">
        <v>1569.65</v>
      </c>
      <c r="H165" s="17">
        <v>3625.19</v>
      </c>
    </row>
    <row r="166" spans="1:8" x14ac:dyDescent="0.2">
      <c r="A166" s="17">
        <v>133.80000000000001</v>
      </c>
      <c r="C166" s="17">
        <v>3559.83</v>
      </c>
      <c r="E166" s="17">
        <v>3434.15</v>
      </c>
      <c r="F166" s="17">
        <v>1650.06</v>
      </c>
      <c r="G166" s="17">
        <v>1562.36</v>
      </c>
      <c r="H166" s="17">
        <v>3521.85</v>
      </c>
    </row>
    <row r="167" spans="1:8" x14ac:dyDescent="0.2">
      <c r="A167" s="17">
        <v>133.69999999999999</v>
      </c>
      <c r="C167" s="17">
        <v>3426.09</v>
      </c>
      <c r="E167" s="17">
        <v>3333.13</v>
      </c>
      <c r="F167" s="17">
        <v>1634.79</v>
      </c>
      <c r="G167" s="17">
        <v>1555.38</v>
      </c>
      <c r="H167" s="17">
        <v>3412.54</v>
      </c>
    </row>
    <row r="168" spans="1:8" x14ac:dyDescent="0.2">
      <c r="A168" s="17">
        <v>133.6</v>
      </c>
      <c r="C168" s="17">
        <v>3358.8</v>
      </c>
      <c r="E168" s="17">
        <v>3226.88</v>
      </c>
      <c r="F168" s="17">
        <v>1621.03</v>
      </c>
      <c r="G168" s="17">
        <v>1548.75</v>
      </c>
      <c r="H168" s="17">
        <v>3299.16</v>
      </c>
    </row>
    <row r="169" spans="1:8" x14ac:dyDescent="0.2">
      <c r="A169" s="17">
        <v>133.5</v>
      </c>
      <c r="C169" s="17">
        <v>3226.7</v>
      </c>
      <c r="E169" s="17">
        <v>3117.16</v>
      </c>
      <c r="F169" s="17">
        <v>1608.48</v>
      </c>
      <c r="G169" s="17">
        <v>1542.35</v>
      </c>
      <c r="H169" s="17">
        <v>3183.29</v>
      </c>
    </row>
    <row r="170" spans="1:8" x14ac:dyDescent="0.2">
      <c r="A170" s="17">
        <v>133.4</v>
      </c>
      <c r="C170" s="17">
        <v>3218.2</v>
      </c>
      <c r="E170" s="17">
        <v>3005.86</v>
      </c>
      <c r="F170" s="17">
        <v>1597.12</v>
      </c>
      <c r="G170" s="17">
        <v>1536.3</v>
      </c>
      <c r="H170" s="17">
        <v>3066.68</v>
      </c>
    </row>
    <row r="171" spans="1:8" x14ac:dyDescent="0.2">
      <c r="A171" s="17">
        <v>133.30000000000001</v>
      </c>
      <c r="C171" s="17">
        <v>3032.38</v>
      </c>
      <c r="E171" s="17">
        <v>2894.42</v>
      </c>
      <c r="F171" s="17">
        <v>1586.73</v>
      </c>
      <c r="G171" s="17">
        <v>1530.5</v>
      </c>
      <c r="H171" s="17">
        <v>2950.65</v>
      </c>
    </row>
    <row r="172" spans="1:8" x14ac:dyDescent="0.2">
      <c r="A172" s="17">
        <v>133.19999999999999</v>
      </c>
      <c r="C172" s="17">
        <v>3056.58</v>
      </c>
      <c r="E172" s="17">
        <v>2784.43</v>
      </c>
      <c r="F172" s="17">
        <v>1577.38</v>
      </c>
      <c r="G172" s="17">
        <v>1525.12</v>
      </c>
      <c r="H172" s="17">
        <v>2836.68</v>
      </c>
    </row>
    <row r="173" spans="1:8" x14ac:dyDescent="0.2">
      <c r="A173" s="17">
        <v>133.1</v>
      </c>
      <c r="C173" s="17">
        <v>2715.39</v>
      </c>
      <c r="E173" s="17">
        <v>2677.01</v>
      </c>
      <c r="F173" s="17">
        <v>1568.89</v>
      </c>
      <c r="G173" s="17">
        <v>1520.1</v>
      </c>
      <c r="H173" s="17">
        <v>2725.8</v>
      </c>
    </row>
    <row r="174" spans="1:8" x14ac:dyDescent="0.2">
      <c r="A174" s="17">
        <v>133</v>
      </c>
      <c r="C174" s="17">
        <v>2709.66</v>
      </c>
      <c r="E174" s="17">
        <v>2573.2800000000002</v>
      </c>
      <c r="F174" s="17">
        <v>1561.27</v>
      </c>
      <c r="G174" s="17">
        <v>1515.51</v>
      </c>
      <c r="H174" s="17">
        <v>2619.04</v>
      </c>
    </row>
    <row r="175" spans="1:8" x14ac:dyDescent="0.2">
      <c r="A175" s="17">
        <v>132.9</v>
      </c>
      <c r="C175" s="17">
        <v>2570.61</v>
      </c>
      <c r="E175" s="17">
        <v>2474.11</v>
      </c>
      <c r="F175" s="17">
        <v>1554.49</v>
      </c>
      <c r="G175" s="17">
        <v>1511.4</v>
      </c>
      <c r="H175" s="17">
        <v>2517.21</v>
      </c>
    </row>
    <row r="176" spans="1:8" x14ac:dyDescent="0.2">
      <c r="A176" s="17">
        <v>132.80000000000001</v>
      </c>
      <c r="C176" s="17">
        <v>2339.1999999999998</v>
      </c>
      <c r="E176" s="17">
        <v>2380.2199999999998</v>
      </c>
      <c r="F176" s="17">
        <v>1548.52</v>
      </c>
      <c r="G176" s="17">
        <v>1507.79</v>
      </c>
      <c r="H176" s="17">
        <v>2420.94</v>
      </c>
    </row>
    <row r="177" spans="1:8" x14ac:dyDescent="0.2">
      <c r="A177" s="17">
        <v>132.69999999999999</v>
      </c>
      <c r="C177" s="17">
        <v>2333.3200000000002</v>
      </c>
      <c r="E177" s="17">
        <v>2291.9</v>
      </c>
      <c r="F177" s="17">
        <v>1543.09</v>
      </c>
      <c r="G177" s="17">
        <v>1504.47</v>
      </c>
      <c r="H177" s="17">
        <v>2330.52</v>
      </c>
    </row>
    <row r="178" spans="1:8" x14ac:dyDescent="0.2">
      <c r="A178" s="17">
        <v>132.6</v>
      </c>
      <c r="C178" s="17">
        <v>2279.02</v>
      </c>
      <c r="E178" s="17">
        <v>2209.6</v>
      </c>
      <c r="F178" s="17">
        <v>1538.26</v>
      </c>
      <c r="G178" s="17">
        <v>1501.54</v>
      </c>
      <c r="H178" s="17">
        <v>2246.33</v>
      </c>
    </row>
    <row r="179" spans="1:8" x14ac:dyDescent="0.2">
      <c r="A179" s="17">
        <v>132.5</v>
      </c>
      <c r="C179" s="17">
        <v>2147.94</v>
      </c>
      <c r="E179" s="17">
        <v>2133.56</v>
      </c>
      <c r="F179" s="17">
        <v>1534</v>
      </c>
      <c r="G179" s="17">
        <v>1498.99</v>
      </c>
      <c r="H179" s="17">
        <v>2168.5700000000002</v>
      </c>
    </row>
    <row r="180" spans="1:8" x14ac:dyDescent="0.2">
      <c r="A180" s="17">
        <v>132.4</v>
      </c>
      <c r="C180" s="17">
        <v>2010.91</v>
      </c>
      <c r="E180" s="17">
        <v>2063.62</v>
      </c>
      <c r="F180" s="17">
        <v>1530.06</v>
      </c>
      <c r="G180" s="17">
        <v>1496.6</v>
      </c>
      <c r="H180" s="17">
        <v>2097.0700000000002</v>
      </c>
    </row>
    <row r="181" spans="1:8" x14ac:dyDescent="0.2">
      <c r="A181" s="17">
        <v>132.30000000000001</v>
      </c>
      <c r="C181" s="17">
        <v>2097.0300000000002</v>
      </c>
      <c r="E181" s="17">
        <v>1999.85</v>
      </c>
      <c r="F181" s="17">
        <v>1526.49</v>
      </c>
      <c r="G181" s="17">
        <v>1494.47</v>
      </c>
      <c r="H181" s="17">
        <v>2031.88</v>
      </c>
    </row>
    <row r="182" spans="1:8" x14ac:dyDescent="0.2">
      <c r="A182" s="17">
        <v>132.19999999999999</v>
      </c>
      <c r="C182" s="17">
        <v>1970.77</v>
      </c>
      <c r="E182" s="17">
        <v>1942.11</v>
      </c>
      <c r="F182" s="17">
        <v>1523.27</v>
      </c>
      <c r="G182" s="17">
        <v>1492.56</v>
      </c>
      <c r="H182" s="17">
        <v>1972.82</v>
      </c>
    </row>
    <row r="183" spans="1:8" x14ac:dyDescent="0.2">
      <c r="A183" s="17">
        <v>132.1</v>
      </c>
      <c r="C183" s="17">
        <v>1947.86</v>
      </c>
      <c r="E183" s="17">
        <v>1890.22</v>
      </c>
      <c r="F183" s="17">
        <v>1520.38</v>
      </c>
      <c r="G183" s="17">
        <v>1490.89</v>
      </c>
      <c r="H183" s="17">
        <v>1919.71</v>
      </c>
    </row>
    <row r="184" spans="1:8" x14ac:dyDescent="0.2">
      <c r="A184" s="17">
        <v>132</v>
      </c>
      <c r="C184" s="17">
        <v>1788.72</v>
      </c>
      <c r="E184" s="17">
        <v>1843.83</v>
      </c>
      <c r="F184" s="17">
        <v>1517.76</v>
      </c>
      <c r="G184" s="17">
        <v>1489.41</v>
      </c>
      <c r="H184" s="17">
        <v>1872.18</v>
      </c>
    </row>
    <row r="185" spans="1:8" x14ac:dyDescent="0.2">
      <c r="A185" s="17">
        <v>131.9</v>
      </c>
      <c r="C185" s="17">
        <v>1749.23</v>
      </c>
      <c r="E185" s="17">
        <v>1802.75</v>
      </c>
      <c r="F185" s="17">
        <v>1515.52</v>
      </c>
      <c r="G185" s="17">
        <v>1488.23</v>
      </c>
      <c r="H185" s="17">
        <v>1830.04</v>
      </c>
    </row>
    <row r="186" spans="1:8" x14ac:dyDescent="0.2">
      <c r="A186" s="17">
        <v>131.80000000000001</v>
      </c>
      <c r="C186" s="17">
        <v>1653.06</v>
      </c>
      <c r="E186" s="17">
        <v>1766.53</v>
      </c>
      <c r="F186" s="17">
        <v>1513.56</v>
      </c>
      <c r="G186" s="17">
        <v>1487.27</v>
      </c>
      <c r="H186" s="17">
        <v>1792.83</v>
      </c>
    </row>
    <row r="187" spans="1:8" x14ac:dyDescent="0.2">
      <c r="A187" s="17">
        <v>131.69999999999999</v>
      </c>
      <c r="C187" s="17">
        <v>1665.77</v>
      </c>
      <c r="E187" s="17">
        <v>1734.78</v>
      </c>
      <c r="F187" s="17">
        <v>1511.86</v>
      </c>
      <c r="G187" s="17">
        <v>1486.5</v>
      </c>
      <c r="H187" s="17">
        <v>1760.14</v>
      </c>
    </row>
    <row r="188" spans="1:8" x14ac:dyDescent="0.2">
      <c r="A188" s="17">
        <v>131.6</v>
      </c>
      <c r="C188" s="17">
        <v>1661.52</v>
      </c>
      <c r="E188" s="17">
        <v>1707.1</v>
      </c>
      <c r="F188" s="17">
        <v>1510.39</v>
      </c>
      <c r="G188" s="17">
        <v>1485.91</v>
      </c>
      <c r="H188" s="17">
        <v>1731.57</v>
      </c>
    </row>
    <row r="189" spans="1:8" x14ac:dyDescent="0.2">
      <c r="A189" s="17">
        <v>131.5</v>
      </c>
      <c r="C189" s="17">
        <v>1530.31</v>
      </c>
      <c r="E189" s="17">
        <v>1682.93</v>
      </c>
      <c r="F189" s="17">
        <v>1508.99</v>
      </c>
      <c r="G189" s="17">
        <v>1485.35</v>
      </c>
      <c r="H189" s="17">
        <v>1706.57</v>
      </c>
    </row>
    <row r="190" spans="1:8" x14ac:dyDescent="0.2">
      <c r="A190" s="17">
        <v>131.4</v>
      </c>
      <c r="C190" s="17">
        <v>1707.47</v>
      </c>
      <c r="E190" s="17">
        <v>1661.89</v>
      </c>
      <c r="F190" s="17">
        <v>1507.64</v>
      </c>
      <c r="G190" s="17">
        <v>1484.8</v>
      </c>
      <c r="H190" s="17">
        <v>1684.73</v>
      </c>
    </row>
    <row r="191" spans="1:8" x14ac:dyDescent="0.2">
      <c r="A191" s="17">
        <v>131.30000000000001</v>
      </c>
      <c r="C191" s="17">
        <v>1647.11</v>
      </c>
      <c r="E191" s="17">
        <v>1643.64</v>
      </c>
      <c r="F191" s="17">
        <v>1506.37</v>
      </c>
      <c r="G191" s="17">
        <v>1484.28</v>
      </c>
      <c r="H191" s="17">
        <v>1665.73</v>
      </c>
    </row>
    <row r="192" spans="1:8" x14ac:dyDescent="0.2">
      <c r="A192" s="17">
        <v>131.19999999999999</v>
      </c>
      <c r="C192" s="17">
        <v>1610.76</v>
      </c>
      <c r="E192" s="17">
        <v>1627.82</v>
      </c>
      <c r="F192" s="17">
        <v>1505.13</v>
      </c>
      <c r="G192" s="17">
        <v>1483.76</v>
      </c>
      <c r="H192" s="17">
        <v>1649.19</v>
      </c>
    </row>
    <row r="193" spans="1:8" x14ac:dyDescent="0.2">
      <c r="A193" s="17">
        <v>131.1</v>
      </c>
      <c r="C193" s="17">
        <v>1655.61</v>
      </c>
      <c r="E193" s="17">
        <v>1614.1</v>
      </c>
      <c r="F193" s="17">
        <v>1503.93</v>
      </c>
      <c r="G193" s="17">
        <v>1483.24</v>
      </c>
      <c r="H193" s="17">
        <v>1634.79</v>
      </c>
    </row>
    <row r="194" spans="1:8" x14ac:dyDescent="0.2">
      <c r="A194" s="17">
        <v>131</v>
      </c>
      <c r="C194" s="17">
        <v>1528.71</v>
      </c>
      <c r="E194" s="17">
        <v>1602.31</v>
      </c>
      <c r="F194" s="17">
        <v>1502.87</v>
      </c>
      <c r="G194" s="17">
        <v>1482.83</v>
      </c>
      <c r="H194" s="17">
        <v>1622.35</v>
      </c>
    </row>
    <row r="195" spans="1:8" x14ac:dyDescent="0.2">
      <c r="A195" s="17">
        <v>130.9</v>
      </c>
      <c r="C195" s="17">
        <v>1555.33</v>
      </c>
      <c r="E195" s="17">
        <v>1592.19</v>
      </c>
      <c r="F195" s="17">
        <v>1501.95</v>
      </c>
      <c r="G195" s="17">
        <v>1482.52</v>
      </c>
      <c r="H195" s="17">
        <v>1611.62</v>
      </c>
    </row>
    <row r="196" spans="1:8" x14ac:dyDescent="0.2">
      <c r="A196" s="17">
        <v>130.80000000000001</v>
      </c>
      <c r="C196" s="17">
        <v>1493.66</v>
      </c>
      <c r="E196" s="17">
        <v>1583.43</v>
      </c>
      <c r="F196" s="17">
        <v>1501.07</v>
      </c>
      <c r="G196" s="17">
        <v>1482.24</v>
      </c>
      <c r="H196" s="17">
        <v>1602.26</v>
      </c>
    </row>
    <row r="197" spans="1:8" x14ac:dyDescent="0.2">
      <c r="A197" s="17">
        <v>130.69999999999999</v>
      </c>
      <c r="C197" s="17">
        <v>1581.97</v>
      </c>
      <c r="E197" s="17">
        <v>1575.86</v>
      </c>
      <c r="F197" s="17">
        <v>1500.27</v>
      </c>
      <c r="G197" s="17">
        <v>1482.01</v>
      </c>
      <c r="H197" s="17">
        <v>1594.12</v>
      </c>
    </row>
    <row r="198" spans="1:8" x14ac:dyDescent="0.2">
      <c r="A198" s="17">
        <v>130.6</v>
      </c>
      <c r="C198" s="17">
        <v>1572.88</v>
      </c>
      <c r="E198" s="17">
        <v>1569.21</v>
      </c>
      <c r="F198" s="17">
        <v>1499.47</v>
      </c>
      <c r="G198" s="17">
        <v>1481.75</v>
      </c>
      <c r="H198" s="17">
        <v>1586.93</v>
      </c>
    </row>
    <row r="199" spans="1:8" x14ac:dyDescent="0.2">
      <c r="A199" s="17">
        <v>130.5</v>
      </c>
      <c r="C199" s="17">
        <v>1576.01</v>
      </c>
      <c r="E199" s="17">
        <v>1563.34</v>
      </c>
      <c r="F199" s="17">
        <v>1498.66</v>
      </c>
      <c r="G199" s="17">
        <v>1481.45</v>
      </c>
      <c r="H199" s="17">
        <v>1580.55</v>
      </c>
    </row>
    <row r="200" spans="1:8" x14ac:dyDescent="0.2">
      <c r="A200" s="17">
        <v>130.4</v>
      </c>
      <c r="C200" s="17">
        <v>1599.36</v>
      </c>
      <c r="E200" s="17">
        <v>1558.03</v>
      </c>
      <c r="F200" s="17">
        <v>1497.75</v>
      </c>
      <c r="G200" s="17">
        <v>1481.04</v>
      </c>
      <c r="H200" s="17">
        <v>1574.74</v>
      </c>
    </row>
    <row r="201" spans="1:8" x14ac:dyDescent="0.2">
      <c r="A201" s="17">
        <v>130.30000000000001</v>
      </c>
      <c r="C201" s="17">
        <v>1660.56</v>
      </c>
      <c r="E201" s="17">
        <v>1553.29</v>
      </c>
      <c r="F201" s="17">
        <v>1496.87</v>
      </c>
      <c r="G201" s="17">
        <v>1480.63</v>
      </c>
      <c r="H201" s="17">
        <v>1569.53</v>
      </c>
    </row>
    <row r="202" spans="1:8" x14ac:dyDescent="0.2">
      <c r="A202" s="17">
        <v>130.19999999999999</v>
      </c>
      <c r="C202" s="17">
        <v>1568.91</v>
      </c>
      <c r="E202" s="17">
        <v>1549.07</v>
      </c>
      <c r="F202" s="17">
        <v>1496.04</v>
      </c>
      <c r="G202" s="17">
        <v>1480.25</v>
      </c>
      <c r="H202" s="17">
        <v>1564.85</v>
      </c>
    </row>
    <row r="203" spans="1:8" x14ac:dyDescent="0.2">
      <c r="A203" s="17">
        <v>130.1</v>
      </c>
      <c r="C203" s="17">
        <v>1533.31</v>
      </c>
      <c r="E203" s="17">
        <v>1545.23</v>
      </c>
      <c r="F203" s="17">
        <v>1495.21</v>
      </c>
      <c r="G203" s="17">
        <v>1479.86</v>
      </c>
      <c r="H203" s="17">
        <v>1560.57</v>
      </c>
    </row>
    <row r="204" spans="1:8" x14ac:dyDescent="0.2">
      <c r="A204" s="17">
        <v>130</v>
      </c>
      <c r="C204" s="17">
        <v>1598.34</v>
      </c>
      <c r="E204" s="17">
        <v>1541.73</v>
      </c>
      <c r="F204" s="17">
        <v>1494.4</v>
      </c>
      <c r="G204" s="17">
        <v>1479.46</v>
      </c>
      <c r="H204" s="17">
        <v>1556.66</v>
      </c>
    </row>
    <row r="205" spans="1:8" x14ac:dyDescent="0.2">
      <c r="A205" s="17">
        <v>129.9</v>
      </c>
      <c r="C205" s="17">
        <v>1592.12</v>
      </c>
      <c r="E205" s="17">
        <v>1538.59</v>
      </c>
      <c r="F205" s="17">
        <v>1493.68</v>
      </c>
      <c r="G205" s="17">
        <v>1479.15</v>
      </c>
      <c r="H205" s="17">
        <v>1553.12</v>
      </c>
    </row>
    <row r="206" spans="1:8" x14ac:dyDescent="0.2">
      <c r="A206" s="17">
        <v>129.80000000000001</v>
      </c>
      <c r="C206" s="17">
        <v>1545.52</v>
      </c>
      <c r="E206" s="17">
        <v>1535.71</v>
      </c>
      <c r="F206" s="17">
        <v>1493</v>
      </c>
      <c r="G206" s="17">
        <v>1478.85</v>
      </c>
      <c r="H206" s="17">
        <v>1549.86</v>
      </c>
    </row>
    <row r="207" spans="1:8" x14ac:dyDescent="0.2">
      <c r="A207" s="17">
        <v>129.69999999999999</v>
      </c>
      <c r="C207" s="17">
        <v>1548.93</v>
      </c>
      <c r="E207" s="17">
        <v>1533.06</v>
      </c>
      <c r="F207" s="17">
        <v>1492.34</v>
      </c>
      <c r="G207" s="17">
        <v>1478.57</v>
      </c>
      <c r="H207" s="17">
        <v>1546.83</v>
      </c>
    </row>
    <row r="208" spans="1:8" x14ac:dyDescent="0.2">
      <c r="A208" s="17">
        <v>129.6</v>
      </c>
      <c r="C208" s="17">
        <v>1508.48</v>
      </c>
      <c r="E208" s="17">
        <v>1530.69</v>
      </c>
      <c r="F208" s="17">
        <v>1491.81</v>
      </c>
      <c r="G208" s="17">
        <v>1478.4</v>
      </c>
      <c r="H208" s="17">
        <v>1544.11</v>
      </c>
    </row>
    <row r="209" spans="1:8" x14ac:dyDescent="0.2">
      <c r="A209" s="17">
        <v>129.5</v>
      </c>
      <c r="C209" s="17">
        <v>1441.21</v>
      </c>
      <c r="E209" s="17">
        <v>1528.52</v>
      </c>
      <c r="F209" s="17">
        <v>1491.33</v>
      </c>
      <c r="G209" s="17">
        <v>1478.26</v>
      </c>
      <c r="H209" s="17">
        <v>1541.59</v>
      </c>
    </row>
    <row r="210" spans="1:8" x14ac:dyDescent="0.2">
      <c r="A210" s="17">
        <v>129.4</v>
      </c>
      <c r="C210" s="17">
        <v>1539.37</v>
      </c>
      <c r="E210" s="17">
        <v>1526.48</v>
      </c>
      <c r="F210" s="17">
        <v>1490.87</v>
      </c>
      <c r="G210" s="17">
        <v>1478.13</v>
      </c>
      <c r="H210" s="17">
        <v>1539.22</v>
      </c>
    </row>
    <row r="211" spans="1:8" x14ac:dyDescent="0.2">
      <c r="A211" s="17">
        <v>129.30000000000001</v>
      </c>
      <c r="C211" s="17">
        <v>1544</v>
      </c>
      <c r="E211" s="17">
        <v>1524.6</v>
      </c>
      <c r="F211" s="17">
        <v>1490.45</v>
      </c>
      <c r="G211" s="17">
        <v>1478.03</v>
      </c>
      <c r="H211" s="17">
        <v>1537.03</v>
      </c>
    </row>
    <row r="212" spans="1:8" x14ac:dyDescent="0.2">
      <c r="A212" s="17">
        <v>129.19999999999999</v>
      </c>
      <c r="C212" s="17">
        <v>1492.23</v>
      </c>
      <c r="E212" s="17">
        <v>1522.77</v>
      </c>
      <c r="F212" s="17">
        <v>1489.99</v>
      </c>
      <c r="G212" s="17">
        <v>1477.87</v>
      </c>
      <c r="H212" s="17">
        <v>1534.89</v>
      </c>
    </row>
    <row r="213" spans="1:8" x14ac:dyDescent="0.2">
      <c r="A213" s="17">
        <v>129.1</v>
      </c>
      <c r="C213" s="17">
        <v>1597.16</v>
      </c>
      <c r="E213" s="17">
        <v>1520.86</v>
      </c>
      <c r="F213" s="17">
        <v>1489.36</v>
      </c>
      <c r="G213" s="17">
        <v>1477.54</v>
      </c>
      <c r="H213" s="17">
        <v>1532.68</v>
      </c>
    </row>
    <row r="214" spans="1:8" x14ac:dyDescent="0.2">
      <c r="A214" s="17">
        <v>129</v>
      </c>
      <c r="C214" s="17">
        <v>1682.26</v>
      </c>
      <c r="E214" s="17">
        <v>1518.98</v>
      </c>
      <c r="F214" s="17">
        <v>1488.69</v>
      </c>
      <c r="G214" s="17">
        <v>1477.16</v>
      </c>
      <c r="H214" s="17">
        <v>1530.52</v>
      </c>
    </row>
    <row r="215" spans="1:8" x14ac:dyDescent="0.2">
      <c r="A215" s="17">
        <v>128.9</v>
      </c>
      <c r="C215" s="17">
        <v>1617.64</v>
      </c>
      <c r="E215" s="17">
        <v>1517.22</v>
      </c>
      <c r="F215" s="17">
        <v>1488.07</v>
      </c>
      <c r="G215" s="17">
        <v>1476.81</v>
      </c>
      <c r="H215" s="17">
        <v>1528.48</v>
      </c>
    </row>
    <row r="216" spans="1:8" x14ac:dyDescent="0.2">
      <c r="A216" s="17">
        <v>128.80000000000001</v>
      </c>
      <c r="C216" s="17">
        <v>1490.56</v>
      </c>
      <c r="E216" s="17">
        <v>1515.48</v>
      </c>
      <c r="F216" s="17">
        <v>1487.41</v>
      </c>
      <c r="G216" s="17">
        <v>1476.41</v>
      </c>
      <c r="H216" s="17">
        <v>1526.48</v>
      </c>
    </row>
    <row r="217" spans="1:8" x14ac:dyDescent="0.2">
      <c r="A217" s="17">
        <v>128.69999999999999</v>
      </c>
      <c r="C217" s="17">
        <v>1558.82</v>
      </c>
      <c r="E217" s="17">
        <v>1513.81</v>
      </c>
      <c r="F217" s="17">
        <v>1486.75</v>
      </c>
      <c r="G217" s="17">
        <v>1476.01</v>
      </c>
      <c r="H217" s="17">
        <v>1524.55</v>
      </c>
    </row>
    <row r="218" spans="1:8" x14ac:dyDescent="0.2">
      <c r="A218" s="17">
        <v>128.6</v>
      </c>
      <c r="C218" s="17">
        <v>1598.01</v>
      </c>
      <c r="E218" s="17">
        <v>1512.3</v>
      </c>
      <c r="F218" s="17">
        <v>1486.21</v>
      </c>
      <c r="G218" s="17">
        <v>1475.72</v>
      </c>
      <c r="H218" s="17">
        <v>1522.8</v>
      </c>
    </row>
    <row r="219" spans="1:8" x14ac:dyDescent="0.2">
      <c r="A219" s="17">
        <v>128.5</v>
      </c>
      <c r="C219" s="17">
        <v>1532.07</v>
      </c>
      <c r="E219" s="17">
        <v>1510.9</v>
      </c>
      <c r="F219" s="17">
        <v>1485.72</v>
      </c>
      <c r="G219" s="17">
        <v>1475.47</v>
      </c>
      <c r="H219" s="17">
        <v>1521.16</v>
      </c>
    </row>
    <row r="220" spans="1:8" x14ac:dyDescent="0.2">
      <c r="A220" s="17">
        <v>128.4</v>
      </c>
      <c r="C220" s="17">
        <v>1551.2</v>
      </c>
      <c r="E220" s="17">
        <v>1509.57</v>
      </c>
      <c r="F220" s="17">
        <v>1485.26</v>
      </c>
      <c r="G220" s="17">
        <v>1475.24</v>
      </c>
      <c r="H220" s="17">
        <v>1519.6</v>
      </c>
    </row>
    <row r="221" spans="1:8" x14ac:dyDescent="0.2">
      <c r="A221" s="17">
        <v>128.30000000000001</v>
      </c>
      <c r="C221" s="17">
        <v>1462.61</v>
      </c>
      <c r="E221" s="17">
        <v>1508.33</v>
      </c>
      <c r="F221" s="17">
        <v>1484.85</v>
      </c>
      <c r="G221" s="17">
        <v>1475.05</v>
      </c>
      <c r="H221" s="17">
        <v>1518.13</v>
      </c>
    </row>
    <row r="222" spans="1:8" x14ac:dyDescent="0.2">
      <c r="A222" s="17">
        <v>128.19999999999999</v>
      </c>
      <c r="C222" s="17">
        <v>1505.86</v>
      </c>
      <c r="E222" s="17">
        <v>1507.24</v>
      </c>
      <c r="F222" s="17">
        <v>1484.55</v>
      </c>
      <c r="G222" s="17">
        <v>1474.97</v>
      </c>
      <c r="H222" s="17">
        <v>1516.83</v>
      </c>
    </row>
    <row r="223" spans="1:8" x14ac:dyDescent="0.2">
      <c r="A223" s="17">
        <v>128.1</v>
      </c>
      <c r="C223" s="17">
        <v>1437.09</v>
      </c>
      <c r="E223" s="17">
        <v>1511.82</v>
      </c>
      <c r="F223" s="17">
        <v>1489.87</v>
      </c>
      <c r="G223" s="17">
        <v>1480.5</v>
      </c>
      <c r="H223" s="17">
        <v>1521.19</v>
      </c>
    </row>
    <row r="224" spans="1:8" x14ac:dyDescent="0.2">
      <c r="A224" s="17">
        <v>128</v>
      </c>
      <c r="C224" s="17">
        <v>1418.08</v>
      </c>
      <c r="E224" s="17">
        <v>1516.43</v>
      </c>
      <c r="F224" s="17">
        <v>1495.2</v>
      </c>
      <c r="G224" s="17">
        <v>1486.03</v>
      </c>
      <c r="H224" s="17">
        <v>1525.6</v>
      </c>
    </row>
    <row r="225" spans="1:8" x14ac:dyDescent="0.2">
      <c r="A225" s="17">
        <v>127.9</v>
      </c>
      <c r="C225" s="17">
        <v>1596.64</v>
      </c>
      <c r="E225" s="17">
        <v>1521.08</v>
      </c>
      <c r="F225" s="17">
        <v>1500.54</v>
      </c>
      <c r="G225" s="17">
        <v>1491.56</v>
      </c>
      <c r="H225" s="17">
        <v>1530.06</v>
      </c>
    </row>
    <row r="226" spans="1:8" x14ac:dyDescent="0.2">
      <c r="A226" s="17">
        <v>127.8</v>
      </c>
      <c r="C226" s="17">
        <v>1568.43</v>
      </c>
      <c r="E226" s="17">
        <v>1525.77</v>
      </c>
      <c r="F226" s="17">
        <v>1505.88</v>
      </c>
      <c r="G226" s="17">
        <v>1497.09</v>
      </c>
      <c r="H226" s="17">
        <v>1534.56</v>
      </c>
    </row>
    <row r="227" spans="1:8" x14ac:dyDescent="0.2">
      <c r="A227" s="17">
        <v>127.7</v>
      </c>
      <c r="C227" s="17">
        <v>1521.64</v>
      </c>
      <c r="E227" s="17">
        <v>1530.5</v>
      </c>
      <c r="F227" s="17">
        <v>1511.23</v>
      </c>
      <c r="G227" s="17">
        <v>1502.62</v>
      </c>
      <c r="H227" s="17">
        <v>1539.1</v>
      </c>
    </row>
    <row r="228" spans="1:8" x14ac:dyDescent="0.2">
      <c r="A228" s="17">
        <v>127.6</v>
      </c>
      <c r="C228" s="17">
        <v>1497.34</v>
      </c>
      <c r="E228" s="17">
        <v>1535.25</v>
      </c>
      <c r="F228" s="17">
        <v>1516.58</v>
      </c>
      <c r="G228" s="17">
        <v>1508.15</v>
      </c>
      <c r="H228" s="17">
        <v>1543.68</v>
      </c>
    </row>
    <row r="229" spans="1:8" x14ac:dyDescent="0.2">
      <c r="A229" s="17">
        <v>127.5</v>
      </c>
      <c r="C229" s="17">
        <v>1586.97</v>
      </c>
      <c r="E229" s="17">
        <v>1540.04</v>
      </c>
      <c r="F229" s="17">
        <v>1521.94</v>
      </c>
      <c r="G229" s="17">
        <v>1513.68</v>
      </c>
      <c r="H229" s="17">
        <v>1548.3</v>
      </c>
    </row>
    <row r="230" spans="1:8" x14ac:dyDescent="0.2">
      <c r="A230" s="17">
        <v>127.4</v>
      </c>
      <c r="C230" s="17">
        <v>1592.07</v>
      </c>
      <c r="E230" s="17">
        <v>1544.86</v>
      </c>
      <c r="F230" s="17">
        <v>1527.3</v>
      </c>
      <c r="G230" s="17">
        <v>1519.21</v>
      </c>
      <c r="H230" s="17">
        <v>1552.95</v>
      </c>
    </row>
    <row r="231" spans="1:8" x14ac:dyDescent="0.2">
      <c r="A231" s="17">
        <v>127.3</v>
      </c>
      <c r="C231" s="17">
        <v>1534.86</v>
      </c>
      <c r="E231" s="17">
        <v>1549.71</v>
      </c>
      <c r="F231" s="17">
        <v>1532.67</v>
      </c>
      <c r="G231" s="17">
        <v>1524.75</v>
      </c>
      <c r="H231" s="17">
        <v>1557.63</v>
      </c>
    </row>
    <row r="232" spans="1:8" x14ac:dyDescent="0.2">
      <c r="A232" s="17">
        <v>127.2</v>
      </c>
      <c r="C232" s="17">
        <v>1564.62</v>
      </c>
      <c r="E232" s="17">
        <v>1554.58</v>
      </c>
      <c r="F232" s="17">
        <v>1538.04</v>
      </c>
      <c r="G232" s="17">
        <v>1530.28</v>
      </c>
      <c r="H232" s="17">
        <v>1562.35</v>
      </c>
    </row>
    <row r="233" spans="1:8" x14ac:dyDescent="0.2">
      <c r="A233" s="17">
        <v>127.1</v>
      </c>
      <c r="C233" s="17">
        <v>1570.24</v>
      </c>
      <c r="E233" s="17">
        <v>1559.48</v>
      </c>
      <c r="F233" s="17">
        <v>1543.42</v>
      </c>
      <c r="G233" s="17">
        <v>1535.81</v>
      </c>
      <c r="H233" s="17">
        <v>1567.09</v>
      </c>
    </row>
    <row r="234" spans="1:8" x14ac:dyDescent="0.2">
      <c r="A234" s="17">
        <v>127</v>
      </c>
      <c r="C234" s="17">
        <v>1558.34</v>
      </c>
      <c r="E234" s="17">
        <v>1564.4</v>
      </c>
      <c r="F234" s="17">
        <v>1548.8</v>
      </c>
      <c r="G234" s="17">
        <v>1541.34</v>
      </c>
      <c r="H234" s="17">
        <v>1571.87</v>
      </c>
    </row>
    <row r="235" spans="1:8" x14ac:dyDescent="0.2">
      <c r="A235" s="17">
        <v>126.9</v>
      </c>
      <c r="C235" s="17">
        <v>1544.41</v>
      </c>
      <c r="E235" s="17">
        <v>1569.35</v>
      </c>
      <c r="F235" s="17">
        <v>1554.19</v>
      </c>
      <c r="G235" s="17">
        <v>1546.87</v>
      </c>
      <c r="H235" s="17">
        <v>1576.67</v>
      </c>
    </row>
    <row r="236" spans="1:8" x14ac:dyDescent="0.2">
      <c r="A236" s="17">
        <v>126.8</v>
      </c>
      <c r="C236" s="17">
        <v>1630.84</v>
      </c>
      <c r="E236" s="17">
        <v>1574.32</v>
      </c>
      <c r="F236" s="17">
        <v>1559.58</v>
      </c>
      <c r="G236" s="17">
        <v>1552.4</v>
      </c>
      <c r="H236" s="17">
        <v>1581.5</v>
      </c>
    </row>
    <row r="237" spans="1:8" x14ac:dyDescent="0.2">
      <c r="A237" s="17">
        <v>126.7</v>
      </c>
      <c r="C237" s="17">
        <v>1446.42</v>
      </c>
      <c r="E237" s="17">
        <v>1579.88</v>
      </c>
      <c r="F237" s="17">
        <v>1565.55</v>
      </c>
      <c r="G237" s="17">
        <v>1558.5</v>
      </c>
      <c r="H237" s="17">
        <v>1586.92</v>
      </c>
    </row>
    <row r="238" spans="1:8" x14ac:dyDescent="0.2">
      <c r="A238" s="17">
        <v>126.6</v>
      </c>
      <c r="C238" s="17">
        <v>1582</v>
      </c>
      <c r="E238" s="17">
        <v>1585.46</v>
      </c>
      <c r="F238" s="17">
        <v>1571.52</v>
      </c>
      <c r="G238" s="17">
        <v>1564.6</v>
      </c>
      <c r="H238" s="17">
        <v>1592.37</v>
      </c>
    </row>
    <row r="239" spans="1:8" x14ac:dyDescent="0.2">
      <c r="A239" s="17">
        <v>126.5</v>
      </c>
      <c r="C239" s="17">
        <v>1608.07</v>
      </c>
      <c r="E239" s="17">
        <v>1591.05</v>
      </c>
      <c r="F239" s="17">
        <v>1577.49</v>
      </c>
      <c r="G239" s="17">
        <v>1570.71</v>
      </c>
      <c r="H239" s="17">
        <v>1597.84</v>
      </c>
    </row>
    <row r="240" spans="1:8" x14ac:dyDescent="0.2">
      <c r="A240" s="17">
        <v>126.4</v>
      </c>
      <c r="C240" s="17">
        <v>1664.4</v>
      </c>
      <c r="E240" s="17">
        <v>1596.67</v>
      </c>
      <c r="F240" s="17">
        <v>1583.47</v>
      </c>
      <c r="G240" s="17">
        <v>1576.81</v>
      </c>
      <c r="H240" s="17">
        <v>1603.33</v>
      </c>
    </row>
    <row r="241" spans="1:8" x14ac:dyDescent="0.2">
      <c r="A241" s="17">
        <v>126.3</v>
      </c>
      <c r="C241" s="17">
        <v>1583.25</v>
      </c>
      <c r="E241" s="17">
        <v>1602.3</v>
      </c>
      <c r="F241" s="17">
        <v>1589.45</v>
      </c>
      <c r="G241" s="17">
        <v>1582.91</v>
      </c>
      <c r="H241" s="17">
        <v>1608.84</v>
      </c>
    </row>
    <row r="242" spans="1:8" x14ac:dyDescent="0.2">
      <c r="A242" s="17">
        <v>126.2</v>
      </c>
      <c r="C242" s="17">
        <v>1580.19</v>
      </c>
      <c r="E242" s="17">
        <v>1607.95</v>
      </c>
      <c r="F242" s="17">
        <v>1595.43</v>
      </c>
      <c r="G242" s="17">
        <v>1589.01</v>
      </c>
      <c r="H242" s="17">
        <v>1614.37</v>
      </c>
    </row>
    <row r="243" spans="1:8" x14ac:dyDescent="0.2">
      <c r="A243" s="17">
        <v>126.1</v>
      </c>
      <c r="C243" s="17">
        <v>1575.98</v>
      </c>
      <c r="E243" s="17">
        <v>1613.62</v>
      </c>
      <c r="F243" s="17">
        <v>1601.42</v>
      </c>
      <c r="G243" s="17">
        <v>1595.12</v>
      </c>
      <c r="H243" s="17">
        <v>1619.92</v>
      </c>
    </row>
    <row r="244" spans="1:8" x14ac:dyDescent="0.2">
      <c r="A244" s="17">
        <v>126</v>
      </c>
      <c r="C244" s="17">
        <v>1648.48</v>
      </c>
      <c r="E244" s="17">
        <v>1619.3</v>
      </c>
      <c r="F244" s="17">
        <v>1607.41</v>
      </c>
      <c r="G244" s="17">
        <v>1601.22</v>
      </c>
      <c r="H244" s="17">
        <v>1625.49</v>
      </c>
    </row>
    <row r="245" spans="1:8" x14ac:dyDescent="0.2">
      <c r="A245" s="17">
        <v>125.9</v>
      </c>
      <c r="C245" s="17">
        <v>1637.91</v>
      </c>
      <c r="E245" s="17">
        <v>1637.22</v>
      </c>
      <c r="F245" s="17">
        <v>1625.63</v>
      </c>
      <c r="G245" s="17">
        <v>1619.55</v>
      </c>
      <c r="H245" s="17">
        <v>1643.3</v>
      </c>
    </row>
    <row r="246" spans="1:8" x14ac:dyDescent="0.2">
      <c r="A246" s="17">
        <v>125.8</v>
      </c>
      <c r="C246" s="17">
        <v>1563.53</v>
      </c>
      <c r="E246" s="17">
        <v>1655.15</v>
      </c>
      <c r="F246" s="17">
        <v>1643.85</v>
      </c>
      <c r="G246" s="17">
        <v>1637.88</v>
      </c>
      <c r="H246" s="17">
        <v>1661.12</v>
      </c>
    </row>
    <row r="247" spans="1:8" x14ac:dyDescent="0.2">
      <c r="A247" s="17">
        <v>125.7</v>
      </c>
      <c r="C247" s="17">
        <v>1714.49</v>
      </c>
      <c r="E247" s="17">
        <v>1673.1</v>
      </c>
      <c r="F247" s="17">
        <v>1662.07</v>
      </c>
      <c r="G247" s="17">
        <v>1656.2</v>
      </c>
      <c r="H247" s="17">
        <v>1678.97</v>
      </c>
    </row>
    <row r="248" spans="1:8" x14ac:dyDescent="0.2">
      <c r="A248" s="17">
        <v>125.6</v>
      </c>
      <c r="C248" s="17">
        <v>1690.38</v>
      </c>
      <c r="E248" s="17">
        <v>1691.05</v>
      </c>
      <c r="F248" s="17">
        <v>1680.3</v>
      </c>
      <c r="G248" s="17">
        <v>1674.53</v>
      </c>
      <c r="H248" s="17">
        <v>1696.83</v>
      </c>
    </row>
    <row r="249" spans="1:8" x14ac:dyDescent="0.2">
      <c r="A249" s="17">
        <v>125.5</v>
      </c>
      <c r="C249" s="17">
        <v>1686.85</v>
      </c>
      <c r="E249" s="17">
        <v>1709.03</v>
      </c>
      <c r="F249" s="17">
        <v>1698.53</v>
      </c>
      <c r="G249" s="17">
        <v>1692.86</v>
      </c>
      <c r="H249" s="17">
        <v>1714.7</v>
      </c>
    </row>
    <row r="250" spans="1:8" x14ac:dyDescent="0.2">
      <c r="A250" s="17">
        <v>125.4</v>
      </c>
      <c r="C250" s="17">
        <v>1737.6</v>
      </c>
      <c r="E250" s="17">
        <v>1727.01</v>
      </c>
      <c r="F250" s="17">
        <v>1716.76</v>
      </c>
      <c r="G250" s="17">
        <v>1711.19</v>
      </c>
      <c r="H250" s="17">
        <v>1732.58</v>
      </c>
    </row>
    <row r="251" spans="1:8" x14ac:dyDescent="0.2">
      <c r="A251" s="17">
        <v>125.3</v>
      </c>
      <c r="C251" s="17">
        <v>1790.26</v>
      </c>
      <c r="E251" s="17">
        <v>1745</v>
      </c>
      <c r="F251" s="17">
        <v>1735</v>
      </c>
      <c r="G251" s="17">
        <v>1729.52</v>
      </c>
      <c r="H251" s="17">
        <v>1750.48</v>
      </c>
    </row>
    <row r="252" spans="1:8" x14ac:dyDescent="0.2">
      <c r="A252" s="17">
        <v>125.2</v>
      </c>
      <c r="C252" s="17">
        <v>1722.05</v>
      </c>
      <c r="E252" s="17">
        <v>1763</v>
      </c>
      <c r="F252" s="17">
        <v>1753.24</v>
      </c>
      <c r="G252" s="17">
        <v>1747.85</v>
      </c>
      <c r="H252" s="17">
        <v>1768.4</v>
      </c>
    </row>
    <row r="253" spans="1:8" x14ac:dyDescent="0.2">
      <c r="A253" s="17">
        <v>125.1</v>
      </c>
      <c r="C253" s="17">
        <v>1781.36</v>
      </c>
      <c r="E253" s="17">
        <v>1781.02</v>
      </c>
      <c r="F253" s="17">
        <v>1771.48</v>
      </c>
      <c r="G253" s="17">
        <v>1766.17</v>
      </c>
      <c r="H253" s="17">
        <v>1786.32</v>
      </c>
    </row>
    <row r="254" spans="1:8" x14ac:dyDescent="0.2">
      <c r="A254" s="17">
        <v>125</v>
      </c>
      <c r="C254" s="17">
        <v>1738.63</v>
      </c>
      <c r="E254" s="17">
        <v>1799.04</v>
      </c>
      <c r="F254" s="17">
        <v>1789.72</v>
      </c>
      <c r="G254" s="17">
        <v>1784.5</v>
      </c>
      <c r="H254" s="17">
        <v>1804.26</v>
      </c>
    </row>
    <row r="255" spans="1:8" x14ac:dyDescent="0.2">
      <c r="A255" s="17">
        <v>124.9</v>
      </c>
      <c r="C255" s="17">
        <v>1859.87</v>
      </c>
      <c r="E255" s="17">
        <v>1817.07</v>
      </c>
      <c r="F255" s="17">
        <v>1807.96</v>
      </c>
      <c r="G255" s="17">
        <v>1802.83</v>
      </c>
      <c r="H255" s="17">
        <v>1822.21</v>
      </c>
    </row>
    <row r="256" spans="1:8" x14ac:dyDescent="0.2">
      <c r="A256" s="17">
        <v>124.8</v>
      </c>
      <c r="C256" s="17">
        <v>1839.73</v>
      </c>
      <c r="E256" s="17">
        <v>1835.12</v>
      </c>
      <c r="F256" s="17">
        <v>1826.21</v>
      </c>
      <c r="G256" s="17">
        <v>1821.16</v>
      </c>
      <c r="H256" s="17">
        <v>1840.16</v>
      </c>
    </row>
    <row r="257" spans="1:8" x14ac:dyDescent="0.2">
      <c r="A257" s="17">
        <v>124.7</v>
      </c>
      <c r="C257" s="17">
        <v>1825.36</v>
      </c>
      <c r="E257" s="17">
        <v>1853.17</v>
      </c>
      <c r="F257" s="17">
        <v>1844.46</v>
      </c>
      <c r="G257" s="17">
        <v>1839.49</v>
      </c>
      <c r="H257" s="17">
        <v>1858.13</v>
      </c>
    </row>
    <row r="258" spans="1:8" x14ac:dyDescent="0.2">
      <c r="A258" s="17">
        <v>124.6</v>
      </c>
      <c r="C258" s="17">
        <v>1873.48</v>
      </c>
      <c r="E258" s="17">
        <v>1879.55</v>
      </c>
      <c r="F258" s="17">
        <v>1871.03</v>
      </c>
      <c r="G258" s="17">
        <v>1866.14</v>
      </c>
      <c r="H258" s="17">
        <v>1884.43</v>
      </c>
    </row>
    <row r="259" spans="1:8" x14ac:dyDescent="0.2">
      <c r="A259" s="17">
        <v>124.5</v>
      </c>
      <c r="C259" s="17">
        <v>1799.01</v>
      </c>
      <c r="E259" s="17">
        <v>1906.53</v>
      </c>
      <c r="F259" s="17">
        <v>1898.2</v>
      </c>
      <c r="G259" s="17">
        <v>1893.39</v>
      </c>
      <c r="H259" s="17">
        <v>1911.35</v>
      </c>
    </row>
    <row r="260" spans="1:8" x14ac:dyDescent="0.2">
      <c r="A260" s="17">
        <v>124.4</v>
      </c>
      <c r="C260" s="17">
        <v>1993.12</v>
      </c>
      <c r="E260" s="17">
        <v>1933.53</v>
      </c>
      <c r="F260" s="17">
        <v>1925.38</v>
      </c>
      <c r="G260" s="17">
        <v>1920.64</v>
      </c>
      <c r="H260" s="17">
        <v>1938.27</v>
      </c>
    </row>
    <row r="261" spans="1:8" x14ac:dyDescent="0.2">
      <c r="A261" s="17">
        <v>124.3</v>
      </c>
      <c r="C261" s="17">
        <v>2051.54</v>
      </c>
      <c r="E261" s="17">
        <v>1960.53</v>
      </c>
      <c r="F261" s="17">
        <v>1952.55</v>
      </c>
      <c r="G261" s="17">
        <v>1947.89</v>
      </c>
      <c r="H261" s="17">
        <v>1965.19</v>
      </c>
    </row>
    <row r="262" spans="1:8" x14ac:dyDescent="0.2">
      <c r="A262" s="17">
        <v>124.2</v>
      </c>
      <c r="C262" s="17">
        <v>1951.07</v>
      </c>
      <c r="E262" s="17">
        <v>2010.98</v>
      </c>
      <c r="F262" s="17">
        <v>2003.17</v>
      </c>
      <c r="G262" s="17">
        <v>1998.58</v>
      </c>
      <c r="H262" s="17">
        <v>2015.57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 9a, Fig S10</vt:lpstr>
      <vt:lpstr>conc factors</vt:lpstr>
      <vt:lpstr>Fig 9b, Fig S11</vt:lpstr>
      <vt:lpstr>Fig 9c</vt:lpstr>
      <vt:lpstr>Fig 9d</vt:lpstr>
      <vt:lpstr>Fig 9e</vt:lpstr>
      <vt:lpstr>Fig 9f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2025-03-13T20:42:24Z</dcterms:created>
  <dcterms:modified xsi:type="dcterms:W3CDTF">2026-04-13T17:46:32Z</dcterms:modified>
</cp:coreProperties>
</file>