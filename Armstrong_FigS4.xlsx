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owen_armstrong_mail_mcgill_ca/Documents/GRAD SCHOOL/Projects/Armstrong et al_/Armstrong Data Feb 2026/"/>
    </mc:Choice>
  </mc:AlternateContent>
  <xr:revisionPtr revIDLastSave="3" documentId="8_{987A2137-0677-8B4E-91A2-4DA74DBC33C7}" xr6:coauthVersionLast="47" xr6:coauthVersionMax="47" xr10:uidLastSave="{0F6A155D-C6AE-3F45-9B8A-8A10B5A14650}"/>
  <bookViews>
    <workbookView xWindow="0" yWindow="500" windowWidth="28800" windowHeight="16240" xr2:uid="{19D1B9C3-96A9-024C-B28E-8C9A4F9F477C}"/>
  </bookViews>
  <sheets>
    <sheet name="Concentrations" sheetId="1" r:id="rId1"/>
    <sheet name="Correction Fac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U5" i="1"/>
  <c r="M10" i="1"/>
  <c r="R27" i="1"/>
  <c r="R26" i="1"/>
  <c r="R24" i="1"/>
  <c r="R23" i="1"/>
  <c r="R21" i="1"/>
  <c r="R20" i="1"/>
  <c r="Q27" i="1"/>
  <c r="Q26" i="1"/>
  <c r="Q24" i="1"/>
  <c r="Q23" i="1"/>
  <c r="Q21" i="1"/>
  <c r="Q20" i="1"/>
  <c r="P27" i="1"/>
  <c r="P26" i="1"/>
  <c r="P24" i="1"/>
  <c r="P23" i="1"/>
  <c r="P21" i="1"/>
  <c r="P20" i="1"/>
  <c r="O27" i="1"/>
  <c r="O26" i="1"/>
  <c r="O24" i="1"/>
  <c r="O23" i="1"/>
  <c r="O21" i="1"/>
  <c r="O20" i="1"/>
  <c r="N27" i="1"/>
  <c r="N26" i="1"/>
  <c r="N24" i="1"/>
  <c r="N23" i="1"/>
  <c r="N21" i="1"/>
  <c r="N20" i="1"/>
  <c r="M27" i="1"/>
  <c r="M26" i="1"/>
  <c r="M24" i="1"/>
  <c r="M23" i="1"/>
  <c r="M21" i="1"/>
  <c r="M20" i="1"/>
  <c r="G4" i="2"/>
  <c r="N4" i="1" l="1"/>
  <c r="O4" i="1"/>
  <c r="P4" i="1"/>
  <c r="Q4" i="1"/>
  <c r="R4" i="1"/>
  <c r="N5" i="1"/>
  <c r="O5" i="1"/>
  <c r="P5" i="1"/>
  <c r="Q5" i="1"/>
  <c r="R5" i="1"/>
  <c r="N6" i="1"/>
  <c r="O6" i="1"/>
  <c r="P6" i="1"/>
  <c r="Q6" i="1"/>
  <c r="R6" i="1"/>
  <c r="N7" i="1"/>
  <c r="V9" i="1" s="1"/>
  <c r="O7" i="1"/>
  <c r="W9" i="1" s="1"/>
  <c r="P7" i="1"/>
  <c r="Q7" i="1"/>
  <c r="R7" i="1"/>
  <c r="N8" i="1"/>
  <c r="O8" i="1"/>
  <c r="P8" i="1"/>
  <c r="Q8" i="1"/>
  <c r="R8" i="1"/>
  <c r="N9" i="1"/>
  <c r="O9" i="1"/>
  <c r="P9" i="1"/>
  <c r="Q9" i="1"/>
  <c r="R9" i="1"/>
  <c r="N10" i="1"/>
  <c r="O10" i="1"/>
  <c r="W11" i="1" s="1"/>
  <c r="P10" i="1"/>
  <c r="Q10" i="1"/>
  <c r="R10" i="1"/>
  <c r="N11" i="1"/>
  <c r="O11" i="1"/>
  <c r="P11" i="1"/>
  <c r="Q11" i="1"/>
  <c r="Y12" i="1" s="1"/>
  <c r="R11" i="1"/>
  <c r="N12" i="1"/>
  <c r="V11" i="1" s="1"/>
  <c r="O12" i="1"/>
  <c r="P12" i="1"/>
  <c r="Q12" i="1"/>
  <c r="R12" i="1"/>
  <c r="M5" i="1"/>
  <c r="M6" i="1"/>
  <c r="M7" i="1"/>
  <c r="M8" i="1"/>
  <c r="M9" i="1"/>
  <c r="M11" i="1"/>
  <c r="M12" i="1"/>
  <c r="U6" i="1"/>
  <c r="G5" i="2"/>
  <c r="G6" i="2"/>
  <c r="G7" i="2"/>
  <c r="G8" i="2"/>
  <c r="G9" i="2"/>
  <c r="G10" i="2"/>
  <c r="G11" i="2"/>
  <c r="G12" i="2"/>
  <c r="U9" i="1" l="1"/>
  <c r="V12" i="1"/>
  <c r="X12" i="1"/>
  <c r="Z12" i="1"/>
  <c r="Z5" i="1"/>
  <c r="Y5" i="1"/>
  <c r="U12" i="1"/>
  <c r="Y8" i="1"/>
  <c r="X5" i="1"/>
  <c r="X8" i="1"/>
  <c r="Y9" i="1"/>
  <c r="W12" i="1"/>
  <c r="W8" i="1"/>
  <c r="W6" i="1"/>
  <c r="Z11" i="1"/>
  <c r="V8" i="1"/>
  <c r="Z6" i="1"/>
  <c r="X6" i="1"/>
  <c r="V6" i="1"/>
  <c r="Y11" i="1"/>
  <c r="X9" i="1"/>
  <c r="U8" i="1"/>
  <c r="Y6" i="1"/>
  <c r="U11" i="1"/>
  <c r="X11" i="1"/>
  <c r="Z8" i="1"/>
  <c r="Z9" i="1"/>
  <c r="W5" i="1"/>
  <c r="V5" i="1"/>
</calcChain>
</file>

<file path=xl/sharedStrings.xml><?xml version="1.0" encoding="utf-8"?>
<sst xmlns="http://schemas.openxmlformats.org/spreadsheetml/2006/main" count="69" uniqueCount="26">
  <si>
    <t>weight empty</t>
  </si>
  <si>
    <t>w 10 mL sample</t>
  </si>
  <si>
    <t>post digestion</t>
  </si>
  <si>
    <t>concentration factor</t>
  </si>
  <si>
    <t>conc factors</t>
  </si>
  <si>
    <t>t0</t>
  </si>
  <si>
    <t>30s settling</t>
  </si>
  <si>
    <t>180s settling</t>
  </si>
  <si>
    <t>av</t>
  </si>
  <si>
    <t>stdev</t>
  </si>
  <si>
    <t>initial</t>
  </si>
  <si>
    <t>30 s settling</t>
  </si>
  <si>
    <t>180 s settling</t>
  </si>
  <si>
    <t>Cr</t>
  </si>
  <si>
    <t>Mn</t>
  </si>
  <si>
    <t>Pb</t>
  </si>
  <si>
    <t>Fe</t>
  </si>
  <si>
    <t>Ni</t>
  </si>
  <si>
    <t>Zn</t>
  </si>
  <si>
    <t>replicate</t>
  </si>
  <si>
    <t>R1</t>
  </si>
  <si>
    <t>R2</t>
  </si>
  <si>
    <t>R3</t>
  </si>
  <si>
    <t>concentrations via ICP-OES (mg/L)</t>
  </si>
  <si>
    <t>corrected concentrations (mg/L)</t>
  </si>
  <si>
    <t>all values in 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</si>
</sst>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96B24"/>
      <color rgb="FF0C394E"/>
      <color rgb="FFA02B93"/>
      <color rgb="FF4DA72E"/>
      <color rgb="FF166082"/>
      <color rgb="FF109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58650793650792"/>
          <c:y val="7.0555555555555552E-2"/>
          <c:w val="0.78919841269841262"/>
          <c:h val="0.8294257575757575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Concentrations!$Q$18</c:f>
              <c:strCache>
                <c:ptCount val="1"/>
                <c:pt idx="0">
                  <c:v>Ni</c:v>
                </c:pt>
              </c:strCache>
            </c:strRef>
          </c:tx>
          <c:spPr>
            <a:solidFill>
              <a:srgbClr val="A02B9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(Concentrations!$Q$21,Concentrations!$Q$24,Concentrations!$Q$27,Concentrations!$S$30)</c:f>
                <c:numCache>
                  <c:formatCode>General</c:formatCode>
                  <c:ptCount val="4"/>
                  <c:pt idx="0">
                    <c:v>7.1230331208661304E-3</c:v>
                  </c:pt>
                  <c:pt idx="1">
                    <c:v>4.0731316396147342E-3</c:v>
                  </c:pt>
                  <c:pt idx="2">
                    <c:v>3.5791202161909313E-3</c:v>
                  </c:pt>
                </c:numCache>
              </c:numRef>
            </c:plus>
            <c:minus>
              <c:numRef>
                <c:f>(Concentrations!$O$21,Concentrations!$O$24,Concentrations!$O$27,Concentrations!$O$30)</c:f>
                <c:numCache>
                  <c:formatCode>General</c:formatCode>
                  <c:ptCount val="4"/>
                  <c:pt idx="0">
                    <c:v>9.8859106265907415E-4</c:v>
                  </c:pt>
                  <c:pt idx="1">
                    <c:v>3.7707738930949666E-4</c:v>
                  </c:pt>
                  <c:pt idx="2">
                    <c:v>6.6436442073721869E-4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Concentrations!$P$32:$P$35</c:f>
              <c:numCache>
                <c:formatCode>General</c:formatCode>
                <c:ptCount val="4"/>
              </c:numCache>
            </c:numRef>
          </c:cat>
          <c:val>
            <c:numRef>
              <c:f>(Concentrations!$Q$20,Concentrations!$Q$23,Concentrations!$Q$26)</c:f>
              <c:numCache>
                <c:formatCode>General</c:formatCode>
                <c:ptCount val="3"/>
                <c:pt idx="0">
                  <c:v>0.50951333127753862</c:v>
                </c:pt>
                <c:pt idx="1">
                  <c:v>0.51128897251800842</c:v>
                </c:pt>
                <c:pt idx="2">
                  <c:v>0.50110929867293508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DB-CB4C-B8CC-DA0077624F6E}"/>
            </c:ext>
          </c:extLst>
        </c:ser>
        <c:ser>
          <c:idx val="3"/>
          <c:order val="1"/>
          <c:tx>
            <c:strRef>
              <c:f>Concentrations!$R$18</c:f>
              <c:strCache>
                <c:ptCount val="1"/>
                <c:pt idx="0">
                  <c:v>Zn</c:v>
                </c:pt>
              </c:strCache>
            </c:strRef>
          </c:tx>
          <c:spPr>
            <a:solidFill>
              <a:srgbClr val="0C394E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(Concentrations!$R$21,Concentrations!$R$24,Concentrations!$R$27,Concentrations!$T$30)</c:f>
                <c:numCache>
                  <c:formatCode>General</c:formatCode>
                  <c:ptCount val="4"/>
                  <c:pt idx="0">
                    <c:v>6.8336162549113011E-3</c:v>
                  </c:pt>
                  <c:pt idx="1">
                    <c:v>4.4622454839632003E-3</c:v>
                  </c:pt>
                  <c:pt idx="2">
                    <c:v>2.3335047482442605E-3</c:v>
                  </c:pt>
                </c:numCache>
              </c:numRef>
            </c:plus>
            <c:minus>
              <c:numRef>
                <c:f>(Concentrations!$R$21,Concentrations!$R$24,Concentrations!$R$27,Concentrations!$T$30)</c:f>
                <c:numCache>
                  <c:formatCode>General</c:formatCode>
                  <c:ptCount val="4"/>
                  <c:pt idx="0">
                    <c:v>6.8336162549113011E-3</c:v>
                  </c:pt>
                  <c:pt idx="1">
                    <c:v>4.4622454839632003E-3</c:v>
                  </c:pt>
                  <c:pt idx="2">
                    <c:v>2.3335047482442605E-3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(Concentrations!$R$20,Concentrations!$R$23,Concentrations!$R$26)</c:f>
              <c:numCache>
                <c:formatCode>General</c:formatCode>
                <c:ptCount val="3"/>
                <c:pt idx="0">
                  <c:v>0.50738430295020065</c:v>
                </c:pt>
                <c:pt idx="1">
                  <c:v>0.51437174637733263</c:v>
                </c:pt>
                <c:pt idx="2">
                  <c:v>0.50641467881634117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DB-CB4C-B8CC-DA0077624F6E}"/>
            </c:ext>
          </c:extLst>
        </c:ser>
        <c:ser>
          <c:idx val="1"/>
          <c:order val="2"/>
          <c:tx>
            <c:strRef>
              <c:f>Concentrations!$P$18</c:f>
              <c:strCache>
                <c:ptCount val="1"/>
                <c:pt idx="0">
                  <c:v>Fe</c:v>
                </c:pt>
              </c:strCache>
            </c:strRef>
          </c:tx>
          <c:spPr>
            <a:solidFill>
              <a:srgbClr val="196B2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(Concentrations!$P$21,Concentrations!$P$24,Concentrations!$P$27,Concentrations!$R$30)</c:f>
                <c:numCache>
                  <c:formatCode>General</c:formatCode>
                  <c:ptCount val="4"/>
                  <c:pt idx="0">
                    <c:v>1.8521841552416613E-2</c:v>
                  </c:pt>
                  <c:pt idx="1">
                    <c:v>4.2090352206628047E-3</c:v>
                  </c:pt>
                  <c:pt idx="2">
                    <c:v>6.6534206275766757E-3</c:v>
                  </c:pt>
                </c:numCache>
              </c:numRef>
            </c:plus>
            <c:minus>
              <c:numRef>
                <c:f>(Concentrations!$P$21,Concentrations!$P$24,Concentrations!$P$27,Concentrations!$R$30)</c:f>
                <c:numCache>
                  <c:formatCode>General</c:formatCode>
                  <c:ptCount val="4"/>
                  <c:pt idx="0">
                    <c:v>1.8521841552416613E-2</c:v>
                  </c:pt>
                  <c:pt idx="1">
                    <c:v>4.2090352206628047E-3</c:v>
                  </c:pt>
                  <c:pt idx="2">
                    <c:v>6.6534206275766757E-3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Concentrations!$P$32:$P$35</c:f>
              <c:numCache>
                <c:formatCode>General</c:formatCode>
                <c:ptCount val="4"/>
              </c:numCache>
            </c:numRef>
          </c:cat>
          <c:val>
            <c:numRef>
              <c:f>(Concentrations!$P$20,Concentrations!$P$23,Concentrations!$P$26)</c:f>
              <c:numCache>
                <c:formatCode>General</c:formatCode>
                <c:ptCount val="3"/>
                <c:pt idx="0">
                  <c:v>0.50150271138562996</c:v>
                </c:pt>
                <c:pt idx="1">
                  <c:v>0.48735720872137889</c:v>
                </c:pt>
                <c:pt idx="2">
                  <c:v>0.47201904862181499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B-CB4C-B8CC-DA0077624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282848"/>
        <c:axId val="1166665440"/>
      </c:barChart>
      <c:catAx>
        <c:axId val="111428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665440"/>
        <c:crosses val="autoZero"/>
        <c:auto val="1"/>
        <c:lblAlgn val="ctr"/>
        <c:lblOffset val="100"/>
        <c:noMultiLvlLbl val="0"/>
      </c:catAx>
      <c:valAx>
        <c:axId val="116666544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concentration</a:t>
                </a:r>
                <a:r>
                  <a:rPr lang="en-US" b="1" baseline="0"/>
                  <a:t> (mg/L)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282848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4507837485687209"/>
          <c:y val="6.5474242424242421E-2"/>
          <c:w val="0.41085595238095241"/>
          <c:h val="0.108584457651611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05753968253967"/>
          <c:y val="7.0555555555555552E-2"/>
          <c:w val="0.79587579365079364"/>
          <c:h val="0.8294257575757575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Concentrations!$N$18</c:f>
              <c:strCache>
                <c:ptCount val="1"/>
                <c:pt idx="0">
                  <c:v>Mn</c:v>
                </c:pt>
              </c:strCache>
            </c:strRef>
          </c:tx>
          <c:spPr>
            <a:solidFill>
              <a:srgbClr val="109ED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(Concentrations!$N$21,Concentrations!$N$24,Concentrations!$N$27,Concentrations!$N$30)</c:f>
                <c:numCache>
                  <c:formatCode>General</c:formatCode>
                  <c:ptCount val="4"/>
                  <c:pt idx="0">
                    <c:v>6.594283365418611E-4</c:v>
                  </c:pt>
                  <c:pt idx="1">
                    <c:v>2.7085625860523844E-4</c:v>
                  </c:pt>
                  <c:pt idx="2">
                    <c:v>8.5912393818851119E-4</c:v>
                  </c:pt>
                </c:numCache>
              </c:numRef>
            </c:plus>
            <c:minus>
              <c:numRef>
                <c:f>(Concentrations!$N$21,Concentrations!$N$24,Concentrations!$N$27,Concentrations!$N$30)</c:f>
                <c:numCache>
                  <c:formatCode>General</c:formatCode>
                  <c:ptCount val="4"/>
                  <c:pt idx="0">
                    <c:v>6.594283365418611E-4</c:v>
                  </c:pt>
                  <c:pt idx="1">
                    <c:v>2.7085625860523844E-4</c:v>
                  </c:pt>
                  <c:pt idx="2">
                    <c:v>8.5912393818851119E-4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Concentrations!$P$32:$P$35</c:f>
              <c:numCache>
                <c:formatCode>General</c:formatCode>
                <c:ptCount val="4"/>
              </c:numCache>
            </c:numRef>
          </c:cat>
          <c:val>
            <c:numRef>
              <c:f>(Concentrations!$N$20,Concentrations!$N$23,Concentrations!$N$26)</c:f>
              <c:numCache>
                <c:formatCode>General</c:formatCode>
                <c:ptCount val="3"/>
                <c:pt idx="0">
                  <c:v>5.0955683702201916E-2</c:v>
                </c:pt>
                <c:pt idx="1">
                  <c:v>5.072754894670136E-2</c:v>
                </c:pt>
                <c:pt idx="2">
                  <c:v>4.9337230344048466E-2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DD-214A-9B76-9F3E909A6CA4}"/>
            </c:ext>
          </c:extLst>
        </c:ser>
        <c:ser>
          <c:idx val="0"/>
          <c:order val="1"/>
          <c:tx>
            <c:strRef>
              <c:f>Concentrations!$M$18</c:f>
              <c:strCache>
                <c:ptCount val="1"/>
                <c:pt idx="0">
                  <c:v>Cr</c:v>
                </c:pt>
              </c:strCache>
            </c:strRef>
          </c:tx>
          <c:spPr>
            <a:solidFill>
              <a:srgbClr val="16608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(Concentrations!$M$21,Concentrations!$M$24,Concentrations!$M$27,Concentrations!$M$30)</c:f>
                <c:numCache>
                  <c:formatCode>General</c:formatCode>
                  <c:ptCount val="4"/>
                  <c:pt idx="0">
                    <c:v>2.7284928185861267E-3</c:v>
                  </c:pt>
                  <c:pt idx="1">
                    <c:v>1.4331999857693956E-3</c:v>
                  </c:pt>
                  <c:pt idx="2">
                    <c:v>2.4006614456502451E-3</c:v>
                  </c:pt>
                </c:numCache>
              </c:numRef>
            </c:plus>
            <c:minus>
              <c:numRef>
                <c:f>(Concentrations!$M$21,Concentrations!$M$24,Concentrations!$M$27,Concentrations!$M$30)</c:f>
                <c:numCache>
                  <c:formatCode>General</c:formatCode>
                  <c:ptCount val="4"/>
                  <c:pt idx="0">
                    <c:v>2.7284928185861267E-3</c:v>
                  </c:pt>
                  <c:pt idx="1">
                    <c:v>1.4331999857693956E-3</c:v>
                  </c:pt>
                  <c:pt idx="2">
                    <c:v>2.4006614456502451E-3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Concentrations!$P$32:$P$35</c:f>
              <c:numCache>
                <c:formatCode>General</c:formatCode>
                <c:ptCount val="4"/>
              </c:numCache>
            </c:numRef>
          </c:cat>
          <c:val>
            <c:numRef>
              <c:f>(Concentrations!$M$20,Concentrations!$M$23,Concentrations!$M$26)</c:f>
              <c:numCache>
                <c:formatCode>General</c:formatCode>
                <c:ptCount val="3"/>
                <c:pt idx="0">
                  <c:v>4.6169526063585924E-2</c:v>
                </c:pt>
                <c:pt idx="1">
                  <c:v>4.5837041606382849E-2</c:v>
                </c:pt>
                <c:pt idx="2">
                  <c:v>4.5851558191872623E-2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D-214A-9B76-9F3E909A6CA4}"/>
            </c:ext>
          </c:extLst>
        </c:ser>
        <c:ser>
          <c:idx val="2"/>
          <c:order val="2"/>
          <c:tx>
            <c:strRef>
              <c:f>Concentrations!$O$18</c:f>
              <c:strCache>
                <c:ptCount val="1"/>
                <c:pt idx="0">
                  <c:v>Pb</c:v>
                </c:pt>
              </c:strCache>
            </c:strRef>
          </c:tx>
          <c:spPr>
            <a:solidFill>
              <a:srgbClr val="4DA72E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(Concentrations!$O$21,Concentrations!$O$24,Concentrations!$O$27,Concentrations!$O$30)</c:f>
                <c:numCache>
                  <c:formatCode>General</c:formatCode>
                  <c:ptCount val="4"/>
                  <c:pt idx="0">
                    <c:v>9.8859106265907415E-4</c:v>
                  </c:pt>
                  <c:pt idx="1">
                    <c:v>3.7707738930949666E-4</c:v>
                  </c:pt>
                  <c:pt idx="2">
                    <c:v>6.6436442073721869E-4</c:v>
                  </c:pt>
                </c:numCache>
              </c:numRef>
            </c:plus>
            <c:minus>
              <c:numRef>
                <c:f>(Concentrations!$O$21,Concentrations!$O$24,Concentrations!$O$27,Concentrations!$O$30)</c:f>
                <c:numCache>
                  <c:formatCode>General</c:formatCode>
                  <c:ptCount val="4"/>
                  <c:pt idx="0">
                    <c:v>9.8859106265907415E-4</c:v>
                  </c:pt>
                  <c:pt idx="1">
                    <c:v>3.7707738930949666E-4</c:v>
                  </c:pt>
                  <c:pt idx="2">
                    <c:v>6.6436442073721869E-4</c:v>
                  </c:pt>
                </c:numCache>
              </c:numRef>
            </c:minus>
            <c:spPr>
              <a:noFill/>
              <a:ln w="12700" cap="rnd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Concentrations!$P$32:$P$35</c:f>
              <c:numCache>
                <c:formatCode>General</c:formatCode>
                <c:ptCount val="4"/>
              </c:numCache>
            </c:numRef>
          </c:cat>
          <c:val>
            <c:numRef>
              <c:f>(Concentrations!$O$20,Concentrations!$O$23,Concentrations!$O$26)</c:f>
              <c:numCache>
                <c:formatCode>General</c:formatCode>
                <c:ptCount val="3"/>
                <c:pt idx="0">
                  <c:v>4.9714251860763337E-2</c:v>
                </c:pt>
                <c:pt idx="1">
                  <c:v>4.9052941576996641E-2</c:v>
                </c:pt>
                <c:pt idx="2">
                  <c:v>4.8986495052555305E-2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DD-214A-9B76-9F3E909A6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282848"/>
        <c:axId val="1166665440"/>
      </c:barChart>
      <c:catAx>
        <c:axId val="111428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665440"/>
        <c:crosses val="autoZero"/>
        <c:auto val="1"/>
        <c:lblAlgn val="ctr"/>
        <c:lblOffset val="100"/>
        <c:noMultiLvlLbl val="0"/>
      </c:catAx>
      <c:valAx>
        <c:axId val="116666544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concentration</a:t>
                </a:r>
                <a:r>
                  <a:rPr lang="en-US" b="1" baseline="0"/>
                  <a:t> (mg/L)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282848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5871362577486476"/>
          <c:y val="8.4277272727272715E-2"/>
          <c:w val="0.37498723919341981"/>
          <c:h val="0.102088732454849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717096</xdr:colOff>
      <xdr:row>12</xdr:row>
      <xdr:rowOff>162143</xdr:rowOff>
    </xdr:from>
    <xdr:to>
      <xdr:col>10</xdr:col>
      <xdr:colOff>705729</xdr:colOff>
      <xdr:row>22</xdr:row>
      <xdr:rowOff>112442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26DCDFD-265E-3A67-1665-6502EFB8639B}"/>
            </a:ext>
          </a:extLst>
        </xdr:cNvPr>
        <xdr:cNvGrpSpPr/>
      </xdr:nvGrpSpPr>
      <xdr:grpSpPr>
        <a:xfrm>
          <a:off x="4025003" y="2643073"/>
          <a:ext cx="4950493" cy="2017741"/>
          <a:chOff x="8189028" y="6439291"/>
          <a:chExt cx="4967033" cy="1985843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78F7E86B-4F48-6647-8717-A45E00E96811}"/>
              </a:ext>
            </a:extLst>
          </xdr:cNvPr>
          <xdr:cNvGraphicFramePr>
            <a:graphicFrameLocks/>
          </xdr:cNvGraphicFramePr>
        </xdr:nvGraphicFramePr>
        <xdr:xfrm>
          <a:off x="10623361" y="6445134"/>
          <a:ext cx="2532700" cy="198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079BE6C-1E8F-8143-8C30-75F9F3281024}"/>
              </a:ext>
            </a:extLst>
          </xdr:cNvPr>
          <xdr:cNvGraphicFramePr>
            <a:graphicFrameLocks/>
          </xdr:cNvGraphicFramePr>
        </xdr:nvGraphicFramePr>
        <xdr:xfrm>
          <a:off x="8189028" y="6439291"/>
          <a:ext cx="2532700" cy="198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ECCE-3C5C-9E49-BD63-DAF6F68073B1}">
  <dimension ref="B2:Z27"/>
  <sheetViews>
    <sheetView tabSelected="1" topLeftCell="B9" zoomScale="129" zoomScaleNormal="129" workbookViewId="0">
      <selection activeCell="G26" sqref="G26"/>
    </sheetView>
  </sheetViews>
  <sheetFormatPr baseColWidth="10" defaultRowHeight="16" x14ac:dyDescent="0.2"/>
  <cols>
    <col min="22" max="22" width="12.1640625" bestFit="1" customWidth="1"/>
  </cols>
  <sheetData>
    <row r="2" spans="2:26" x14ac:dyDescent="0.2">
      <c r="D2" t="s">
        <v>23</v>
      </c>
      <c r="M2" t="s">
        <v>24</v>
      </c>
    </row>
    <row r="3" spans="2:26" x14ac:dyDescent="0.2">
      <c r="C3" t="s">
        <v>19</v>
      </c>
      <c r="D3" t="s">
        <v>13</v>
      </c>
      <c r="E3" t="s">
        <v>16</v>
      </c>
      <c r="F3" t="s">
        <v>14</v>
      </c>
      <c r="G3" t="s">
        <v>17</v>
      </c>
      <c r="H3" t="s">
        <v>15</v>
      </c>
      <c r="I3" t="s">
        <v>18</v>
      </c>
      <c r="K3" t="s">
        <v>4</v>
      </c>
      <c r="M3" t="s">
        <v>13</v>
      </c>
      <c r="N3" t="s">
        <v>16</v>
      </c>
      <c r="O3" t="s">
        <v>14</v>
      </c>
      <c r="P3" t="s">
        <v>17</v>
      </c>
      <c r="Q3" t="s">
        <v>15</v>
      </c>
      <c r="R3" t="s">
        <v>18</v>
      </c>
      <c r="U3" t="s">
        <v>13</v>
      </c>
      <c r="V3" t="s">
        <v>16</v>
      </c>
      <c r="W3" t="s">
        <v>14</v>
      </c>
      <c r="X3" t="s">
        <v>17</v>
      </c>
      <c r="Y3" t="s">
        <v>15</v>
      </c>
      <c r="Z3" t="s">
        <v>18</v>
      </c>
    </row>
    <row r="4" spans="2:26" x14ac:dyDescent="0.2">
      <c r="B4" t="s">
        <v>10</v>
      </c>
      <c r="C4" s="3" t="s">
        <v>20</v>
      </c>
      <c r="D4" s="3">
        <v>3.5000000000000003E-2</v>
      </c>
      <c r="E4" s="3">
        <v>0.3679</v>
      </c>
      <c r="F4" s="3">
        <v>3.8300000000000001E-2</v>
      </c>
      <c r="G4" s="3">
        <v>0.3831</v>
      </c>
      <c r="H4" s="3">
        <v>3.6799999999999999E-2</v>
      </c>
      <c r="I4" s="3">
        <v>0.38019999999999998</v>
      </c>
      <c r="K4" s="3">
        <v>0.75199804397988967</v>
      </c>
      <c r="M4" s="3">
        <f>D4/$K4</f>
        <v>4.6542674253200571E-2</v>
      </c>
      <c r="N4" s="3">
        <f t="shared" ref="N4:N12" si="0">E4/$K4</f>
        <v>0.48922999593578542</v>
      </c>
      <c r="O4" s="3">
        <f t="shared" ref="O4:O12" si="1">F4/$K4</f>
        <v>5.0930983539930912E-2</v>
      </c>
      <c r="P4" s="3">
        <f t="shared" ref="P4:P12" si="2">G4/$K4</f>
        <v>0.50944281446860396</v>
      </c>
      <c r="Q4" s="3">
        <f t="shared" ref="Q4:Q12" si="3">H4/$K4</f>
        <v>4.8936297500508028E-2</v>
      </c>
      <c r="R4" s="3">
        <f t="shared" ref="R4:R12" si="4">I4/$K4</f>
        <v>0.50558642145905297</v>
      </c>
      <c r="T4" s="3" t="s">
        <v>5</v>
      </c>
      <c r="U4" s="3"/>
      <c r="V4" s="3"/>
      <c r="W4" s="3"/>
      <c r="X4" s="3"/>
      <c r="Y4" s="3"/>
      <c r="Z4" s="3"/>
    </row>
    <row r="5" spans="2:26" x14ac:dyDescent="0.2">
      <c r="C5" t="s">
        <v>21</v>
      </c>
      <c r="D5">
        <v>3.2599999999999997E-2</v>
      </c>
      <c r="E5">
        <v>0.371</v>
      </c>
      <c r="F5">
        <v>3.7900000000000003E-2</v>
      </c>
      <c r="G5">
        <v>0.3785</v>
      </c>
      <c r="H5">
        <v>3.7199999999999997E-2</v>
      </c>
      <c r="I5">
        <v>0.37790000000000001</v>
      </c>
      <c r="K5">
        <v>0.75334504353138831</v>
      </c>
      <c r="M5">
        <f t="shared" ref="M4:M12" si="5">D5/$K5</f>
        <v>4.327366361525907E-2</v>
      </c>
      <c r="N5">
        <f t="shared" si="0"/>
        <v>0.49247022089758025</v>
      </c>
      <c r="O5">
        <f t="shared" si="1"/>
        <v>5.030895248522451E-2</v>
      </c>
      <c r="P5">
        <f t="shared" si="2"/>
        <v>0.50242581835507849</v>
      </c>
      <c r="Q5">
        <f t="shared" si="3"/>
        <v>4.9379763389191332E-2</v>
      </c>
      <c r="R5">
        <f t="shared" si="4"/>
        <v>0.50162937055847867</v>
      </c>
      <c r="T5" t="s">
        <v>8</v>
      </c>
      <c r="U5">
        <f>AVERAGE(M4:M6)</f>
        <v>4.6169526063585924E-2</v>
      </c>
      <c r="V5">
        <f t="shared" ref="U5:Z5" si="6">AVERAGE(N4:N6)</f>
        <v>0.50150271138562996</v>
      </c>
      <c r="W5">
        <f t="shared" si="6"/>
        <v>5.0955683702201916E-2</v>
      </c>
      <c r="X5">
        <f t="shared" si="6"/>
        <v>0.50951333127753862</v>
      </c>
      <c r="Y5">
        <f t="shared" si="6"/>
        <v>4.9714251860763337E-2</v>
      </c>
      <c r="Z5">
        <f t="shared" si="6"/>
        <v>0.50738430295020065</v>
      </c>
    </row>
    <row r="6" spans="2:26" x14ac:dyDescent="0.2">
      <c r="C6" s="2" t="s">
        <v>22</v>
      </c>
      <c r="D6" s="2">
        <v>3.6499999999999998E-2</v>
      </c>
      <c r="E6" s="2">
        <v>0.39190000000000003</v>
      </c>
      <c r="F6" s="2">
        <v>3.8699999999999998E-2</v>
      </c>
      <c r="G6" s="2">
        <v>0.38729999999999998</v>
      </c>
      <c r="H6" s="2">
        <v>3.8100000000000002E-2</v>
      </c>
      <c r="I6" s="2">
        <v>0.38600000000000001</v>
      </c>
      <c r="K6" s="2">
        <v>0.74960609243697474</v>
      </c>
      <c r="M6" s="2">
        <f t="shared" si="5"/>
        <v>4.8692240322298123E-2</v>
      </c>
      <c r="N6" s="2">
        <f t="shared" si="0"/>
        <v>0.52280791732352438</v>
      </c>
      <c r="O6" s="2">
        <f t="shared" si="1"/>
        <v>5.1627115081450341E-2</v>
      </c>
      <c r="P6" s="2">
        <f t="shared" si="2"/>
        <v>0.51667136100893329</v>
      </c>
      <c r="Q6" s="2">
        <f t="shared" si="3"/>
        <v>5.082669469259065E-2</v>
      </c>
      <c r="R6" s="2">
        <f t="shared" si="4"/>
        <v>0.51493711683307064</v>
      </c>
      <c r="T6" s="2" t="s">
        <v>9</v>
      </c>
      <c r="U6" s="2">
        <f t="shared" ref="U6:Z6" si="7">STDEV(M4:M6)</f>
        <v>2.7284928185861267E-3</v>
      </c>
      <c r="V6" s="2">
        <f t="shared" si="7"/>
        <v>1.8521841552416613E-2</v>
      </c>
      <c r="W6" s="2">
        <f t="shared" si="7"/>
        <v>6.594283365418611E-4</v>
      </c>
      <c r="X6" s="2">
        <f t="shared" si="7"/>
        <v>7.1230331208661304E-3</v>
      </c>
      <c r="Y6" s="2">
        <f t="shared" si="7"/>
        <v>9.8859106265907415E-4</v>
      </c>
      <c r="Z6" s="2">
        <f t="shared" si="7"/>
        <v>6.8336162549113011E-3</v>
      </c>
    </row>
    <row r="7" spans="2:26" x14ac:dyDescent="0.2">
      <c r="B7" t="s">
        <v>11</v>
      </c>
      <c r="C7" s="3" t="s">
        <v>20</v>
      </c>
      <c r="D7" s="3">
        <v>3.44E-2</v>
      </c>
      <c r="E7" s="3">
        <v>0.36570000000000003</v>
      </c>
      <c r="F7" s="3">
        <v>3.8600000000000002E-2</v>
      </c>
      <c r="G7" s="3">
        <v>0.38419999999999999</v>
      </c>
      <c r="H7" s="3">
        <v>3.7400000000000003E-2</v>
      </c>
      <c r="I7" s="3">
        <v>0.38519999999999999</v>
      </c>
      <c r="K7" s="3">
        <v>0.75627783063748799</v>
      </c>
      <c r="M7" s="3">
        <f t="shared" si="5"/>
        <v>4.5485929385240959E-2</v>
      </c>
      <c r="N7" s="3">
        <f t="shared" si="0"/>
        <v>0.48355245279600639</v>
      </c>
      <c r="O7" s="3">
        <f t="shared" si="1"/>
        <v>5.10394440194855E-2</v>
      </c>
      <c r="P7" s="3">
        <f t="shared" si="2"/>
        <v>0.50801436249446441</v>
      </c>
      <c r="Q7" s="3">
        <f t="shared" si="3"/>
        <v>4.9452725552558488E-2</v>
      </c>
      <c r="R7" s="3">
        <f t="shared" si="4"/>
        <v>0.50933662788357026</v>
      </c>
      <c r="T7" s="3" t="s">
        <v>6</v>
      </c>
      <c r="U7" s="3"/>
      <c r="V7" s="3"/>
      <c r="W7" s="3"/>
      <c r="X7" s="3"/>
      <c r="Y7" s="3"/>
      <c r="Z7" s="3"/>
    </row>
    <row r="8" spans="2:26" x14ac:dyDescent="0.2">
      <c r="C8" t="s">
        <v>21</v>
      </c>
      <c r="D8">
        <v>3.5799999999999998E-2</v>
      </c>
      <c r="E8">
        <v>0.37140000000000001</v>
      </c>
      <c r="F8">
        <v>3.8199999999999998E-2</v>
      </c>
      <c r="G8">
        <v>0.38950000000000001</v>
      </c>
      <c r="H8">
        <v>3.6999999999999998E-2</v>
      </c>
      <c r="I8">
        <v>0.39100000000000001</v>
      </c>
      <c r="K8">
        <v>0.75506447044793912</v>
      </c>
      <c r="M8">
        <f t="shared" si="5"/>
        <v>4.7413169869801694E-2</v>
      </c>
      <c r="N8">
        <f t="shared" si="0"/>
        <v>0.49187852764369694</v>
      </c>
      <c r="O8">
        <f t="shared" si="1"/>
        <v>5.0591706397386166E-2</v>
      </c>
      <c r="P8">
        <f t="shared" si="2"/>
        <v>0.5158499906225632</v>
      </c>
      <c r="Q8">
        <f t="shared" si="3"/>
        <v>4.900243813359393E-2</v>
      </c>
      <c r="R8">
        <f t="shared" si="4"/>
        <v>0.51783657595230348</v>
      </c>
      <c r="T8" t="s">
        <v>8</v>
      </c>
      <c r="U8">
        <f t="shared" ref="U8:Z8" si="8">AVERAGE(M7:M9)</f>
        <v>4.5837041606382849E-2</v>
      </c>
      <c r="V8">
        <f t="shared" si="8"/>
        <v>0.48735720872137889</v>
      </c>
      <c r="W8">
        <f t="shared" si="8"/>
        <v>5.072754894670136E-2</v>
      </c>
      <c r="X8">
        <f t="shared" si="8"/>
        <v>0.51128897251800842</v>
      </c>
      <c r="Y8">
        <f t="shared" si="8"/>
        <v>4.9052941576996641E-2</v>
      </c>
      <c r="Z8">
        <f t="shared" si="8"/>
        <v>0.51437174637733263</v>
      </c>
    </row>
    <row r="9" spans="2:26" x14ac:dyDescent="0.2">
      <c r="C9" s="2" t="s">
        <v>22</v>
      </c>
      <c r="D9" s="2">
        <v>3.3799999999999997E-2</v>
      </c>
      <c r="E9" s="2">
        <v>0.36870000000000003</v>
      </c>
      <c r="F9" s="2">
        <v>3.8300000000000001E-2</v>
      </c>
      <c r="G9" s="2">
        <v>0.38640000000000002</v>
      </c>
      <c r="H9" s="2">
        <v>3.6900000000000002E-2</v>
      </c>
      <c r="I9" s="2">
        <v>0.39090000000000003</v>
      </c>
      <c r="K9" s="2">
        <v>0.75764324916004089</v>
      </c>
      <c r="M9" s="2">
        <f t="shared" si="5"/>
        <v>4.4612025564105894E-2</v>
      </c>
      <c r="N9" s="2">
        <f t="shared" si="0"/>
        <v>0.48664064572443333</v>
      </c>
      <c r="O9" s="2">
        <f t="shared" si="1"/>
        <v>5.0551496423232423E-2</v>
      </c>
      <c r="P9" s="2">
        <f t="shared" si="2"/>
        <v>0.51000256443699765</v>
      </c>
      <c r="Q9" s="2">
        <f t="shared" si="3"/>
        <v>4.8703661044837511E-2</v>
      </c>
      <c r="R9" s="2">
        <f t="shared" si="4"/>
        <v>0.51594203529612415</v>
      </c>
      <c r="T9" s="2" t="s">
        <v>9</v>
      </c>
      <c r="U9" s="2">
        <f t="shared" ref="U9:Z9" si="9">STDEV(M7:M9)</f>
        <v>1.4331999857693956E-3</v>
      </c>
      <c r="V9" s="2">
        <f t="shared" si="9"/>
        <v>4.2090352206628047E-3</v>
      </c>
      <c r="W9" s="2">
        <f t="shared" si="9"/>
        <v>2.7085625860523844E-4</v>
      </c>
      <c r="X9" s="2">
        <f t="shared" si="9"/>
        <v>4.0731316396147342E-3</v>
      </c>
      <c r="Y9" s="2">
        <f t="shared" si="9"/>
        <v>3.7707738930949666E-4</v>
      </c>
      <c r="Z9" s="2">
        <f t="shared" si="9"/>
        <v>4.4622454839632003E-3</v>
      </c>
    </row>
    <row r="10" spans="2:26" x14ac:dyDescent="0.2">
      <c r="B10" t="s">
        <v>12</v>
      </c>
      <c r="C10" s="3" t="s">
        <v>20</v>
      </c>
      <c r="D10" s="3">
        <v>3.6700000000000003E-2</v>
      </c>
      <c r="E10" s="3">
        <v>0.3634</v>
      </c>
      <c r="F10" s="3">
        <v>3.7199999999999997E-2</v>
      </c>
      <c r="G10" s="3">
        <v>0.38279999999999997</v>
      </c>
      <c r="H10" s="3">
        <v>3.6600000000000001E-2</v>
      </c>
      <c r="I10" s="3">
        <v>0.38519999999999999</v>
      </c>
      <c r="K10" s="3">
        <v>0.75769992795389052</v>
      </c>
      <c r="M10" s="3">
        <f>D10/$K10</f>
        <v>4.8436061092292156E-2</v>
      </c>
      <c r="N10" s="3">
        <f t="shared" si="0"/>
        <v>0.47960938967136146</v>
      </c>
      <c r="O10" s="3">
        <f t="shared" si="1"/>
        <v>4.9095952932786589E-2</v>
      </c>
      <c r="P10" s="3">
        <f t="shared" si="2"/>
        <v>0.50521319308254586</v>
      </c>
      <c r="Q10" s="3">
        <f t="shared" si="3"/>
        <v>4.8304082724193259E-2</v>
      </c>
      <c r="R10" s="3">
        <f t="shared" si="4"/>
        <v>0.50838067391691921</v>
      </c>
      <c r="T10" s="3" t="s">
        <v>7</v>
      </c>
      <c r="U10" s="3"/>
      <c r="V10" s="3"/>
      <c r="W10" s="3"/>
      <c r="X10" s="3"/>
      <c r="Y10" s="3"/>
      <c r="Z10" s="3"/>
    </row>
    <row r="11" spans="2:26" x14ac:dyDescent="0.2">
      <c r="C11" t="s">
        <v>21</v>
      </c>
      <c r="D11">
        <v>3.3099999999999997E-2</v>
      </c>
      <c r="E11">
        <v>0.35549999999999998</v>
      </c>
      <c r="F11">
        <v>3.8100000000000002E-2</v>
      </c>
      <c r="G11">
        <v>0.37840000000000001</v>
      </c>
      <c r="H11">
        <v>3.7600000000000001E-2</v>
      </c>
      <c r="I11">
        <v>0.38169999999999998</v>
      </c>
      <c r="K11">
        <v>0.75758787750728207</v>
      </c>
      <c r="M11">
        <f t="shared" si="5"/>
        <v>4.3691301013039023E-2</v>
      </c>
      <c r="N11">
        <f t="shared" si="0"/>
        <v>0.46925249275333453</v>
      </c>
      <c r="O11">
        <f t="shared" si="1"/>
        <v>5.0291195425884803E-2</v>
      </c>
      <c r="P11">
        <f t="shared" si="2"/>
        <v>0.49948000916416824</v>
      </c>
      <c r="Q11">
        <f t="shared" si="3"/>
        <v>4.9631205984600225E-2</v>
      </c>
      <c r="R11">
        <f t="shared" si="4"/>
        <v>0.5038359394766464</v>
      </c>
      <c r="T11" t="s">
        <v>8</v>
      </c>
      <c r="U11">
        <f t="shared" ref="U11:Z11" si="10">AVERAGE(M10:M12)</f>
        <v>4.5851558191872623E-2</v>
      </c>
      <c r="V11">
        <f t="shared" si="10"/>
        <v>0.47201904862181499</v>
      </c>
      <c r="W11">
        <f t="shared" si="10"/>
        <v>4.9337230344048466E-2</v>
      </c>
      <c r="X11">
        <f t="shared" si="10"/>
        <v>0.50110929867293508</v>
      </c>
      <c r="Y11">
        <f t="shared" si="10"/>
        <v>4.8986495052555305E-2</v>
      </c>
      <c r="Z11">
        <f t="shared" si="10"/>
        <v>0.50641467881634117</v>
      </c>
    </row>
    <row r="12" spans="2:26" x14ac:dyDescent="0.2">
      <c r="C12" s="2" t="s">
        <v>22</v>
      </c>
      <c r="D12" s="2">
        <v>3.4099999999999998E-2</v>
      </c>
      <c r="E12" s="2">
        <v>0.35070000000000001</v>
      </c>
      <c r="F12" s="2">
        <v>3.6499999999999998E-2</v>
      </c>
      <c r="G12" s="2">
        <v>0.37430000000000002</v>
      </c>
      <c r="H12" s="2">
        <v>3.6799999999999999E-2</v>
      </c>
      <c r="I12" s="2">
        <v>0.38059999999999999</v>
      </c>
      <c r="K12" s="2">
        <v>0.75064973351228492</v>
      </c>
      <c r="M12" s="2">
        <f t="shared" si="5"/>
        <v>4.5427312470286689E-2</v>
      </c>
      <c r="N12" s="2">
        <f t="shared" si="0"/>
        <v>0.46719526344074902</v>
      </c>
      <c r="O12" s="2">
        <f t="shared" si="1"/>
        <v>4.8624542673474019E-2</v>
      </c>
      <c r="P12" s="2">
        <f t="shared" si="2"/>
        <v>0.49863469377209113</v>
      </c>
      <c r="Q12" s="2">
        <f t="shared" si="3"/>
        <v>4.9024196448872438E-2</v>
      </c>
      <c r="R12" s="2">
        <f t="shared" si="4"/>
        <v>0.50702742305545789</v>
      </c>
      <c r="T12" s="2" t="s">
        <v>9</v>
      </c>
      <c r="U12" s="2">
        <f t="shared" ref="U12:Z12" si="11">STDEV(M10:M12)</f>
        <v>2.4006614456502451E-3</v>
      </c>
      <c r="V12" s="2">
        <f t="shared" si="11"/>
        <v>6.6534206275766757E-3</v>
      </c>
      <c r="W12" s="2">
        <f t="shared" si="11"/>
        <v>8.5912393818851119E-4</v>
      </c>
      <c r="X12" s="2">
        <f t="shared" si="11"/>
        <v>3.5791202161909313E-3</v>
      </c>
      <c r="Y12" s="2">
        <f t="shared" si="11"/>
        <v>6.6436442073721869E-4</v>
      </c>
      <c r="Z12" s="2">
        <f t="shared" si="11"/>
        <v>2.3335047482442605E-3</v>
      </c>
    </row>
    <row r="17" spans="12:18" x14ac:dyDescent="0.2">
      <c r="L17" s="1"/>
    </row>
    <row r="18" spans="12:18" x14ac:dyDescent="0.2">
      <c r="L18" s="1"/>
      <c r="M18" t="s">
        <v>13</v>
      </c>
      <c r="N18" t="s">
        <v>14</v>
      </c>
      <c r="O18" t="s">
        <v>15</v>
      </c>
      <c r="P18" t="s">
        <v>16</v>
      </c>
      <c r="Q18" t="s">
        <v>17</v>
      </c>
      <c r="R18" t="s">
        <v>18</v>
      </c>
    </row>
    <row r="19" spans="12:18" x14ac:dyDescent="0.2">
      <c r="L19" s="3"/>
      <c r="M19" s="3"/>
      <c r="N19" s="3"/>
      <c r="O19" s="3"/>
      <c r="P19" s="3"/>
      <c r="Q19" s="3"/>
      <c r="R19" s="3"/>
    </row>
    <row r="20" spans="12:18" x14ac:dyDescent="0.2">
      <c r="L20" t="s">
        <v>10</v>
      </c>
      <c r="M20">
        <f>U5</f>
        <v>4.6169526063585924E-2</v>
      </c>
      <c r="N20">
        <f>W5</f>
        <v>5.0955683702201916E-2</v>
      </c>
      <c r="O20">
        <f>Y5</f>
        <v>4.9714251860763337E-2</v>
      </c>
      <c r="P20">
        <f>V5</f>
        <v>0.50150271138562996</v>
      </c>
      <c r="Q20">
        <f>X5</f>
        <v>0.50951333127753862</v>
      </c>
      <c r="R20">
        <f>Z5</f>
        <v>0.50738430295020065</v>
      </c>
    </row>
    <row r="21" spans="12:18" x14ac:dyDescent="0.2">
      <c r="L21" s="2"/>
      <c r="M21" s="2">
        <f>U6</f>
        <v>2.7284928185861267E-3</v>
      </c>
      <c r="N21" s="2">
        <f>W6</f>
        <v>6.594283365418611E-4</v>
      </c>
      <c r="O21" s="2">
        <f>Y6</f>
        <v>9.8859106265907415E-4</v>
      </c>
      <c r="P21" s="2">
        <f>V6</f>
        <v>1.8521841552416613E-2</v>
      </c>
      <c r="Q21" s="2">
        <f>X6</f>
        <v>7.1230331208661304E-3</v>
      </c>
      <c r="R21" s="2">
        <f>Z6</f>
        <v>6.8336162549113011E-3</v>
      </c>
    </row>
    <row r="22" spans="12:18" x14ac:dyDescent="0.2">
      <c r="L22" s="3"/>
      <c r="M22" s="3"/>
      <c r="N22" s="3"/>
      <c r="O22" s="3"/>
      <c r="P22" s="3"/>
      <c r="Q22" s="3"/>
      <c r="R22" s="3"/>
    </row>
    <row r="23" spans="12:18" x14ac:dyDescent="0.2">
      <c r="L23" t="s">
        <v>11</v>
      </c>
      <c r="M23">
        <f>U8</f>
        <v>4.5837041606382849E-2</v>
      </c>
      <c r="N23">
        <f>W8</f>
        <v>5.072754894670136E-2</v>
      </c>
      <c r="O23">
        <f>Y8</f>
        <v>4.9052941576996641E-2</v>
      </c>
      <c r="P23">
        <f>V8</f>
        <v>0.48735720872137889</v>
      </c>
      <c r="Q23">
        <f>X8</f>
        <v>0.51128897251800842</v>
      </c>
      <c r="R23">
        <f>Z8</f>
        <v>0.51437174637733263</v>
      </c>
    </row>
    <row r="24" spans="12:18" x14ac:dyDescent="0.2">
      <c r="L24" s="2"/>
      <c r="M24" s="2">
        <f>U9</f>
        <v>1.4331999857693956E-3</v>
      </c>
      <c r="N24" s="2">
        <f>W9</f>
        <v>2.7085625860523844E-4</v>
      </c>
      <c r="O24" s="2">
        <f>Y9</f>
        <v>3.7707738930949666E-4</v>
      </c>
      <c r="P24" s="2">
        <f>V9</f>
        <v>4.2090352206628047E-3</v>
      </c>
      <c r="Q24" s="2">
        <f>X9</f>
        <v>4.0731316396147342E-3</v>
      </c>
      <c r="R24" s="2">
        <f>Z9</f>
        <v>4.4622454839632003E-3</v>
      </c>
    </row>
    <row r="25" spans="12:18" x14ac:dyDescent="0.2">
      <c r="L25" s="3"/>
      <c r="M25" s="3"/>
      <c r="N25" s="3"/>
      <c r="O25" s="3"/>
      <c r="P25" s="3"/>
      <c r="Q25" s="3"/>
      <c r="R25" s="3"/>
    </row>
    <row r="26" spans="12:18" x14ac:dyDescent="0.2">
      <c r="L26" t="s">
        <v>12</v>
      </c>
      <c r="M26">
        <f>U11</f>
        <v>4.5851558191872623E-2</v>
      </c>
      <c r="N26">
        <f>W11</f>
        <v>4.9337230344048466E-2</v>
      </c>
      <c r="O26">
        <f>Y11</f>
        <v>4.8986495052555305E-2</v>
      </c>
      <c r="P26">
        <f>V11</f>
        <v>0.47201904862181499</v>
      </c>
      <c r="Q26">
        <f>X11</f>
        <v>0.50110929867293508</v>
      </c>
      <c r="R26">
        <f>Z11</f>
        <v>0.50641467881634117</v>
      </c>
    </row>
    <row r="27" spans="12:18" x14ac:dyDescent="0.2">
      <c r="L27" s="2"/>
      <c r="M27" s="2">
        <f>U12</f>
        <v>2.4006614456502451E-3</v>
      </c>
      <c r="N27" s="2">
        <f>W12</f>
        <v>8.5912393818851119E-4</v>
      </c>
      <c r="O27" s="2">
        <f>Y12</f>
        <v>6.6436442073721869E-4</v>
      </c>
      <c r="P27" s="2">
        <f>V12</f>
        <v>6.6534206275766757E-3</v>
      </c>
      <c r="Q27" s="2">
        <f>X12</f>
        <v>3.5791202161909313E-3</v>
      </c>
      <c r="R27" s="2">
        <f>Z12</f>
        <v>2.3335047482442605E-3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E039-31BB-584C-97AC-BF60F6EFF66F}">
  <dimension ref="B2:G12"/>
  <sheetViews>
    <sheetView workbookViewId="0">
      <selection activeCell="J12" sqref="J12"/>
    </sheetView>
  </sheetViews>
  <sheetFormatPr baseColWidth="10" defaultRowHeight="16" x14ac:dyDescent="0.2"/>
  <sheetData>
    <row r="2" spans="2:7" x14ac:dyDescent="0.2">
      <c r="D2" t="s">
        <v>25</v>
      </c>
    </row>
    <row r="3" spans="2:7" x14ac:dyDescent="0.2">
      <c r="D3" t="s">
        <v>0</v>
      </c>
      <c r="E3" t="s">
        <v>1</v>
      </c>
      <c r="F3" t="s">
        <v>2</v>
      </c>
      <c r="G3" t="s">
        <v>3</v>
      </c>
    </row>
    <row r="4" spans="2:7" x14ac:dyDescent="0.2">
      <c r="B4" s="3" t="s">
        <v>10</v>
      </c>
      <c r="C4" s="3" t="s">
        <v>20</v>
      </c>
      <c r="D4" s="3">
        <v>12.898300000000001</v>
      </c>
      <c r="E4" s="3">
        <v>22.740300000000001</v>
      </c>
      <c r="F4" s="3">
        <v>25.9861</v>
      </c>
      <c r="G4" s="3">
        <f t="shared" ref="G4:G12" si="0">(E4-D4)/(F4-D4)</f>
        <v>0.75199804397988967</v>
      </c>
    </row>
    <row r="5" spans="2:7" x14ac:dyDescent="0.2">
      <c r="C5" t="s">
        <v>21</v>
      </c>
      <c r="D5">
        <v>12.9377</v>
      </c>
      <c r="E5">
        <v>22.802</v>
      </c>
      <c r="F5">
        <v>26.031700000000001</v>
      </c>
      <c r="G5">
        <f t="shared" si="0"/>
        <v>0.75334504353138831</v>
      </c>
    </row>
    <row r="6" spans="2:7" x14ac:dyDescent="0.2">
      <c r="B6" s="2"/>
      <c r="C6" s="2" t="s">
        <v>22</v>
      </c>
      <c r="D6" s="2">
        <v>12.769399999999999</v>
      </c>
      <c r="E6" s="2">
        <v>22.474699999999999</v>
      </c>
      <c r="F6" s="2">
        <v>25.7166</v>
      </c>
      <c r="G6" s="2">
        <f t="shared" si="0"/>
        <v>0.74960609243697474</v>
      </c>
    </row>
    <row r="7" spans="2:7" x14ac:dyDescent="0.2">
      <c r="B7" s="3" t="s">
        <v>11</v>
      </c>
      <c r="C7" s="3" t="s">
        <v>20</v>
      </c>
      <c r="D7" s="3">
        <v>13.090400000000001</v>
      </c>
      <c r="E7" s="3">
        <v>23.026</v>
      </c>
      <c r="F7" s="3">
        <v>26.227900000000002</v>
      </c>
      <c r="G7" s="3">
        <f t="shared" si="0"/>
        <v>0.75627783063748799</v>
      </c>
    </row>
    <row r="8" spans="2:7" x14ac:dyDescent="0.2">
      <c r="C8" t="s">
        <v>21</v>
      </c>
      <c r="D8">
        <v>13.0555</v>
      </c>
      <c r="E8">
        <v>23.186199999999999</v>
      </c>
      <c r="F8">
        <v>26.4725</v>
      </c>
      <c r="G8">
        <f t="shared" si="0"/>
        <v>0.75506447044793912</v>
      </c>
    </row>
    <row r="9" spans="2:7" x14ac:dyDescent="0.2">
      <c r="B9" s="2"/>
      <c r="C9" s="2" t="s">
        <v>22</v>
      </c>
      <c r="D9" s="2">
        <v>13.066000000000001</v>
      </c>
      <c r="E9" s="2">
        <v>23.033100000000001</v>
      </c>
      <c r="F9" s="2">
        <v>26.221399999999999</v>
      </c>
      <c r="G9" s="2">
        <f t="shared" si="0"/>
        <v>0.75764324916004089</v>
      </c>
    </row>
    <row r="10" spans="2:7" x14ac:dyDescent="0.2">
      <c r="B10" s="3" t="s">
        <v>12</v>
      </c>
      <c r="C10" s="3" t="s">
        <v>20</v>
      </c>
      <c r="D10" s="3">
        <v>12.815899999999999</v>
      </c>
      <c r="E10" s="3">
        <v>22.912099999999999</v>
      </c>
      <c r="F10" s="3">
        <v>26.140699999999999</v>
      </c>
      <c r="G10" s="3">
        <f t="shared" si="0"/>
        <v>0.75769992795389052</v>
      </c>
    </row>
    <row r="11" spans="2:7" x14ac:dyDescent="0.2">
      <c r="C11" t="s">
        <v>21</v>
      </c>
      <c r="D11">
        <v>12.836499999999999</v>
      </c>
      <c r="E11">
        <v>22.875599999999999</v>
      </c>
      <c r="F11">
        <v>26.087900000000001</v>
      </c>
      <c r="G11">
        <f t="shared" si="0"/>
        <v>0.75758787750728207</v>
      </c>
    </row>
    <row r="12" spans="2:7" x14ac:dyDescent="0.2">
      <c r="B12" s="2"/>
      <c r="C12" s="2" t="s">
        <v>22</v>
      </c>
      <c r="D12" s="2">
        <v>12.9353</v>
      </c>
      <c r="E12" s="2">
        <v>22.6111</v>
      </c>
      <c r="F12" s="2">
        <v>25.825199999999999</v>
      </c>
      <c r="G12" s="2">
        <f t="shared" si="0"/>
        <v>0.75064973351228492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Concentrations</vt:lpstr>
      <vt:lpstr>Correction 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Armstrong</dc:creator>
  <cp:lastModifiedBy>Owen Armstrong</cp:lastModifiedBy>
  <dcterms:created xsi:type="dcterms:W3CDTF">2025-03-07T20:42:38Z</dcterms:created>
  <dcterms:modified xsi:type="dcterms:W3CDTF">2026-04-13T17:51:08Z</dcterms:modified>
</cp:coreProperties>
</file>