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/Library/CloudStorage/OneDrive-McGillUniversity/GRAD SCHOOL/Projects/Armstrong et al_/Armstrong Data Feb 2026/"/>
    </mc:Choice>
  </mc:AlternateContent>
  <xr:revisionPtr revIDLastSave="0" documentId="13_ncr:1_{56A6357A-7595-E74F-AABA-449A7F7B98B9}" xr6:coauthVersionLast="47" xr6:coauthVersionMax="47" xr10:uidLastSave="{00000000-0000-0000-0000-000000000000}"/>
  <bookViews>
    <workbookView xWindow="0" yWindow="0" windowWidth="38400" windowHeight="21600" xr2:uid="{980CDB93-2DAD-1F4F-B6DF-9E59BE5E07BA}"/>
  </bookViews>
  <sheets>
    <sheet name="Fig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8" i="1" l="1"/>
  <c r="J68" i="1"/>
  <c r="I68" i="1"/>
  <c r="H68" i="1"/>
  <c r="G68" i="1"/>
  <c r="F68" i="1"/>
  <c r="E68" i="1"/>
  <c r="D68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C30" i="1"/>
  <c r="C14" i="1"/>
  <c r="Q64" i="1"/>
  <c r="K78" i="1"/>
  <c r="K77" i="1"/>
  <c r="K76" i="1"/>
  <c r="K75" i="1"/>
  <c r="K74" i="1"/>
  <c r="J78" i="1"/>
  <c r="J77" i="1"/>
  <c r="J76" i="1"/>
  <c r="J75" i="1"/>
  <c r="J74" i="1"/>
  <c r="I78" i="1"/>
  <c r="I77" i="1"/>
  <c r="I76" i="1"/>
  <c r="I75" i="1"/>
  <c r="I74" i="1"/>
  <c r="H78" i="1"/>
  <c r="H77" i="1"/>
  <c r="H76" i="1"/>
  <c r="H75" i="1"/>
  <c r="H74" i="1"/>
  <c r="D74" i="1"/>
  <c r="G78" i="1"/>
  <c r="G77" i="1"/>
  <c r="G76" i="1"/>
  <c r="G75" i="1"/>
  <c r="G74" i="1"/>
  <c r="F78" i="1"/>
  <c r="F77" i="1"/>
  <c r="F76" i="1"/>
  <c r="F75" i="1"/>
  <c r="F74" i="1"/>
  <c r="E78" i="1"/>
  <c r="E77" i="1"/>
  <c r="E76" i="1"/>
  <c r="E75" i="1"/>
  <c r="E74" i="1"/>
  <c r="D78" i="1"/>
  <c r="D77" i="1"/>
  <c r="D76" i="1"/>
  <c r="D75" i="1"/>
  <c r="K72" i="1"/>
  <c r="K71" i="1"/>
  <c r="K70" i="1"/>
  <c r="K69" i="1"/>
  <c r="J72" i="1"/>
  <c r="J71" i="1"/>
  <c r="J70" i="1"/>
  <c r="J69" i="1"/>
  <c r="I72" i="1"/>
  <c r="I71" i="1"/>
  <c r="I70" i="1"/>
  <c r="I69" i="1"/>
  <c r="H72" i="1"/>
  <c r="H71" i="1"/>
  <c r="H70" i="1"/>
  <c r="H69" i="1"/>
  <c r="G72" i="1"/>
  <c r="G71" i="1"/>
  <c r="G70" i="1"/>
  <c r="G69" i="1"/>
  <c r="F72" i="1"/>
  <c r="F71" i="1"/>
  <c r="F70" i="1"/>
  <c r="F69" i="1"/>
  <c r="E72" i="1"/>
  <c r="E71" i="1"/>
  <c r="E70" i="1"/>
  <c r="E69" i="1"/>
  <c r="D72" i="1"/>
  <c r="D71" i="1"/>
  <c r="D70" i="1"/>
  <c r="D69" i="1"/>
  <c r="D14" i="1" l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Q16" i="1" l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C46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C71" i="1"/>
  <c r="C70" i="1"/>
  <c r="C68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I32" i="1"/>
  <c r="J32" i="1"/>
  <c r="K32" i="1"/>
  <c r="I31" i="1"/>
  <c r="J31" i="1"/>
  <c r="K31" i="1"/>
  <c r="F32" i="1"/>
  <c r="G32" i="1"/>
  <c r="H32" i="1"/>
  <c r="F31" i="1"/>
  <c r="G31" i="1"/>
  <c r="H31" i="1"/>
  <c r="E32" i="1" l="1"/>
  <c r="D32" i="1"/>
  <c r="C32" i="1"/>
  <c r="E31" i="1"/>
  <c r="D31" i="1"/>
  <c r="C31" i="1"/>
  <c r="C74" i="1"/>
  <c r="C72" i="1"/>
  <c r="L32" i="1" l="1"/>
  <c r="M32" i="1"/>
  <c r="N32" i="1"/>
  <c r="O32" i="1"/>
  <c r="P32" i="1"/>
  <c r="Q32" i="1"/>
  <c r="L31" i="1"/>
  <c r="M31" i="1"/>
  <c r="N31" i="1"/>
  <c r="O31" i="1"/>
  <c r="P31" i="1"/>
  <c r="Q31" i="1"/>
</calcChain>
</file>

<file path=xl/sharedStrings.xml><?xml version="1.0" encoding="utf-8"?>
<sst xmlns="http://schemas.openxmlformats.org/spreadsheetml/2006/main" count="128" uniqueCount="33">
  <si>
    <t>Jar 1</t>
  </si>
  <si>
    <t>Jar 2</t>
  </si>
  <si>
    <t>Jar 3</t>
  </si>
  <si>
    <t>condition 1</t>
  </si>
  <si>
    <t>condition 2</t>
  </si>
  <si>
    <t>condition 3</t>
  </si>
  <si>
    <t>initial</t>
  </si>
  <si>
    <t>30s settling</t>
  </si>
  <si>
    <t>180s settling</t>
  </si>
  <si>
    <t>condition 4</t>
  </si>
  <si>
    <t>avg initial</t>
  </si>
  <si>
    <t>avg 30s</t>
  </si>
  <si>
    <t>avg 180s</t>
  </si>
  <si>
    <t>30 s settling</t>
  </si>
  <si>
    <t>180 s settling</t>
  </si>
  <si>
    <t>condition 5</t>
  </si>
  <si>
    <t>conc. (mg/L)</t>
  </si>
  <si>
    <t>average data</t>
  </si>
  <si>
    <t>fiber</t>
  </si>
  <si>
    <t>STDEV</t>
  </si>
  <si>
    <t>pristine</t>
  </si>
  <si>
    <t>AVG</t>
  </si>
  <si>
    <t>N+ (1hr)</t>
  </si>
  <si>
    <t>N+ (2hr)</t>
  </si>
  <si>
    <t>N+(1hr)</t>
  </si>
  <si>
    <t>N+(2hr)</t>
  </si>
  <si>
    <t>N+ (30 min)</t>
  </si>
  <si>
    <t>pristine fiber</t>
  </si>
  <si>
    <t>modified (30 min ox)</t>
  </si>
  <si>
    <t>modified (60 min ox)</t>
  </si>
  <si>
    <t>modified (120 min ox)</t>
  </si>
  <si>
    <t>conventional 30s</t>
  </si>
  <si>
    <t>conventional 180s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</si>
</sst>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0" xfId="0" applyFont="1"/>
    <xf numFmtId="164" fontId="0" fillId="0" borderId="1" xfId="0" applyNumberFormat="1" applyBorder="1"/>
    <xf numFmtId="164" fontId="0" fillId="0" borderId="2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2" borderId="0" xfId="0" applyNumberFormat="1" applyFill="1"/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97D23"/>
      <color rgb="FFCC2830"/>
      <color rgb="FF7B320C"/>
      <color rgb="FF85C6D4"/>
      <color rgb="FFD08704"/>
      <color rgb="FF3A7D23"/>
      <color rgb="FF0B76A0"/>
      <color rgb="FFCE2730"/>
      <color rgb="FFDF9706"/>
      <color rgb="FFCC28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43170027355963"/>
          <c:y val="2.6262345679012346E-2"/>
          <c:w val="0.74965350713867873"/>
          <c:h val="0.78301234567901234"/>
        </c:manualLayout>
      </c:layout>
      <c:scatterChart>
        <c:scatterStyle val="lineMarker"/>
        <c:varyColors val="0"/>
        <c:ser>
          <c:idx val="4"/>
          <c:order val="0"/>
          <c:tx>
            <c:v>conventional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'Fig 3'!$C$81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'Fig 3'!$D$81</c:f>
              <c:numCache>
                <c:formatCode>General</c:formatCode>
                <c:ptCount val="1"/>
                <c:pt idx="0">
                  <c:v>24.3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02-2943-9D16-7FC742440838}"/>
            </c:ext>
          </c:extLst>
        </c:ser>
        <c:ser>
          <c:idx val="3"/>
          <c:order val="1"/>
          <c:tx>
            <c:strRef>
              <c:f>'Fig 3'!$B$2</c:f>
              <c:strCache>
                <c:ptCount val="1"/>
                <c:pt idx="0">
                  <c:v>pristine fiber</c:v>
                </c:pt>
              </c:strCache>
            </c:strRef>
          </c:tx>
          <c:spPr>
            <a:ln w="9525" cap="rnd">
              <a:solidFill>
                <a:srgbClr val="85C6D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3'!$H$74:$H$78</c:f>
                <c:numCache>
                  <c:formatCode>General</c:formatCode>
                  <c:ptCount val="5"/>
                  <c:pt idx="0">
                    <c:v>5.1192809101510779</c:v>
                  </c:pt>
                  <c:pt idx="1">
                    <c:v>2.5465299556091625</c:v>
                  </c:pt>
                  <c:pt idx="2">
                    <c:v>0.99573163125486774</c:v>
                  </c:pt>
                  <c:pt idx="3">
                    <c:v>1.5952475716373344</c:v>
                  </c:pt>
                  <c:pt idx="4">
                    <c:v>1.0631887745693955</c:v>
                  </c:pt>
                </c:numCache>
              </c:numRef>
            </c:plus>
            <c:minus>
              <c:numRef>
                <c:f>'Fig 3'!$H$74:$H$78</c:f>
                <c:numCache>
                  <c:formatCode>General</c:formatCode>
                  <c:ptCount val="5"/>
                  <c:pt idx="0">
                    <c:v>5.1192809101510779</c:v>
                  </c:pt>
                  <c:pt idx="1">
                    <c:v>2.5465299556091625</c:v>
                  </c:pt>
                  <c:pt idx="2">
                    <c:v>0.99573163125486774</c:v>
                  </c:pt>
                  <c:pt idx="3">
                    <c:v>1.5952475716373344</c:v>
                  </c:pt>
                  <c:pt idx="4">
                    <c:v>1.0631887745693955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3'!$C$74:$C$78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xVal>
          <c:yVal>
            <c:numRef>
              <c:f>'Fig 3'!$D$74:$D$78</c:f>
              <c:numCache>
                <c:formatCode>0.0</c:formatCode>
                <c:ptCount val="5"/>
                <c:pt idx="0">
                  <c:v>29.188888888888886</c:v>
                </c:pt>
                <c:pt idx="1">
                  <c:v>22.444444444444443</c:v>
                </c:pt>
                <c:pt idx="2">
                  <c:v>17.477777777777774</c:v>
                </c:pt>
                <c:pt idx="3">
                  <c:v>16.555555555555557</c:v>
                </c:pt>
                <c:pt idx="4">
                  <c:v>16.077777777777779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E3-DC46-A9CA-F5C4E8CCEDAE}"/>
            </c:ext>
          </c:extLst>
        </c:ser>
        <c:ser>
          <c:idx val="0"/>
          <c:order val="2"/>
          <c:tx>
            <c:strRef>
              <c:f>'Fig 3'!$B$18</c:f>
              <c:strCache>
                <c:ptCount val="1"/>
                <c:pt idx="0">
                  <c:v>modified (30 min ox)</c:v>
                </c:pt>
              </c:strCache>
            </c:strRef>
          </c:tx>
          <c:spPr>
            <a:ln w="9525" cap="rnd">
              <a:solidFill>
                <a:srgbClr val="397D2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397D23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3'!$I$74:$I$78</c:f>
                <c:numCache>
                  <c:formatCode>General</c:formatCode>
                  <c:ptCount val="5"/>
                  <c:pt idx="0">
                    <c:v>4.7460314805966908</c:v>
                  </c:pt>
                  <c:pt idx="1">
                    <c:v>3.1172162319988352</c:v>
                  </c:pt>
                  <c:pt idx="2">
                    <c:v>0.32369967791377507</c:v>
                  </c:pt>
                  <c:pt idx="3">
                    <c:v>0.46093303120872342</c:v>
                  </c:pt>
                  <c:pt idx="4">
                    <c:v>7.9535689636325721E-2</c:v>
                  </c:pt>
                </c:numCache>
              </c:numRef>
            </c:plus>
            <c:minus>
              <c:numRef>
                <c:f>'Fig 3'!$I$74:$I$78</c:f>
                <c:numCache>
                  <c:formatCode>General</c:formatCode>
                  <c:ptCount val="5"/>
                  <c:pt idx="0">
                    <c:v>4.7460314805966908</c:v>
                  </c:pt>
                  <c:pt idx="1">
                    <c:v>3.1172162319988352</c:v>
                  </c:pt>
                  <c:pt idx="2">
                    <c:v>0.32369967791377507</c:v>
                  </c:pt>
                  <c:pt idx="3">
                    <c:v>0.46093303120872342</c:v>
                  </c:pt>
                  <c:pt idx="4">
                    <c:v>7.9535689636325721E-2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'Fig 3'!$C$74:$C$78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xVal>
          <c:yVal>
            <c:numRef>
              <c:f>'Fig 3'!$E$74:$E$78</c:f>
              <c:numCache>
                <c:formatCode>0.0</c:formatCode>
                <c:ptCount val="5"/>
                <c:pt idx="0">
                  <c:v>20.277777777777775</c:v>
                </c:pt>
                <c:pt idx="1">
                  <c:v>14.577777777777778</c:v>
                </c:pt>
                <c:pt idx="2">
                  <c:v>8.094444444444445</c:v>
                </c:pt>
                <c:pt idx="3">
                  <c:v>3.4388888888888887</c:v>
                </c:pt>
                <c:pt idx="4">
                  <c:v>2.0577777777777779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2F-9E4F-86FD-D9178302BEF6}"/>
            </c:ext>
          </c:extLst>
        </c:ser>
        <c:ser>
          <c:idx val="1"/>
          <c:order val="3"/>
          <c:tx>
            <c:strRef>
              <c:f>'Fig 3'!$B$34</c:f>
              <c:strCache>
                <c:ptCount val="1"/>
                <c:pt idx="0">
                  <c:v>modified (60 min ox)</c:v>
                </c:pt>
              </c:strCache>
            </c:strRef>
          </c:tx>
          <c:spPr>
            <a:ln w="9525" cap="rnd">
              <a:solidFill>
                <a:srgbClr val="CC283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3'!$J$74:$J$78</c:f>
                <c:numCache>
                  <c:formatCode>General</c:formatCode>
                  <c:ptCount val="5"/>
                  <c:pt idx="0">
                    <c:v>10.548108484111864</c:v>
                  </c:pt>
                  <c:pt idx="1">
                    <c:v>0.72572824216884513</c:v>
                  </c:pt>
                  <c:pt idx="2">
                    <c:v>0.81969054684837717</c:v>
                  </c:pt>
                  <c:pt idx="3">
                    <c:v>0.28570251298496824</c:v>
                  </c:pt>
                  <c:pt idx="4">
                    <c:v>0.58621194498614926</c:v>
                  </c:pt>
                </c:numCache>
              </c:numRef>
            </c:plus>
            <c:minus>
              <c:numRef>
                <c:f>'Fig 3'!$J$74:$J$78</c:f>
                <c:numCache>
                  <c:formatCode>General</c:formatCode>
                  <c:ptCount val="5"/>
                  <c:pt idx="0">
                    <c:v>10.548108484111864</c:v>
                  </c:pt>
                  <c:pt idx="1">
                    <c:v>0.72572824216884513</c:v>
                  </c:pt>
                  <c:pt idx="2">
                    <c:v>0.81969054684837717</c:v>
                  </c:pt>
                  <c:pt idx="3">
                    <c:v>0.28570251298496824</c:v>
                  </c:pt>
                  <c:pt idx="4">
                    <c:v>0.58621194498614926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3'!$C$74:$C$78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xVal>
          <c:yVal>
            <c:numRef>
              <c:f>'Fig 3'!$F$74:$F$78</c:f>
              <c:numCache>
                <c:formatCode>0.0</c:formatCode>
                <c:ptCount val="5"/>
                <c:pt idx="0">
                  <c:v>29.888888888888886</c:v>
                </c:pt>
                <c:pt idx="1">
                  <c:v>7.9022222222222211</c:v>
                </c:pt>
                <c:pt idx="2">
                  <c:v>4.2511111111111113</c:v>
                </c:pt>
                <c:pt idx="3">
                  <c:v>2.8144444444444452</c:v>
                </c:pt>
                <c:pt idx="4">
                  <c:v>5.3599999999999994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69-BC4F-A046-778450AE9FCB}"/>
            </c:ext>
          </c:extLst>
        </c:ser>
        <c:ser>
          <c:idx val="2"/>
          <c:order val="4"/>
          <c:tx>
            <c:strRef>
              <c:f>'Fig 3'!$B$50</c:f>
              <c:strCache>
                <c:ptCount val="1"/>
                <c:pt idx="0">
                  <c:v>modified (120 min ox)</c:v>
                </c:pt>
              </c:strCache>
            </c:strRef>
          </c:tx>
          <c:spPr>
            <a:ln w="9525" cap="rnd">
              <a:solidFill>
                <a:srgbClr val="7B320C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7B320C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3'!$K$74:$K$78</c:f>
                <c:numCache>
                  <c:formatCode>General</c:formatCode>
                  <c:ptCount val="5"/>
                  <c:pt idx="0">
                    <c:v>4.6694039591079681</c:v>
                  </c:pt>
                  <c:pt idx="1">
                    <c:v>0.31903210102038587</c:v>
                  </c:pt>
                  <c:pt idx="2">
                    <c:v>0.35653164630199996</c:v>
                  </c:pt>
                  <c:pt idx="3">
                    <c:v>0.84465202127091132</c:v>
                  </c:pt>
                  <c:pt idx="4">
                    <c:v>1.2230805067230557</c:v>
                  </c:pt>
                </c:numCache>
              </c:numRef>
            </c:plus>
            <c:minus>
              <c:numRef>
                <c:f>'Fig 3'!$K$74:$K$78</c:f>
                <c:numCache>
                  <c:formatCode>General</c:formatCode>
                  <c:ptCount val="5"/>
                  <c:pt idx="0">
                    <c:v>4.6694039591079681</c:v>
                  </c:pt>
                  <c:pt idx="1">
                    <c:v>0.31903210102038587</c:v>
                  </c:pt>
                  <c:pt idx="2">
                    <c:v>0.35653164630199996</c:v>
                  </c:pt>
                  <c:pt idx="3">
                    <c:v>0.84465202127091132</c:v>
                  </c:pt>
                  <c:pt idx="4">
                    <c:v>1.2230805067230557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'Fig 3'!$C$74:$C$78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xVal>
          <c:yVal>
            <c:numRef>
              <c:f>'Fig 3'!$G$74:$G$78</c:f>
              <c:numCache>
                <c:formatCode>0.0</c:formatCode>
                <c:ptCount val="5"/>
                <c:pt idx="0">
                  <c:v>21.3</c:v>
                </c:pt>
                <c:pt idx="1">
                  <c:v>3.6855555555555557</c:v>
                </c:pt>
                <c:pt idx="2">
                  <c:v>4.1611111111111114</c:v>
                </c:pt>
                <c:pt idx="3">
                  <c:v>7.9122222222222227</c:v>
                </c:pt>
                <c:pt idx="4">
                  <c:v>10.211111111111112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FC-4B4C-8992-2823880BD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20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fiber concentration (mg/L)</a:t>
                </a:r>
              </a:p>
            </c:rich>
          </c:tx>
          <c:layout>
            <c:manualLayout>
              <c:xMode val="edge"/>
              <c:yMode val="edge"/>
              <c:x val="0.27586519417037847"/>
              <c:y val="0.878419135802469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50"/>
      </c:valAx>
      <c:valAx>
        <c:axId val="1229934895"/>
        <c:scaling>
          <c:orientation val="minMax"/>
          <c:max val="5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10"/>
      </c:valAx>
      <c:spPr>
        <a:solidFill>
          <a:schemeClr val="bg1"/>
        </a:solidFill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5852830183839355"/>
          <c:y val="4.3509374116913371E-2"/>
          <c:w val="0.45434669500862102"/>
          <c:h val="0.33141667853402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25170940170939"/>
          <c:y val="5.0925925925925923E-2"/>
          <c:w val="0.79503376068376064"/>
          <c:h val="0.78307098765432082"/>
        </c:manualLayout>
      </c:layout>
      <c:scatterChart>
        <c:scatterStyle val="lineMarker"/>
        <c:varyColors val="0"/>
        <c:ser>
          <c:idx val="4"/>
          <c:order val="0"/>
          <c:tx>
            <c:v>conventional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'Fig 3'!$C$80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'Fig 3'!$D$80</c:f>
              <c:numCache>
                <c:formatCode>General</c:formatCode>
                <c:ptCount val="1"/>
                <c:pt idx="0">
                  <c:v>69.3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D3-BA4A-BF84-502976250FFE}"/>
            </c:ext>
          </c:extLst>
        </c:ser>
        <c:ser>
          <c:idx val="2"/>
          <c:order val="1"/>
          <c:tx>
            <c:strRef>
              <c:f>'Fig 3'!$B$2</c:f>
              <c:strCache>
                <c:ptCount val="1"/>
                <c:pt idx="0">
                  <c:v>pristine fiber</c:v>
                </c:pt>
              </c:strCache>
            </c:strRef>
          </c:tx>
          <c:spPr>
            <a:ln w="9525" cap="rnd">
              <a:solidFill>
                <a:srgbClr val="85C6D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85C6D4">
                  <a:alpha val="99000"/>
                </a:srgb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3'!$H$68:$H$72</c:f>
                <c:numCache>
                  <c:formatCode>General</c:formatCode>
                  <c:ptCount val="5"/>
                  <c:pt idx="0">
                    <c:v>4.3043044777335409</c:v>
                  </c:pt>
                  <c:pt idx="1">
                    <c:v>1.0447399109259097</c:v>
                  </c:pt>
                  <c:pt idx="2">
                    <c:v>8.335088704009328</c:v>
                  </c:pt>
                  <c:pt idx="3">
                    <c:v>3.6375103410824123</c:v>
                  </c:pt>
                  <c:pt idx="4">
                    <c:v>4.2344268054094858</c:v>
                  </c:pt>
                </c:numCache>
              </c:numRef>
            </c:plus>
            <c:minus>
              <c:numRef>
                <c:f>'Fig 3'!$H$68:$H$72</c:f>
                <c:numCache>
                  <c:formatCode>General</c:formatCode>
                  <c:ptCount val="5"/>
                  <c:pt idx="0">
                    <c:v>4.3043044777335409</c:v>
                  </c:pt>
                  <c:pt idx="1">
                    <c:v>1.0447399109259097</c:v>
                  </c:pt>
                  <c:pt idx="2">
                    <c:v>8.335088704009328</c:v>
                  </c:pt>
                  <c:pt idx="3">
                    <c:v>3.6375103410824123</c:v>
                  </c:pt>
                  <c:pt idx="4">
                    <c:v>4.2344268054094858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'Fig 3'!$C$68:$C$72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xVal>
          <c:yVal>
            <c:numRef>
              <c:f>'Fig 3'!$D$68:$D$72</c:f>
              <c:numCache>
                <c:formatCode>0.0</c:formatCode>
                <c:ptCount val="5"/>
                <c:pt idx="0">
                  <c:v>57.144444444444446</c:v>
                </c:pt>
                <c:pt idx="1">
                  <c:v>36.855555555555554</c:v>
                </c:pt>
                <c:pt idx="2">
                  <c:v>34.222222222222221</c:v>
                </c:pt>
                <c:pt idx="3">
                  <c:v>31.811111111111106</c:v>
                </c:pt>
                <c:pt idx="4">
                  <c:v>32.31111111111111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8E-3A45-8B2F-3F2D7B16B755}"/>
            </c:ext>
          </c:extLst>
        </c:ser>
        <c:ser>
          <c:idx val="0"/>
          <c:order val="2"/>
          <c:tx>
            <c:strRef>
              <c:f>'Fig 3'!$B$18</c:f>
              <c:strCache>
                <c:ptCount val="1"/>
                <c:pt idx="0">
                  <c:v>modified (30 min ox)</c:v>
                </c:pt>
              </c:strCache>
            </c:strRef>
          </c:tx>
          <c:spPr>
            <a:ln w="9525" cap="rnd">
              <a:solidFill>
                <a:srgbClr val="397D2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397D23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3'!$I$68:$I$72</c:f>
                <c:numCache>
                  <c:formatCode>General</c:formatCode>
                  <c:ptCount val="5"/>
                  <c:pt idx="0">
                    <c:v>6.9713965867945324</c:v>
                  </c:pt>
                  <c:pt idx="1">
                    <c:v>3.5349576978976573</c:v>
                  </c:pt>
                  <c:pt idx="2">
                    <c:v>2.4221967378883797</c:v>
                  </c:pt>
                  <c:pt idx="3">
                    <c:v>1.1861437674401176</c:v>
                  </c:pt>
                  <c:pt idx="4">
                    <c:v>0.33069511526368051</c:v>
                  </c:pt>
                </c:numCache>
              </c:numRef>
            </c:plus>
            <c:minus>
              <c:numRef>
                <c:f>'Fig 3'!$I$68:$I$72</c:f>
                <c:numCache>
                  <c:formatCode>General</c:formatCode>
                  <c:ptCount val="5"/>
                  <c:pt idx="0">
                    <c:v>6.9713965867945324</c:v>
                  </c:pt>
                  <c:pt idx="1">
                    <c:v>3.5349576978976573</c:v>
                  </c:pt>
                  <c:pt idx="2">
                    <c:v>2.4221967378883797</c:v>
                  </c:pt>
                  <c:pt idx="3">
                    <c:v>1.1861437674401176</c:v>
                  </c:pt>
                  <c:pt idx="4">
                    <c:v>0.33069511526368051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3'!$C$68:$C$72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xVal>
          <c:yVal>
            <c:numRef>
              <c:f>'Fig 3'!$E$68:$E$72</c:f>
              <c:numCache>
                <c:formatCode>0.0</c:formatCode>
                <c:ptCount val="5"/>
                <c:pt idx="0">
                  <c:v>49.611111111111114</c:v>
                </c:pt>
                <c:pt idx="1">
                  <c:v>29.455555555555552</c:v>
                </c:pt>
                <c:pt idx="2">
                  <c:v>14.422222222222222</c:v>
                </c:pt>
                <c:pt idx="3">
                  <c:v>4.3811111111111112</c:v>
                </c:pt>
                <c:pt idx="4">
                  <c:v>2.5755555555555554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B5-BB4C-A4B6-05F43575FD0A}"/>
            </c:ext>
          </c:extLst>
        </c:ser>
        <c:ser>
          <c:idx val="3"/>
          <c:order val="3"/>
          <c:tx>
            <c:strRef>
              <c:f>'Fig 3'!$B$34</c:f>
              <c:strCache>
                <c:ptCount val="1"/>
                <c:pt idx="0">
                  <c:v>modified (60 min ox)</c:v>
                </c:pt>
              </c:strCache>
            </c:strRef>
          </c:tx>
          <c:spPr>
            <a:ln w="9525" cap="rnd">
              <a:solidFill>
                <a:srgbClr val="CC283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C283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3'!$J$68:$J$72</c:f>
                <c:numCache>
                  <c:formatCode>General</c:formatCode>
                  <c:ptCount val="5"/>
                  <c:pt idx="0">
                    <c:v>2.3622807560428511</c:v>
                  </c:pt>
                  <c:pt idx="1">
                    <c:v>0.83845757859960413</c:v>
                  </c:pt>
                  <c:pt idx="2">
                    <c:v>1.347000783634184</c:v>
                  </c:pt>
                  <c:pt idx="3">
                    <c:v>2.1943133575474367</c:v>
                  </c:pt>
                  <c:pt idx="4">
                    <c:v>2.1172134027047407</c:v>
                  </c:pt>
                </c:numCache>
              </c:numRef>
            </c:plus>
            <c:minus>
              <c:numRef>
                <c:f>'Fig 3'!$J$68:$J$72</c:f>
                <c:numCache>
                  <c:formatCode>General</c:formatCode>
                  <c:ptCount val="5"/>
                  <c:pt idx="0">
                    <c:v>2.3622807560428511</c:v>
                  </c:pt>
                  <c:pt idx="1">
                    <c:v>0.83845757859960413</c:v>
                  </c:pt>
                  <c:pt idx="2">
                    <c:v>1.347000783634184</c:v>
                  </c:pt>
                  <c:pt idx="3">
                    <c:v>2.1943133575474367</c:v>
                  </c:pt>
                  <c:pt idx="4">
                    <c:v>2.1172134027047407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errBars>
          <c:xVal>
            <c:numRef>
              <c:f>'Fig 3'!$C$68:$C$72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xVal>
          <c:yVal>
            <c:numRef>
              <c:f>'Fig 3'!$F$68:$F$72</c:f>
              <c:numCache>
                <c:formatCode>0.0</c:formatCode>
                <c:ptCount val="5"/>
                <c:pt idx="0">
                  <c:v>53.577777777777783</c:v>
                </c:pt>
                <c:pt idx="1">
                  <c:v>8.5733333333333324</c:v>
                </c:pt>
                <c:pt idx="2">
                  <c:v>5.9033333333333333</c:v>
                </c:pt>
                <c:pt idx="3">
                  <c:v>4.873333333333334</c:v>
                </c:pt>
                <c:pt idx="4">
                  <c:v>17.344444444444445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D4-7445-AF16-A35CE61FAA5B}"/>
            </c:ext>
          </c:extLst>
        </c:ser>
        <c:ser>
          <c:idx val="1"/>
          <c:order val="4"/>
          <c:tx>
            <c:strRef>
              <c:f>'Fig 3'!$B$50</c:f>
              <c:strCache>
                <c:ptCount val="1"/>
                <c:pt idx="0">
                  <c:v>modified (120 min ox)</c:v>
                </c:pt>
              </c:strCache>
            </c:strRef>
          </c:tx>
          <c:spPr>
            <a:ln w="9525" cap="rnd">
              <a:solidFill>
                <a:srgbClr val="7B320C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7B320C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3'!$K$68:$K$72</c:f>
                <c:numCache>
                  <c:formatCode>General</c:formatCode>
                  <c:ptCount val="5"/>
                  <c:pt idx="0">
                    <c:v>0.88840264478402775</c:v>
                  </c:pt>
                  <c:pt idx="1">
                    <c:v>0.62640360909040593</c:v>
                  </c:pt>
                  <c:pt idx="2">
                    <c:v>4.7070081714318217</c:v>
                  </c:pt>
                  <c:pt idx="3">
                    <c:v>4.1878572263328611</c:v>
                  </c:pt>
                  <c:pt idx="4">
                    <c:v>4.9237519569260755</c:v>
                  </c:pt>
                </c:numCache>
              </c:numRef>
            </c:plus>
            <c:minus>
              <c:numRef>
                <c:f>'Fig 3'!$K$68:$K$72</c:f>
                <c:numCache>
                  <c:formatCode>General</c:formatCode>
                  <c:ptCount val="5"/>
                  <c:pt idx="0">
                    <c:v>0.88840264478402775</c:v>
                  </c:pt>
                  <c:pt idx="1">
                    <c:v>0.62640360909040593</c:v>
                  </c:pt>
                  <c:pt idx="2">
                    <c:v>4.7070081714318217</c:v>
                  </c:pt>
                  <c:pt idx="3">
                    <c:v>4.1878572263328611</c:v>
                  </c:pt>
                  <c:pt idx="4">
                    <c:v>4.9237519569260755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3'!$C$68:$C$72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xVal>
          <c:yVal>
            <c:numRef>
              <c:f>'Fig 3'!$G$68:$G$72</c:f>
              <c:numCache>
                <c:formatCode>0.0</c:formatCode>
                <c:ptCount val="5"/>
                <c:pt idx="0">
                  <c:v>45.222222222222221</c:v>
                </c:pt>
                <c:pt idx="1">
                  <c:v>4.695555555555555</c:v>
                </c:pt>
                <c:pt idx="2">
                  <c:v>18.277777777777779</c:v>
                </c:pt>
                <c:pt idx="3">
                  <c:v>31.988888888888891</c:v>
                </c:pt>
                <c:pt idx="4">
                  <c:v>49.766666666666673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D4-844C-A2F8-0B8A76AA9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20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fiber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50"/>
      </c:valAx>
      <c:valAx>
        <c:axId val="1229934895"/>
        <c:scaling>
          <c:orientation val="minMax"/>
          <c:max val="8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turbidity (NTU)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8985218480797063"/>
          <c:y val="6.9407564581039333E-2"/>
          <c:w val="0.51407172047833039"/>
          <c:h val="0.33141667853402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300069</xdr:colOff>
      <xdr:row>65</xdr:row>
      <xdr:rowOff>128179</xdr:rowOff>
    </xdr:from>
    <xdr:to>
      <xdr:col>19</xdr:col>
      <xdr:colOff>231486</xdr:colOff>
      <xdr:row>73</xdr:row>
      <xdr:rowOff>143258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CEC8AE-78B0-74C8-D935-5BE957C55B6A}"/>
            </a:ext>
          </a:extLst>
        </xdr:cNvPr>
        <xdr:cNvGrpSpPr/>
      </xdr:nvGrpSpPr>
      <xdr:grpSpPr>
        <a:xfrm>
          <a:off x="7308588" y="13122160"/>
          <a:ext cx="4446972" cy="1614339"/>
          <a:chOff x="7708842" y="13392818"/>
          <a:chExt cx="4400130" cy="1659228"/>
        </a:xfrm>
      </xdr:grpSpPr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F7DAFD3E-6F65-F4DD-61F9-BF08377707BF}"/>
              </a:ext>
            </a:extLst>
          </xdr:cNvPr>
          <xdr:cNvGrpSpPr/>
        </xdr:nvGrpSpPr>
        <xdr:grpSpPr>
          <a:xfrm>
            <a:off x="9769815" y="13432046"/>
            <a:ext cx="2339157" cy="1620000"/>
            <a:chOff x="11289326" y="3204374"/>
            <a:chExt cx="2332445" cy="1608060"/>
          </a:xfrm>
          <a:solidFill>
            <a:schemeClr val="bg1"/>
          </a:solidFill>
        </xdr:grpSpPr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C15762F8-AC57-DE1C-06F2-E890BDDBC333}"/>
                </a:ext>
              </a:extLst>
            </xdr:cNvPr>
            <xdr:cNvGraphicFramePr>
              <a:graphicFrameLocks/>
            </xdr:cNvGraphicFramePr>
          </xdr:nvGraphicFramePr>
          <xdr:xfrm>
            <a:off x="11289326" y="3204374"/>
            <a:ext cx="2332445" cy="160806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775FE60B-48F1-3928-D4EE-9CF07BDC859B}"/>
                </a:ext>
              </a:extLst>
            </xdr:cNvPr>
            <xdr:cNvSpPr txBox="1"/>
          </xdr:nvSpPr>
          <xdr:spPr>
            <a:xfrm>
              <a:off x="11695350" y="3266935"/>
              <a:ext cx="980722" cy="2681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700" b="1">
                  <a:latin typeface="Arial" panose="020B0604020202020204" pitchFamily="34" charset="0"/>
                  <a:cs typeface="Arial" panose="020B0604020202020204" pitchFamily="34" charset="0"/>
                </a:rPr>
                <a:t>180 s settling</a:t>
              </a:r>
            </a:p>
            <a:p>
              <a:endParaRPr lang="en-US" sz="7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CCA4BD4B-DE11-F764-DE99-A69F78533BA9}"/>
              </a:ext>
            </a:extLst>
          </xdr:cNvPr>
          <xdr:cNvGrpSpPr/>
        </xdr:nvGrpSpPr>
        <xdr:grpSpPr>
          <a:xfrm>
            <a:off x="7708842" y="13392818"/>
            <a:ext cx="2339157" cy="1620000"/>
            <a:chOff x="12749391" y="409222"/>
            <a:chExt cx="2337219" cy="1604859"/>
          </a:xfrm>
        </xdr:grpSpPr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6B23D8B3-DF8D-F54E-7981-BEC07FDF0208}"/>
                </a:ext>
              </a:extLst>
            </xdr:cNvPr>
            <xdr:cNvGraphicFramePr>
              <a:graphicFrameLocks/>
            </xdr:cNvGraphicFramePr>
          </xdr:nvGraphicFramePr>
          <xdr:xfrm>
            <a:off x="12749391" y="409222"/>
            <a:ext cx="2337219" cy="160485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0DC9935-013D-D460-43D4-492B84B4909F}"/>
                </a:ext>
              </a:extLst>
            </xdr:cNvPr>
            <xdr:cNvSpPr txBox="1"/>
          </xdr:nvSpPr>
          <xdr:spPr>
            <a:xfrm>
              <a:off x="13101683" y="502612"/>
              <a:ext cx="957036" cy="17561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700" b="1">
                  <a:latin typeface="Arial" panose="020B0604020202020204" pitchFamily="34" charset="0"/>
                  <a:cs typeface="Arial" panose="020B0604020202020204" pitchFamily="34" charset="0"/>
                </a:rPr>
                <a:t>30 s settling</a:t>
              </a:r>
            </a:p>
            <a:p>
              <a:endParaRPr lang="en-US" sz="7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100F-B998-1947-A092-2D15C21482BF}">
  <dimension ref="B2:Q112"/>
  <sheetViews>
    <sheetView tabSelected="1" topLeftCell="A36" zoomScale="108" zoomScaleNormal="108" workbookViewId="0">
      <selection activeCell="P75" sqref="O75:P75"/>
    </sheetView>
  </sheetViews>
  <sheetFormatPr baseColWidth="10" defaultRowHeight="16" x14ac:dyDescent="0.2"/>
  <cols>
    <col min="2" max="2" width="14" customWidth="1"/>
    <col min="3" max="7" width="7.33203125" bestFit="1" customWidth="1"/>
    <col min="8" max="8" width="7.83203125" bestFit="1" customWidth="1"/>
    <col min="9" max="14" width="7.33203125" bestFit="1" customWidth="1"/>
    <col min="15" max="20" width="7.33203125" customWidth="1"/>
  </cols>
  <sheetData>
    <row r="2" spans="2:17" x14ac:dyDescent="0.2">
      <c r="B2" s="6" t="s">
        <v>27</v>
      </c>
      <c r="C2" s="14" t="s">
        <v>3</v>
      </c>
      <c r="D2" s="14"/>
      <c r="E2" s="14"/>
      <c r="F2" s="14" t="s">
        <v>4</v>
      </c>
      <c r="G2" s="14"/>
      <c r="H2" s="14"/>
      <c r="I2" s="14" t="s">
        <v>5</v>
      </c>
      <c r="J2" s="14"/>
      <c r="K2" s="14"/>
      <c r="L2" s="14" t="s">
        <v>9</v>
      </c>
      <c r="M2" s="14"/>
      <c r="N2" s="14"/>
      <c r="O2" s="14" t="s">
        <v>15</v>
      </c>
      <c r="P2" s="14"/>
      <c r="Q2" s="14"/>
    </row>
    <row r="3" spans="2:17" x14ac:dyDescent="0.2">
      <c r="B3" t="s">
        <v>16</v>
      </c>
      <c r="C3" s="9">
        <v>10</v>
      </c>
      <c r="D3" s="9">
        <v>10</v>
      </c>
      <c r="E3" s="9">
        <v>10</v>
      </c>
      <c r="F3" s="9">
        <v>50</v>
      </c>
      <c r="G3" s="9">
        <v>50</v>
      </c>
      <c r="H3" s="9">
        <v>50</v>
      </c>
      <c r="I3" s="9">
        <v>100</v>
      </c>
      <c r="J3" s="9">
        <v>100</v>
      </c>
      <c r="K3" s="9">
        <v>100</v>
      </c>
      <c r="L3" s="9">
        <v>150</v>
      </c>
      <c r="M3" s="9">
        <v>150</v>
      </c>
      <c r="N3" s="9">
        <v>150</v>
      </c>
      <c r="O3" s="9">
        <v>200</v>
      </c>
      <c r="P3" s="9">
        <v>200</v>
      </c>
      <c r="Q3" s="9">
        <v>200</v>
      </c>
    </row>
    <row r="4" spans="2:17" x14ac:dyDescent="0.2">
      <c r="B4" s="1"/>
      <c r="C4" s="1" t="s">
        <v>0</v>
      </c>
      <c r="D4" s="1" t="s">
        <v>1</v>
      </c>
      <c r="E4" s="1" t="s">
        <v>2</v>
      </c>
      <c r="F4" s="1" t="s">
        <v>0</v>
      </c>
      <c r="G4" s="1" t="s">
        <v>1</v>
      </c>
      <c r="H4" s="1" t="s">
        <v>2</v>
      </c>
      <c r="I4" s="1" t="s">
        <v>0</v>
      </c>
      <c r="J4" s="1" t="s">
        <v>1</v>
      </c>
      <c r="K4" s="1" t="s">
        <v>2</v>
      </c>
      <c r="L4" s="1" t="s">
        <v>0</v>
      </c>
      <c r="M4" s="1" t="s">
        <v>1</v>
      </c>
      <c r="N4" s="1" t="s">
        <v>2</v>
      </c>
      <c r="O4" s="1" t="s">
        <v>0</v>
      </c>
      <c r="P4" s="1" t="s">
        <v>1</v>
      </c>
      <c r="Q4" s="1" t="s">
        <v>2</v>
      </c>
    </row>
    <row r="5" spans="2:17" x14ac:dyDescent="0.2">
      <c r="B5" s="15" t="s">
        <v>6</v>
      </c>
      <c r="C5" s="11">
        <v>60.6</v>
      </c>
      <c r="D5" s="11">
        <v>61.4</v>
      </c>
      <c r="E5" s="11">
        <v>60.8</v>
      </c>
      <c r="F5" s="11">
        <v>62.2</v>
      </c>
      <c r="G5" s="11">
        <v>61.3</v>
      </c>
      <c r="H5" s="11">
        <v>60.5</v>
      </c>
      <c r="I5" s="11">
        <v>62</v>
      </c>
      <c r="J5" s="11">
        <v>62.1</v>
      </c>
      <c r="K5" s="11">
        <v>60.6</v>
      </c>
      <c r="L5" s="11">
        <v>63.7</v>
      </c>
      <c r="M5" s="11">
        <v>62.6</v>
      </c>
      <c r="N5" s="11">
        <v>62.2</v>
      </c>
      <c r="O5" s="11">
        <v>61.9</v>
      </c>
      <c r="P5" s="11">
        <v>62.8</v>
      </c>
      <c r="Q5" s="11">
        <v>61.3</v>
      </c>
    </row>
    <row r="6" spans="2:17" x14ac:dyDescent="0.2">
      <c r="B6" s="16"/>
      <c r="C6" s="11">
        <v>62</v>
      </c>
      <c r="D6" s="11">
        <v>61.2</v>
      </c>
      <c r="E6" s="11">
        <v>60.9</v>
      </c>
      <c r="F6" s="11">
        <v>61</v>
      </c>
      <c r="G6" s="11">
        <v>61.3</v>
      </c>
      <c r="H6" s="11">
        <v>61.3</v>
      </c>
      <c r="I6" s="11">
        <v>62.1</v>
      </c>
      <c r="J6" s="11">
        <v>62.2</v>
      </c>
      <c r="K6" s="11">
        <v>60.8</v>
      </c>
      <c r="L6" s="11">
        <v>62.1</v>
      </c>
      <c r="M6" s="11">
        <v>63.2</v>
      </c>
      <c r="N6" s="11">
        <v>61.8</v>
      </c>
      <c r="O6" s="11">
        <v>61.7</v>
      </c>
      <c r="P6" s="11">
        <v>62.8</v>
      </c>
      <c r="Q6" s="11">
        <v>61.4</v>
      </c>
    </row>
    <row r="7" spans="2:17" x14ac:dyDescent="0.2">
      <c r="B7" s="17"/>
      <c r="C7" s="12">
        <v>61.6</v>
      </c>
      <c r="D7" s="12">
        <v>61.1</v>
      </c>
      <c r="E7" s="12">
        <v>61.2</v>
      </c>
      <c r="F7" s="12">
        <v>61.3</v>
      </c>
      <c r="G7" s="12">
        <v>60.9</v>
      </c>
      <c r="H7" s="12">
        <v>61.3</v>
      </c>
      <c r="I7" s="12">
        <v>62.2</v>
      </c>
      <c r="J7" s="12">
        <v>62.3</v>
      </c>
      <c r="K7" s="12">
        <v>60.5</v>
      </c>
      <c r="L7" s="12">
        <v>62.4</v>
      </c>
      <c r="M7" s="12">
        <v>62.8</v>
      </c>
      <c r="N7" s="12">
        <v>61.8</v>
      </c>
      <c r="O7" s="12">
        <v>61.5</v>
      </c>
      <c r="P7" s="12">
        <v>62.8</v>
      </c>
      <c r="Q7" s="12">
        <v>61.9</v>
      </c>
    </row>
    <row r="8" spans="2:17" x14ac:dyDescent="0.2">
      <c r="B8" s="15" t="s">
        <v>7</v>
      </c>
      <c r="C8" s="13">
        <v>53.6</v>
      </c>
      <c r="D8" s="13">
        <v>63.5</v>
      </c>
      <c r="E8" s="11">
        <v>56.2</v>
      </c>
      <c r="F8" s="11">
        <v>37.200000000000003</v>
      </c>
      <c r="G8" s="11">
        <v>36.9</v>
      </c>
      <c r="H8" s="11">
        <v>42.9</v>
      </c>
      <c r="I8" s="11">
        <v>53.7</v>
      </c>
      <c r="J8" s="11">
        <v>27.3</v>
      </c>
      <c r="K8" s="11">
        <v>34.299999999999997</v>
      </c>
      <c r="L8" s="11">
        <v>32.6</v>
      </c>
      <c r="M8" s="13">
        <v>29.7</v>
      </c>
      <c r="N8" s="13">
        <v>42.6</v>
      </c>
      <c r="O8" s="13">
        <v>27.4</v>
      </c>
      <c r="P8" s="13">
        <v>36.200000000000003</v>
      </c>
      <c r="Q8" s="13">
        <v>43</v>
      </c>
    </row>
    <row r="9" spans="2:17" x14ac:dyDescent="0.2">
      <c r="B9" s="16"/>
      <c r="C9" s="11">
        <v>51.2</v>
      </c>
      <c r="D9" s="11">
        <v>56.3</v>
      </c>
      <c r="E9" s="11">
        <v>65.599999999999994</v>
      </c>
      <c r="F9" s="11">
        <v>33.299999999999997</v>
      </c>
      <c r="G9" s="11">
        <v>38.1</v>
      </c>
      <c r="H9" s="11">
        <v>36.700000000000003</v>
      </c>
      <c r="I9" s="11">
        <v>41.8</v>
      </c>
      <c r="J9" s="11">
        <v>29.4</v>
      </c>
      <c r="K9" s="11">
        <v>29</v>
      </c>
      <c r="L9" s="11">
        <v>35.4</v>
      </c>
      <c r="M9" s="11">
        <v>29.8</v>
      </c>
      <c r="N9" s="11">
        <v>27.5</v>
      </c>
      <c r="O9" s="11">
        <v>23.7</v>
      </c>
      <c r="P9" s="11">
        <v>28.3</v>
      </c>
      <c r="Q9" s="11">
        <v>28.7</v>
      </c>
    </row>
    <row r="10" spans="2:17" x14ac:dyDescent="0.2">
      <c r="B10" s="17"/>
      <c r="C10" s="12">
        <v>53.4</v>
      </c>
      <c r="D10" s="12">
        <v>52.3</v>
      </c>
      <c r="E10" s="12">
        <v>62.2</v>
      </c>
      <c r="F10" s="12">
        <v>36.700000000000003</v>
      </c>
      <c r="G10" s="12">
        <v>36.1</v>
      </c>
      <c r="H10" s="12">
        <v>33.799999999999997</v>
      </c>
      <c r="I10" s="12">
        <v>35.6</v>
      </c>
      <c r="J10" s="12">
        <v>27.4</v>
      </c>
      <c r="K10" s="12">
        <v>29.5</v>
      </c>
      <c r="L10" s="12">
        <v>29.6</v>
      </c>
      <c r="M10" s="12">
        <v>24.1</v>
      </c>
      <c r="N10" s="12">
        <v>35</v>
      </c>
      <c r="O10" s="12">
        <v>32.299999999999997</v>
      </c>
      <c r="P10" s="12">
        <v>34.299999999999997</v>
      </c>
      <c r="Q10" s="12">
        <v>36.9</v>
      </c>
    </row>
    <row r="11" spans="2:17" x14ac:dyDescent="0.2">
      <c r="B11" s="15" t="s">
        <v>8</v>
      </c>
      <c r="C11" s="13">
        <v>23.9</v>
      </c>
      <c r="D11" s="13">
        <v>35.299999999999997</v>
      </c>
      <c r="E11" s="11">
        <v>30</v>
      </c>
      <c r="F11" s="11">
        <v>20.399999999999999</v>
      </c>
      <c r="G11" s="11">
        <v>20.8</v>
      </c>
      <c r="H11" s="11">
        <v>25.6</v>
      </c>
      <c r="I11" s="11">
        <v>16.5</v>
      </c>
      <c r="J11" s="11">
        <v>17.3</v>
      </c>
      <c r="K11" s="11">
        <v>18.399999999999999</v>
      </c>
      <c r="L11" s="11">
        <v>17.899999999999999</v>
      </c>
      <c r="M11" s="13">
        <v>17.100000000000001</v>
      </c>
      <c r="N11" s="13">
        <v>14.4</v>
      </c>
      <c r="O11" s="13">
        <v>16.7</v>
      </c>
      <c r="P11" s="13">
        <v>17</v>
      </c>
      <c r="Q11" s="13">
        <v>17.100000000000001</v>
      </c>
    </row>
    <row r="12" spans="2:17" x14ac:dyDescent="0.2">
      <c r="B12" s="16"/>
      <c r="C12" s="11">
        <v>24.5</v>
      </c>
      <c r="D12" s="11">
        <v>34.1</v>
      </c>
      <c r="E12" s="11">
        <v>28.5</v>
      </c>
      <c r="F12" s="11">
        <v>21.4</v>
      </c>
      <c r="G12" s="11">
        <v>22.4</v>
      </c>
      <c r="H12" s="11">
        <v>25.2</v>
      </c>
      <c r="I12" s="11">
        <v>16.100000000000001</v>
      </c>
      <c r="J12" s="11">
        <v>17</v>
      </c>
      <c r="K12" s="11">
        <v>19.2</v>
      </c>
      <c r="L12" s="11">
        <v>17.600000000000001</v>
      </c>
      <c r="M12" s="11">
        <v>17.600000000000001</v>
      </c>
      <c r="N12" s="11">
        <v>15.7</v>
      </c>
      <c r="O12" s="11">
        <v>15.1</v>
      </c>
      <c r="P12" s="11">
        <v>16.7</v>
      </c>
      <c r="Q12" s="11">
        <v>16.2</v>
      </c>
    </row>
    <row r="13" spans="2:17" x14ac:dyDescent="0.2">
      <c r="B13" s="17"/>
      <c r="C13" s="11">
        <v>24.1</v>
      </c>
      <c r="D13" s="11">
        <v>33.799999999999997</v>
      </c>
      <c r="E13" s="11">
        <v>28.5</v>
      </c>
      <c r="F13" s="11">
        <v>20.3</v>
      </c>
      <c r="G13" s="11">
        <v>20.6</v>
      </c>
      <c r="H13" s="11">
        <v>25.3</v>
      </c>
      <c r="I13" s="11">
        <v>17.5</v>
      </c>
      <c r="J13" s="11">
        <v>17.100000000000001</v>
      </c>
      <c r="K13" s="11">
        <v>18.2</v>
      </c>
      <c r="L13" s="11">
        <v>17.600000000000001</v>
      </c>
      <c r="M13" s="11">
        <v>17</v>
      </c>
      <c r="N13" s="11">
        <v>14.1</v>
      </c>
      <c r="O13" s="11">
        <v>12.9</v>
      </c>
      <c r="P13" s="11">
        <v>17.2</v>
      </c>
      <c r="Q13" s="11">
        <v>15.8</v>
      </c>
    </row>
    <row r="14" spans="2:17" x14ac:dyDescent="0.2">
      <c r="B14" s="3" t="s">
        <v>10</v>
      </c>
      <c r="C14" s="8">
        <f>AVERAGE(C5:C7)</f>
        <v>61.4</v>
      </c>
      <c r="D14" s="8">
        <f t="shared" ref="D14:Q14" si="0">AVERAGE(D5:D7)</f>
        <v>61.233333333333327</v>
      </c>
      <c r="E14" s="8">
        <f t="shared" si="0"/>
        <v>60.966666666666661</v>
      </c>
      <c r="F14" s="8">
        <f t="shared" si="0"/>
        <v>61.5</v>
      </c>
      <c r="G14" s="8">
        <f t="shared" si="0"/>
        <v>61.166666666666664</v>
      </c>
      <c r="H14" s="8">
        <f t="shared" si="0"/>
        <v>61.033333333333331</v>
      </c>
      <c r="I14" s="8">
        <f t="shared" si="0"/>
        <v>62.1</v>
      </c>
      <c r="J14" s="8">
        <f t="shared" si="0"/>
        <v>62.20000000000001</v>
      </c>
      <c r="K14" s="8">
        <f t="shared" si="0"/>
        <v>60.633333333333333</v>
      </c>
      <c r="L14" s="8">
        <f t="shared" si="0"/>
        <v>62.733333333333341</v>
      </c>
      <c r="M14" s="8">
        <f t="shared" si="0"/>
        <v>62.866666666666674</v>
      </c>
      <c r="N14" s="8">
        <f t="shared" si="0"/>
        <v>61.933333333333337</v>
      </c>
      <c r="O14" s="8">
        <f t="shared" si="0"/>
        <v>61.699999999999996</v>
      </c>
      <c r="P14" s="8">
        <f t="shared" si="0"/>
        <v>62.79999999999999</v>
      </c>
      <c r="Q14" s="8">
        <f t="shared" si="0"/>
        <v>61.533333333333331</v>
      </c>
    </row>
    <row r="15" spans="2:17" x14ac:dyDescent="0.2">
      <c r="B15" s="4" t="s">
        <v>11</v>
      </c>
      <c r="C15" s="2">
        <f>AVERAGE(C8:C10)</f>
        <v>52.733333333333341</v>
      </c>
      <c r="D15" s="2">
        <f t="shared" ref="D15:Q15" si="1">AVERAGE(D8:D10)</f>
        <v>57.366666666666667</v>
      </c>
      <c r="E15" s="2">
        <f t="shared" si="1"/>
        <v>61.333333333333336</v>
      </c>
      <c r="F15" s="2">
        <f t="shared" si="1"/>
        <v>35.733333333333334</v>
      </c>
      <c r="G15" s="2">
        <f t="shared" si="1"/>
        <v>37.033333333333331</v>
      </c>
      <c r="H15" s="2">
        <f t="shared" si="1"/>
        <v>37.799999999999997</v>
      </c>
      <c r="I15" s="2">
        <f t="shared" si="1"/>
        <v>43.699999999999996</v>
      </c>
      <c r="J15" s="2">
        <f t="shared" si="1"/>
        <v>28.033333333333331</v>
      </c>
      <c r="K15" s="2">
        <f t="shared" si="1"/>
        <v>30.933333333333334</v>
      </c>
      <c r="L15" s="2">
        <f t="shared" si="1"/>
        <v>32.533333333333331</v>
      </c>
      <c r="M15" s="2">
        <f t="shared" si="1"/>
        <v>27.866666666666664</v>
      </c>
      <c r="N15" s="2">
        <f t="shared" si="1"/>
        <v>35.033333333333331</v>
      </c>
      <c r="O15" s="2">
        <f t="shared" si="1"/>
        <v>27.799999999999997</v>
      </c>
      <c r="P15" s="2">
        <f t="shared" si="1"/>
        <v>32.93333333333333</v>
      </c>
      <c r="Q15" s="2">
        <f t="shared" si="1"/>
        <v>36.199999999999996</v>
      </c>
    </row>
    <row r="16" spans="2:17" x14ac:dyDescent="0.2">
      <c r="B16" s="5" t="s">
        <v>12</v>
      </c>
      <c r="C16" s="7">
        <f>AVERAGE(C11:C13)</f>
        <v>24.166666666666668</v>
      </c>
      <c r="D16" s="7">
        <f t="shared" ref="D16:Q16" si="2">AVERAGE(D11:D13)</f>
        <v>34.4</v>
      </c>
      <c r="E16" s="7">
        <f t="shared" si="2"/>
        <v>29</v>
      </c>
      <c r="F16" s="7">
        <f t="shared" si="2"/>
        <v>20.7</v>
      </c>
      <c r="G16" s="7">
        <f t="shared" si="2"/>
        <v>21.266666666666669</v>
      </c>
      <c r="H16" s="7">
        <f t="shared" si="2"/>
        <v>25.366666666666664</v>
      </c>
      <c r="I16" s="7">
        <f t="shared" si="2"/>
        <v>16.7</v>
      </c>
      <c r="J16" s="7">
        <f t="shared" si="2"/>
        <v>17.133333333333333</v>
      </c>
      <c r="K16" s="7">
        <f t="shared" si="2"/>
        <v>18.599999999999998</v>
      </c>
      <c r="L16" s="7">
        <f t="shared" si="2"/>
        <v>17.7</v>
      </c>
      <c r="M16" s="7">
        <f t="shared" si="2"/>
        <v>17.233333333333334</v>
      </c>
      <c r="N16" s="7">
        <f t="shared" si="2"/>
        <v>14.733333333333334</v>
      </c>
      <c r="O16" s="7">
        <f t="shared" si="2"/>
        <v>14.899999999999999</v>
      </c>
      <c r="P16" s="7">
        <f t="shared" si="2"/>
        <v>16.966666666666669</v>
      </c>
      <c r="Q16" s="7">
        <f t="shared" si="2"/>
        <v>16.366666666666664</v>
      </c>
    </row>
    <row r="18" spans="2:17" x14ac:dyDescent="0.2">
      <c r="B18" s="6" t="s">
        <v>28</v>
      </c>
      <c r="C18" s="14" t="s">
        <v>3</v>
      </c>
      <c r="D18" s="14"/>
      <c r="E18" s="14"/>
      <c r="F18" s="14" t="s">
        <v>4</v>
      </c>
      <c r="G18" s="14"/>
      <c r="H18" s="14"/>
      <c r="I18" s="14" t="s">
        <v>5</v>
      </c>
      <c r="J18" s="14"/>
      <c r="K18" s="14"/>
      <c r="L18" s="14" t="s">
        <v>9</v>
      </c>
      <c r="M18" s="14"/>
      <c r="N18" s="14"/>
      <c r="O18" s="14" t="s">
        <v>15</v>
      </c>
      <c r="P18" s="14"/>
      <c r="Q18" s="14"/>
    </row>
    <row r="19" spans="2:17" x14ac:dyDescent="0.2">
      <c r="B19" t="s">
        <v>16</v>
      </c>
      <c r="C19" s="9">
        <v>10</v>
      </c>
      <c r="D19" s="9">
        <v>10</v>
      </c>
      <c r="E19" s="9">
        <v>10</v>
      </c>
      <c r="F19" s="9">
        <v>50</v>
      </c>
      <c r="G19" s="9">
        <v>50</v>
      </c>
      <c r="H19" s="9">
        <v>50</v>
      </c>
      <c r="I19" s="9">
        <v>100</v>
      </c>
      <c r="J19" s="9">
        <v>100</v>
      </c>
      <c r="K19" s="9">
        <v>100</v>
      </c>
      <c r="L19" s="9">
        <v>150</v>
      </c>
      <c r="M19" s="9">
        <v>150</v>
      </c>
      <c r="N19" s="9">
        <v>150</v>
      </c>
      <c r="O19" s="9">
        <v>200</v>
      </c>
      <c r="P19" s="9">
        <v>200</v>
      </c>
      <c r="Q19" s="9">
        <v>200</v>
      </c>
    </row>
    <row r="20" spans="2:17" x14ac:dyDescent="0.2">
      <c r="B20" s="1"/>
      <c r="C20" s="1" t="s">
        <v>0</v>
      </c>
      <c r="D20" s="1" t="s">
        <v>1</v>
      </c>
      <c r="E20" s="1" t="s">
        <v>2</v>
      </c>
      <c r="F20" s="1" t="s">
        <v>0</v>
      </c>
      <c r="G20" s="1" t="s">
        <v>1</v>
      </c>
      <c r="H20" s="1" t="s">
        <v>2</v>
      </c>
      <c r="I20" s="1" t="s">
        <v>0</v>
      </c>
      <c r="J20" s="1" t="s">
        <v>1</v>
      </c>
      <c r="K20" s="1" t="s">
        <v>2</v>
      </c>
      <c r="L20" s="1" t="s">
        <v>0</v>
      </c>
      <c r="M20" s="1" t="s">
        <v>1</v>
      </c>
      <c r="N20" s="1" t="s">
        <v>2</v>
      </c>
      <c r="O20" s="1" t="s">
        <v>0</v>
      </c>
      <c r="P20" s="1" t="s">
        <v>1</v>
      </c>
      <c r="Q20" s="1" t="s">
        <v>2</v>
      </c>
    </row>
    <row r="21" spans="2:17" x14ac:dyDescent="0.2">
      <c r="B21" s="15" t="s">
        <v>6</v>
      </c>
      <c r="C21" s="11">
        <v>64.599999999999994</v>
      </c>
      <c r="D21" s="11">
        <v>64.2</v>
      </c>
      <c r="E21" s="11">
        <v>63.9</v>
      </c>
      <c r="F21" s="11">
        <v>64.099999999999994</v>
      </c>
      <c r="G21" s="11">
        <v>63.3</v>
      </c>
      <c r="H21" s="11">
        <v>61.1</v>
      </c>
      <c r="I21" s="11">
        <v>63.1</v>
      </c>
      <c r="J21" s="11">
        <v>61.9</v>
      </c>
      <c r="K21" s="11">
        <v>60.4</v>
      </c>
      <c r="L21" s="11">
        <v>62</v>
      </c>
      <c r="M21" s="11">
        <v>61.7</v>
      </c>
      <c r="N21" s="11">
        <v>61.9</v>
      </c>
      <c r="O21" s="11">
        <v>62.5</v>
      </c>
      <c r="P21" s="11">
        <v>61.7</v>
      </c>
      <c r="Q21" s="11">
        <v>60.6</v>
      </c>
    </row>
    <row r="22" spans="2:17" x14ac:dyDescent="0.2">
      <c r="B22" s="16"/>
      <c r="C22" s="11">
        <v>64.099999999999994</v>
      </c>
      <c r="D22" s="11">
        <v>64.099999999999994</v>
      </c>
      <c r="E22" s="11">
        <v>63.3</v>
      </c>
      <c r="F22" s="11">
        <v>63</v>
      </c>
      <c r="G22" s="11">
        <v>62.2</v>
      </c>
      <c r="H22" s="11">
        <v>62.2</v>
      </c>
      <c r="I22" s="11">
        <v>62.4</v>
      </c>
      <c r="J22" s="11">
        <v>62.6</v>
      </c>
      <c r="K22" s="11">
        <v>60.8</v>
      </c>
      <c r="L22" s="11">
        <v>62.5</v>
      </c>
      <c r="M22" s="11">
        <v>62.6</v>
      </c>
      <c r="N22" s="11">
        <v>61.8</v>
      </c>
      <c r="O22" s="11">
        <v>61.7</v>
      </c>
      <c r="P22" s="11">
        <v>61.8</v>
      </c>
      <c r="Q22" s="11">
        <v>61.1</v>
      </c>
    </row>
    <row r="23" spans="2:17" x14ac:dyDescent="0.2">
      <c r="B23" s="17"/>
      <c r="C23" s="12">
        <v>63.3</v>
      </c>
      <c r="D23" s="12">
        <v>63.9</v>
      </c>
      <c r="E23" s="12">
        <v>63.3</v>
      </c>
      <c r="F23" s="12">
        <v>62.5</v>
      </c>
      <c r="G23" s="12">
        <v>61.9</v>
      </c>
      <c r="H23" s="12">
        <v>62</v>
      </c>
      <c r="I23" s="12">
        <v>62</v>
      </c>
      <c r="J23" s="12">
        <v>62.5</v>
      </c>
      <c r="K23" s="12">
        <v>60.9</v>
      </c>
      <c r="L23" s="12">
        <v>62.4</v>
      </c>
      <c r="M23" s="12">
        <v>62.5</v>
      </c>
      <c r="N23" s="12">
        <v>61.9</v>
      </c>
      <c r="O23" s="12">
        <v>61.7</v>
      </c>
      <c r="P23" s="12">
        <v>62.1</v>
      </c>
      <c r="Q23" s="12">
        <v>61.2</v>
      </c>
    </row>
    <row r="24" spans="2:17" x14ac:dyDescent="0.2">
      <c r="B24" s="15" t="s">
        <v>7</v>
      </c>
      <c r="C24" s="13">
        <v>52.6</v>
      </c>
      <c r="D24" s="13">
        <v>42.4</v>
      </c>
      <c r="E24" s="11">
        <v>52.4</v>
      </c>
      <c r="F24" s="11">
        <v>31.5</v>
      </c>
      <c r="G24" s="11">
        <v>32.200000000000003</v>
      </c>
      <c r="H24" s="11">
        <v>24.6</v>
      </c>
      <c r="I24" s="11">
        <v>14.5</v>
      </c>
      <c r="J24" s="11">
        <v>21.1</v>
      </c>
      <c r="K24" s="11">
        <v>9.1999999999999993</v>
      </c>
      <c r="L24" s="11">
        <v>4.53</v>
      </c>
      <c r="M24" s="13">
        <v>4.17</v>
      </c>
      <c r="N24" s="13">
        <v>3.3</v>
      </c>
      <c r="O24" s="13">
        <v>2.73</v>
      </c>
      <c r="P24" s="13">
        <v>2.5099999999999998</v>
      </c>
      <c r="Q24" s="13">
        <v>2.4900000000000002</v>
      </c>
    </row>
    <row r="25" spans="2:17" x14ac:dyDescent="0.2">
      <c r="B25" s="16"/>
      <c r="C25" s="11">
        <v>54.4</v>
      </c>
      <c r="D25" s="11">
        <v>41</v>
      </c>
      <c r="E25" s="11">
        <v>48.1</v>
      </c>
      <c r="F25" s="11">
        <v>28.9</v>
      </c>
      <c r="G25" s="11">
        <v>22.6</v>
      </c>
      <c r="H25" s="11">
        <v>26.5</v>
      </c>
      <c r="I25" s="11">
        <v>10.7</v>
      </c>
      <c r="J25" s="11">
        <v>14.9</v>
      </c>
      <c r="K25" s="11">
        <v>19.899999999999999</v>
      </c>
      <c r="L25" s="11">
        <v>3.43</v>
      </c>
      <c r="M25" s="11">
        <v>4.63</v>
      </c>
      <c r="N25" s="11">
        <v>3.08</v>
      </c>
      <c r="O25" s="11">
        <v>2.15</v>
      </c>
      <c r="P25" s="11">
        <v>1.98</v>
      </c>
      <c r="Q25" s="11">
        <v>2.14</v>
      </c>
    </row>
    <row r="26" spans="2:17" x14ac:dyDescent="0.2">
      <c r="B26" s="17"/>
      <c r="C26" s="12">
        <v>55.9</v>
      </c>
      <c r="D26" s="12">
        <v>41.4</v>
      </c>
      <c r="E26" s="12">
        <v>58.3</v>
      </c>
      <c r="F26" s="12">
        <v>31.7</v>
      </c>
      <c r="G26" s="12">
        <v>41.8</v>
      </c>
      <c r="H26" s="12">
        <v>25.3</v>
      </c>
      <c r="I26" s="12">
        <v>11.1</v>
      </c>
      <c r="J26" s="12">
        <v>14.8</v>
      </c>
      <c r="K26" s="12">
        <v>13.6</v>
      </c>
      <c r="L26" s="12">
        <v>8.5500000000000007</v>
      </c>
      <c r="M26" s="12">
        <v>4.7</v>
      </c>
      <c r="N26" s="12">
        <v>3.04</v>
      </c>
      <c r="O26" s="12">
        <v>2.71</v>
      </c>
      <c r="P26" s="12">
        <v>2.3199999999999998</v>
      </c>
      <c r="Q26" s="12">
        <v>4.1500000000000004</v>
      </c>
    </row>
    <row r="27" spans="2:17" x14ac:dyDescent="0.2">
      <c r="B27" s="15" t="s">
        <v>8</v>
      </c>
      <c r="C27" s="13">
        <v>25.3</v>
      </c>
      <c r="D27" s="13">
        <v>18.2</v>
      </c>
      <c r="E27" s="11">
        <v>18</v>
      </c>
      <c r="F27" s="11">
        <v>13.7</v>
      </c>
      <c r="G27" s="11">
        <v>13.1</v>
      </c>
      <c r="H27" s="11">
        <v>17.5</v>
      </c>
      <c r="I27" s="11">
        <v>8.3000000000000007</v>
      </c>
      <c r="J27" s="11">
        <v>8.5500000000000007</v>
      </c>
      <c r="K27" s="11">
        <v>7.44</v>
      </c>
      <c r="L27" s="11">
        <v>3.14</v>
      </c>
      <c r="M27" s="13">
        <v>3.45</v>
      </c>
      <c r="N27" s="13">
        <v>3.17</v>
      </c>
      <c r="O27" s="13">
        <v>2.09</v>
      </c>
      <c r="P27" s="13">
        <v>1.92</v>
      </c>
      <c r="Q27" s="13">
        <v>2.2599999999999998</v>
      </c>
    </row>
    <row r="28" spans="2:17" x14ac:dyDescent="0.2">
      <c r="B28" s="16"/>
      <c r="C28" s="11">
        <v>25</v>
      </c>
      <c r="D28" s="11">
        <v>16.7</v>
      </c>
      <c r="E28" s="11">
        <v>18</v>
      </c>
      <c r="F28" s="11">
        <v>14.4</v>
      </c>
      <c r="G28" s="11">
        <v>11.4</v>
      </c>
      <c r="H28" s="11">
        <v>17.600000000000001</v>
      </c>
      <c r="I28" s="11">
        <v>8.31</v>
      </c>
      <c r="J28" s="11">
        <v>8.32</v>
      </c>
      <c r="K28" s="11">
        <v>7.7</v>
      </c>
      <c r="L28" s="11">
        <v>3.31</v>
      </c>
      <c r="M28" s="11">
        <v>4.79</v>
      </c>
      <c r="N28" s="11">
        <v>3.13</v>
      </c>
      <c r="O28" s="11">
        <v>1.86</v>
      </c>
      <c r="P28" s="11">
        <v>2.0699999999999998</v>
      </c>
      <c r="Q28" s="11">
        <v>2.04</v>
      </c>
    </row>
    <row r="29" spans="2:17" x14ac:dyDescent="0.2">
      <c r="B29" s="17"/>
      <c r="C29" s="11">
        <v>26.9</v>
      </c>
      <c r="D29" s="11">
        <v>16.399999999999999</v>
      </c>
      <c r="E29" s="11">
        <v>18</v>
      </c>
      <c r="F29" s="11">
        <v>14.5</v>
      </c>
      <c r="G29" s="11">
        <v>10.5</v>
      </c>
      <c r="H29" s="11">
        <v>18.5</v>
      </c>
      <c r="I29" s="11">
        <v>7.62</v>
      </c>
      <c r="J29" s="11">
        <v>8.41</v>
      </c>
      <c r="K29" s="11">
        <v>8.1999999999999993</v>
      </c>
      <c r="L29" s="11">
        <v>3.16</v>
      </c>
      <c r="M29" s="11">
        <v>3.67</v>
      </c>
      <c r="N29" s="11">
        <v>3.13</v>
      </c>
      <c r="O29" s="11">
        <v>2.39</v>
      </c>
      <c r="P29" s="11">
        <v>1.91</v>
      </c>
      <c r="Q29" s="11">
        <v>1.98</v>
      </c>
    </row>
    <row r="30" spans="2:17" x14ac:dyDescent="0.2">
      <c r="B30" s="3" t="s">
        <v>10</v>
      </c>
      <c r="C30" s="8">
        <f>AVERAGE(C21:C23)</f>
        <v>64</v>
      </c>
      <c r="D30" s="8">
        <f t="shared" ref="D30:Q30" si="3">AVERAGE(D21:D23)</f>
        <v>64.066666666666677</v>
      </c>
      <c r="E30" s="8">
        <f t="shared" si="3"/>
        <v>63.5</v>
      </c>
      <c r="F30" s="8">
        <f t="shared" si="3"/>
        <v>63.199999999999996</v>
      </c>
      <c r="G30" s="8">
        <f t="shared" si="3"/>
        <v>62.466666666666669</v>
      </c>
      <c r="H30" s="8">
        <f t="shared" si="3"/>
        <v>61.766666666666673</v>
      </c>
      <c r="I30" s="8">
        <f t="shared" si="3"/>
        <v>62.5</v>
      </c>
      <c r="J30" s="8">
        <f t="shared" si="3"/>
        <v>62.333333333333336</v>
      </c>
      <c r="K30" s="8">
        <f t="shared" si="3"/>
        <v>60.699999999999996</v>
      </c>
      <c r="L30" s="8">
        <f t="shared" si="3"/>
        <v>62.300000000000004</v>
      </c>
      <c r="M30" s="8">
        <f t="shared" si="3"/>
        <v>62.266666666666673</v>
      </c>
      <c r="N30" s="8">
        <f t="shared" si="3"/>
        <v>61.866666666666667</v>
      </c>
      <c r="O30" s="8">
        <f t="shared" si="3"/>
        <v>61.966666666666669</v>
      </c>
      <c r="P30" s="8">
        <f t="shared" si="3"/>
        <v>61.866666666666667</v>
      </c>
      <c r="Q30" s="8">
        <f t="shared" si="3"/>
        <v>60.966666666666669</v>
      </c>
    </row>
    <row r="31" spans="2:17" x14ac:dyDescent="0.2">
      <c r="B31" s="4" t="s">
        <v>11</v>
      </c>
      <c r="C31" s="2">
        <f>AVERAGE(C24:C26)</f>
        <v>54.300000000000004</v>
      </c>
      <c r="D31" s="2">
        <f t="shared" ref="D31:K31" si="4">AVERAGE(D24:D26)</f>
        <v>41.6</v>
      </c>
      <c r="E31" s="2">
        <f t="shared" si="4"/>
        <v>52.933333333333337</v>
      </c>
      <c r="F31" s="2">
        <f t="shared" si="4"/>
        <v>30.7</v>
      </c>
      <c r="G31" s="2">
        <f t="shared" si="4"/>
        <v>32.199999999999996</v>
      </c>
      <c r="H31" s="2">
        <f t="shared" si="4"/>
        <v>25.466666666666669</v>
      </c>
      <c r="I31" s="2">
        <f t="shared" si="4"/>
        <v>12.1</v>
      </c>
      <c r="J31" s="2">
        <f t="shared" si="4"/>
        <v>16.933333333333334</v>
      </c>
      <c r="K31" s="2">
        <f t="shared" si="4"/>
        <v>14.233333333333333</v>
      </c>
      <c r="L31" s="2">
        <f t="shared" ref="L31:Q31" si="5">AVERAGE(L24:L26)</f>
        <v>5.5033333333333339</v>
      </c>
      <c r="M31" s="2">
        <f t="shared" si="5"/>
        <v>4.5</v>
      </c>
      <c r="N31" s="2">
        <f t="shared" si="5"/>
        <v>3.14</v>
      </c>
      <c r="O31" s="2">
        <f t="shared" si="5"/>
        <v>2.5299999999999998</v>
      </c>
      <c r="P31" s="2">
        <f t="shared" si="5"/>
        <v>2.27</v>
      </c>
      <c r="Q31" s="2">
        <f t="shared" si="5"/>
        <v>2.9266666666666672</v>
      </c>
    </row>
    <row r="32" spans="2:17" x14ac:dyDescent="0.2">
      <c r="B32" s="5" t="s">
        <v>12</v>
      </c>
      <c r="C32" s="7">
        <f>AVERAGE(C27:C29)</f>
        <v>25.733333333333331</v>
      </c>
      <c r="D32" s="7">
        <f t="shared" ref="D32:K32" si="6">AVERAGE(D27:D29)</f>
        <v>17.099999999999998</v>
      </c>
      <c r="E32" s="7">
        <f t="shared" si="6"/>
        <v>18</v>
      </c>
      <c r="F32" s="7">
        <f t="shared" si="6"/>
        <v>14.200000000000001</v>
      </c>
      <c r="G32" s="7">
        <f t="shared" si="6"/>
        <v>11.666666666666666</v>
      </c>
      <c r="H32" s="7">
        <f t="shared" si="6"/>
        <v>17.866666666666667</v>
      </c>
      <c r="I32" s="7">
        <f t="shared" si="6"/>
        <v>8.0766666666666662</v>
      </c>
      <c r="J32" s="7">
        <f t="shared" si="6"/>
        <v>8.4266666666666676</v>
      </c>
      <c r="K32" s="7">
        <f t="shared" si="6"/>
        <v>7.78</v>
      </c>
      <c r="L32" s="7">
        <f t="shared" ref="L32:Q32" si="7">AVERAGE(L27:L29)</f>
        <v>3.2033333333333331</v>
      </c>
      <c r="M32" s="7">
        <f t="shared" si="7"/>
        <v>3.97</v>
      </c>
      <c r="N32" s="7">
        <f t="shared" si="7"/>
        <v>3.1433333333333331</v>
      </c>
      <c r="O32" s="7">
        <f t="shared" si="7"/>
        <v>2.1133333333333333</v>
      </c>
      <c r="P32" s="7">
        <f t="shared" si="7"/>
        <v>1.9666666666666666</v>
      </c>
      <c r="Q32" s="7">
        <f t="shared" si="7"/>
        <v>2.0933333333333333</v>
      </c>
    </row>
    <row r="34" spans="2:17" x14ac:dyDescent="0.2">
      <c r="B34" s="6" t="s">
        <v>29</v>
      </c>
      <c r="C34" s="14" t="s">
        <v>3</v>
      </c>
      <c r="D34" s="14"/>
      <c r="E34" s="14"/>
      <c r="F34" s="14" t="s">
        <v>4</v>
      </c>
      <c r="G34" s="14"/>
      <c r="H34" s="14"/>
      <c r="I34" s="14" t="s">
        <v>5</v>
      </c>
      <c r="J34" s="14"/>
      <c r="K34" s="14"/>
      <c r="L34" s="14" t="s">
        <v>9</v>
      </c>
      <c r="M34" s="14"/>
      <c r="N34" s="14"/>
      <c r="O34" s="14" t="s">
        <v>15</v>
      </c>
      <c r="P34" s="14"/>
      <c r="Q34" s="14"/>
    </row>
    <row r="35" spans="2:17" x14ac:dyDescent="0.2">
      <c r="B35" t="s">
        <v>16</v>
      </c>
      <c r="C35" s="9">
        <v>10</v>
      </c>
      <c r="D35" s="9">
        <v>10</v>
      </c>
      <c r="E35" s="9">
        <v>10</v>
      </c>
      <c r="F35" s="9">
        <v>50</v>
      </c>
      <c r="G35" s="9">
        <v>50</v>
      </c>
      <c r="H35" s="9">
        <v>50</v>
      </c>
      <c r="I35" s="9">
        <v>100</v>
      </c>
      <c r="J35" s="9">
        <v>100</v>
      </c>
      <c r="K35" s="9">
        <v>100</v>
      </c>
      <c r="L35" s="9">
        <v>150</v>
      </c>
      <c r="M35" s="9">
        <v>150</v>
      </c>
      <c r="N35" s="9">
        <v>150</v>
      </c>
      <c r="O35" s="9">
        <v>200</v>
      </c>
      <c r="P35" s="9">
        <v>200</v>
      </c>
      <c r="Q35" s="9">
        <v>200</v>
      </c>
    </row>
    <row r="36" spans="2:17" x14ac:dyDescent="0.2">
      <c r="B36" s="1"/>
      <c r="C36" s="1" t="s">
        <v>0</v>
      </c>
      <c r="D36" s="1" t="s">
        <v>1</v>
      </c>
      <c r="E36" s="1" t="s">
        <v>2</v>
      </c>
      <c r="F36" s="1" t="s">
        <v>0</v>
      </c>
      <c r="G36" s="1" t="s">
        <v>1</v>
      </c>
      <c r="H36" s="1" t="s">
        <v>2</v>
      </c>
      <c r="I36" s="1" t="s">
        <v>0</v>
      </c>
      <c r="J36" s="1" t="s">
        <v>1</v>
      </c>
      <c r="K36" s="1" t="s">
        <v>2</v>
      </c>
      <c r="L36" s="1" t="s">
        <v>0</v>
      </c>
      <c r="M36" s="1" t="s">
        <v>1</v>
      </c>
      <c r="N36" s="1" t="s">
        <v>2</v>
      </c>
      <c r="O36" s="1" t="s">
        <v>0</v>
      </c>
      <c r="P36" s="1" t="s">
        <v>1</v>
      </c>
      <c r="Q36" s="1" t="s">
        <v>2</v>
      </c>
    </row>
    <row r="37" spans="2:17" x14ac:dyDescent="0.2">
      <c r="B37" s="15" t="s">
        <v>6</v>
      </c>
      <c r="C37" s="11">
        <v>62.3</v>
      </c>
      <c r="D37" s="11">
        <v>61.8</v>
      </c>
      <c r="E37" s="11">
        <v>61.3</v>
      </c>
      <c r="F37" s="11">
        <v>62.3</v>
      </c>
      <c r="G37" s="11">
        <v>61.2</v>
      </c>
      <c r="H37" s="11">
        <v>60.6</v>
      </c>
      <c r="I37" s="11">
        <v>63.9</v>
      </c>
      <c r="J37" s="11">
        <v>63</v>
      </c>
      <c r="K37" s="11">
        <v>64.5</v>
      </c>
      <c r="L37" s="11">
        <v>62.3</v>
      </c>
      <c r="M37" s="11">
        <v>61</v>
      </c>
      <c r="N37" s="11">
        <v>64</v>
      </c>
      <c r="O37" s="11">
        <v>62.7</v>
      </c>
      <c r="P37" s="11">
        <v>62.8</v>
      </c>
      <c r="Q37" s="11">
        <v>61.9</v>
      </c>
    </row>
    <row r="38" spans="2:17" x14ac:dyDescent="0.2">
      <c r="B38" s="16"/>
      <c r="C38" s="11">
        <v>62.1</v>
      </c>
      <c r="D38" s="11">
        <v>62.1</v>
      </c>
      <c r="E38" s="11">
        <v>61.6</v>
      </c>
      <c r="F38" s="11">
        <v>62.4</v>
      </c>
      <c r="G38" s="11">
        <v>61.6</v>
      </c>
      <c r="H38" s="11">
        <v>61.1</v>
      </c>
      <c r="I38" s="11">
        <v>64.099999999999994</v>
      </c>
      <c r="J38" s="11">
        <v>64.099999999999994</v>
      </c>
      <c r="K38" s="11">
        <v>64</v>
      </c>
      <c r="L38" s="11">
        <v>63.2</v>
      </c>
      <c r="M38" s="11">
        <v>62.7</v>
      </c>
      <c r="N38" s="11">
        <v>63.5</v>
      </c>
      <c r="O38" s="11">
        <v>62.9</v>
      </c>
      <c r="P38" s="11">
        <v>62.7</v>
      </c>
      <c r="Q38" s="11">
        <v>62.4</v>
      </c>
    </row>
    <row r="39" spans="2:17" x14ac:dyDescent="0.2">
      <c r="B39" s="17"/>
      <c r="C39" s="12">
        <v>62.1</v>
      </c>
      <c r="D39" s="12">
        <v>61.8</v>
      </c>
      <c r="E39" s="12">
        <v>61.7</v>
      </c>
      <c r="F39" s="12">
        <v>62.4</v>
      </c>
      <c r="G39" s="12">
        <v>61.5</v>
      </c>
      <c r="H39" s="12">
        <v>61</v>
      </c>
      <c r="I39" s="12">
        <v>64.3</v>
      </c>
      <c r="J39" s="12">
        <v>64.5</v>
      </c>
      <c r="K39" s="12">
        <v>63.8</v>
      </c>
      <c r="L39" s="12">
        <v>62.9</v>
      </c>
      <c r="M39" s="12">
        <v>63.3</v>
      </c>
      <c r="N39" s="12">
        <v>62.9</v>
      </c>
      <c r="O39" s="12">
        <v>63</v>
      </c>
      <c r="P39" s="12">
        <v>63.2</v>
      </c>
      <c r="Q39" s="12">
        <v>62.5</v>
      </c>
    </row>
    <row r="40" spans="2:17" x14ac:dyDescent="0.2">
      <c r="B40" s="15" t="s">
        <v>7</v>
      </c>
      <c r="C40" s="13">
        <v>54.8</v>
      </c>
      <c r="D40" s="13">
        <v>64.900000000000006</v>
      </c>
      <c r="E40" s="11">
        <v>54.5</v>
      </c>
      <c r="F40" s="11">
        <v>7.22</v>
      </c>
      <c r="G40" s="11">
        <v>7.92</v>
      </c>
      <c r="H40" s="11">
        <v>9.4600000000000009</v>
      </c>
      <c r="I40" s="11">
        <v>4.97</v>
      </c>
      <c r="J40" s="11">
        <v>7.28</v>
      </c>
      <c r="K40" s="11">
        <v>5.18</v>
      </c>
      <c r="L40" s="11">
        <v>6.95</v>
      </c>
      <c r="M40" s="13">
        <v>3.07</v>
      </c>
      <c r="N40" s="13">
        <v>4.33</v>
      </c>
      <c r="O40" s="13">
        <v>19.2</v>
      </c>
      <c r="P40" s="13">
        <v>20</v>
      </c>
      <c r="Q40" s="13">
        <v>17.600000000000001</v>
      </c>
    </row>
    <row r="41" spans="2:17" x14ac:dyDescent="0.2">
      <c r="B41" s="16"/>
      <c r="C41" s="11">
        <v>52.6</v>
      </c>
      <c r="D41" s="11">
        <v>50.6</v>
      </c>
      <c r="E41" s="11">
        <v>52.1</v>
      </c>
      <c r="F41" s="11">
        <v>7.82</v>
      </c>
      <c r="G41" s="11">
        <v>8.16</v>
      </c>
      <c r="H41" s="11">
        <v>9.19</v>
      </c>
      <c r="I41" s="11">
        <v>5.33</v>
      </c>
      <c r="J41" s="11">
        <v>7.48</v>
      </c>
      <c r="K41" s="11">
        <v>6.31</v>
      </c>
      <c r="L41" s="11">
        <v>4.9800000000000004</v>
      </c>
      <c r="M41" s="11">
        <v>3.19</v>
      </c>
      <c r="N41" s="11">
        <v>5.3</v>
      </c>
      <c r="O41" s="11">
        <v>13</v>
      </c>
      <c r="P41" s="11">
        <v>21.8</v>
      </c>
      <c r="Q41" s="11">
        <v>19.5</v>
      </c>
    </row>
    <row r="42" spans="2:17" x14ac:dyDescent="0.2">
      <c r="B42" s="17"/>
      <c r="C42" s="12">
        <v>55.2</v>
      </c>
      <c r="D42" s="12">
        <v>51.2</v>
      </c>
      <c r="E42" s="12">
        <v>46.3</v>
      </c>
      <c r="F42" s="12">
        <v>8.77</v>
      </c>
      <c r="G42" s="12">
        <v>8.6999999999999993</v>
      </c>
      <c r="H42" s="12">
        <v>9.92</v>
      </c>
      <c r="I42" s="12">
        <v>4.04</v>
      </c>
      <c r="J42" s="12">
        <v>7.43</v>
      </c>
      <c r="K42" s="12">
        <v>5.1100000000000003</v>
      </c>
      <c r="L42" s="12">
        <v>10</v>
      </c>
      <c r="M42" s="12">
        <v>2.9</v>
      </c>
      <c r="N42" s="12">
        <v>3.14</v>
      </c>
      <c r="O42" s="12">
        <v>14</v>
      </c>
      <c r="P42" s="12">
        <v>17</v>
      </c>
      <c r="Q42" s="12">
        <v>14</v>
      </c>
    </row>
    <row r="43" spans="2:17" x14ac:dyDescent="0.2">
      <c r="B43" s="15" t="s">
        <v>8</v>
      </c>
      <c r="C43" s="13">
        <v>32.200000000000003</v>
      </c>
      <c r="D43" s="13">
        <v>38.700000000000003</v>
      </c>
      <c r="E43" s="11">
        <v>18.5</v>
      </c>
      <c r="F43" s="11">
        <v>6.8</v>
      </c>
      <c r="G43" s="11">
        <v>7.68</v>
      </c>
      <c r="H43" s="11">
        <v>8.7200000000000006</v>
      </c>
      <c r="I43" s="11">
        <v>3.45</v>
      </c>
      <c r="J43" s="11">
        <v>5.44</v>
      </c>
      <c r="K43" s="11">
        <v>4.71</v>
      </c>
      <c r="L43" s="11">
        <v>2.2400000000000002</v>
      </c>
      <c r="M43" s="13">
        <v>2.58</v>
      </c>
      <c r="N43" s="13">
        <v>3.46</v>
      </c>
      <c r="O43" s="13">
        <v>5.58</v>
      </c>
      <c r="P43" s="13">
        <v>6.57</v>
      </c>
      <c r="Q43" s="13">
        <v>4.4800000000000004</v>
      </c>
    </row>
    <row r="44" spans="2:17" x14ac:dyDescent="0.2">
      <c r="B44" s="16"/>
      <c r="C44" s="11">
        <v>31.8</v>
      </c>
      <c r="D44" s="11">
        <v>39.5</v>
      </c>
      <c r="E44" s="11">
        <v>18.600000000000001</v>
      </c>
      <c r="F44" s="11">
        <v>7.96</v>
      </c>
      <c r="G44" s="11">
        <v>7.24</v>
      </c>
      <c r="H44" s="11">
        <v>8.9499999999999993</v>
      </c>
      <c r="I44" s="11">
        <v>3.41</v>
      </c>
      <c r="J44" s="11">
        <v>4.9000000000000004</v>
      </c>
      <c r="K44" s="11">
        <v>3.94</v>
      </c>
      <c r="L44" s="11">
        <v>2.91</v>
      </c>
      <c r="M44" s="11">
        <v>2.62</v>
      </c>
      <c r="N44" s="11">
        <v>2.29</v>
      </c>
      <c r="O44" s="11">
        <v>4.45</v>
      </c>
      <c r="P44" s="11">
        <v>6.72</v>
      </c>
      <c r="Q44" s="11">
        <v>5.92</v>
      </c>
    </row>
    <row r="45" spans="2:17" x14ac:dyDescent="0.2">
      <c r="B45" s="17"/>
      <c r="C45" s="11">
        <v>32.1</v>
      </c>
      <c r="D45" s="11">
        <v>39.4</v>
      </c>
      <c r="E45" s="11">
        <v>18.2</v>
      </c>
      <c r="F45" s="11">
        <v>7.64</v>
      </c>
      <c r="G45" s="11">
        <v>7.58</v>
      </c>
      <c r="H45" s="11">
        <v>8.5500000000000007</v>
      </c>
      <c r="I45" s="11">
        <v>3.52</v>
      </c>
      <c r="J45" s="11">
        <v>4.95</v>
      </c>
      <c r="K45" s="11">
        <v>3.94</v>
      </c>
      <c r="L45" s="11">
        <v>3.07</v>
      </c>
      <c r="M45" s="11">
        <v>2.52</v>
      </c>
      <c r="N45" s="11">
        <v>3.64</v>
      </c>
      <c r="O45" s="11">
        <v>4.6100000000000003</v>
      </c>
      <c r="P45" s="11">
        <v>4.75</v>
      </c>
      <c r="Q45" s="11">
        <v>5.16</v>
      </c>
    </row>
    <row r="46" spans="2:17" x14ac:dyDescent="0.2">
      <c r="B46" s="3" t="s">
        <v>10</v>
      </c>
      <c r="C46" s="8">
        <f>AVERAGE(C37:C39)</f>
        <v>62.166666666666664</v>
      </c>
      <c r="D46" s="8">
        <f t="shared" ref="D46:Q46" si="8">AVERAGE(D37:D39)</f>
        <v>61.9</v>
      </c>
      <c r="E46" s="8">
        <f t="shared" si="8"/>
        <v>61.533333333333339</v>
      </c>
      <c r="F46" s="8">
        <f t="shared" si="8"/>
        <v>62.366666666666667</v>
      </c>
      <c r="G46" s="8">
        <f t="shared" si="8"/>
        <v>61.433333333333337</v>
      </c>
      <c r="H46" s="8">
        <f t="shared" si="8"/>
        <v>60.9</v>
      </c>
      <c r="I46" s="8">
        <f t="shared" si="8"/>
        <v>64.100000000000009</v>
      </c>
      <c r="J46" s="8">
        <f t="shared" si="8"/>
        <v>63.866666666666667</v>
      </c>
      <c r="K46" s="8">
        <f t="shared" si="8"/>
        <v>64.100000000000009</v>
      </c>
      <c r="L46" s="8">
        <f t="shared" si="8"/>
        <v>62.800000000000004</v>
      </c>
      <c r="M46" s="8">
        <f t="shared" si="8"/>
        <v>62.333333333333336</v>
      </c>
      <c r="N46" s="8">
        <f t="shared" si="8"/>
        <v>63.466666666666669</v>
      </c>
      <c r="O46" s="8">
        <f t="shared" si="8"/>
        <v>62.866666666666667</v>
      </c>
      <c r="P46" s="8">
        <f t="shared" si="8"/>
        <v>62.9</v>
      </c>
      <c r="Q46" s="8">
        <f t="shared" si="8"/>
        <v>62.266666666666673</v>
      </c>
    </row>
    <row r="47" spans="2:17" x14ac:dyDescent="0.2">
      <c r="B47" s="4" t="s">
        <v>11</v>
      </c>
      <c r="C47" s="2">
        <f>AVERAGE(C40:C42)</f>
        <v>54.20000000000001</v>
      </c>
      <c r="D47" s="2">
        <f t="shared" ref="D47:Q47" si="9">AVERAGE(D40:D42)</f>
        <v>55.566666666666663</v>
      </c>
      <c r="E47" s="2">
        <f t="shared" si="9"/>
        <v>50.966666666666661</v>
      </c>
      <c r="F47" s="2">
        <f t="shared" si="9"/>
        <v>7.9366666666666665</v>
      </c>
      <c r="G47" s="2">
        <f t="shared" si="9"/>
        <v>8.26</v>
      </c>
      <c r="H47" s="2">
        <f t="shared" si="9"/>
        <v>9.5233333333333334</v>
      </c>
      <c r="I47" s="2">
        <f t="shared" si="9"/>
        <v>4.78</v>
      </c>
      <c r="J47" s="2">
        <f t="shared" si="9"/>
        <v>7.3966666666666674</v>
      </c>
      <c r="K47" s="2">
        <f t="shared" si="9"/>
        <v>5.5333333333333323</v>
      </c>
      <c r="L47" s="2">
        <f t="shared" si="9"/>
        <v>7.31</v>
      </c>
      <c r="M47" s="2">
        <f t="shared" si="9"/>
        <v>3.0533333333333332</v>
      </c>
      <c r="N47" s="2">
        <f t="shared" si="9"/>
        <v>4.2566666666666668</v>
      </c>
      <c r="O47" s="2">
        <f t="shared" si="9"/>
        <v>15.4</v>
      </c>
      <c r="P47" s="2">
        <f t="shared" si="9"/>
        <v>19.599999999999998</v>
      </c>
      <c r="Q47" s="2">
        <f t="shared" si="9"/>
        <v>17.033333333333335</v>
      </c>
    </row>
    <row r="48" spans="2:17" x14ac:dyDescent="0.2">
      <c r="B48" s="5" t="s">
        <v>12</v>
      </c>
      <c r="C48" s="7">
        <f>AVERAGE(C43:C45)</f>
        <v>32.033333333333331</v>
      </c>
      <c r="D48" s="7">
        <f t="shared" ref="D48:Q48" si="10">AVERAGE(D43:D45)</f>
        <v>39.199999999999996</v>
      </c>
      <c r="E48" s="7">
        <f t="shared" si="10"/>
        <v>18.433333333333334</v>
      </c>
      <c r="F48" s="7">
        <f t="shared" si="10"/>
        <v>7.4666666666666659</v>
      </c>
      <c r="G48" s="7">
        <f t="shared" si="10"/>
        <v>7.5</v>
      </c>
      <c r="H48" s="7">
        <f t="shared" si="10"/>
        <v>8.74</v>
      </c>
      <c r="I48" s="7">
        <f t="shared" si="10"/>
        <v>3.4600000000000004</v>
      </c>
      <c r="J48" s="7">
        <f t="shared" si="10"/>
        <v>5.0966666666666667</v>
      </c>
      <c r="K48" s="7">
        <f t="shared" si="10"/>
        <v>4.1966666666666663</v>
      </c>
      <c r="L48" s="7">
        <f t="shared" si="10"/>
        <v>2.74</v>
      </c>
      <c r="M48" s="7">
        <f t="shared" si="10"/>
        <v>2.5733333333333337</v>
      </c>
      <c r="N48" s="7">
        <f t="shared" si="10"/>
        <v>3.1300000000000003</v>
      </c>
      <c r="O48" s="7">
        <f t="shared" si="10"/>
        <v>4.88</v>
      </c>
      <c r="P48" s="7">
        <f t="shared" si="10"/>
        <v>6.0133333333333328</v>
      </c>
      <c r="Q48" s="7">
        <f t="shared" si="10"/>
        <v>5.1866666666666665</v>
      </c>
    </row>
    <row r="49" spans="2:17" x14ac:dyDescent="0.2">
      <c r="B49" s="1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2:17" x14ac:dyDescent="0.2">
      <c r="B50" s="6" t="s">
        <v>30</v>
      </c>
      <c r="C50" s="14" t="s">
        <v>3</v>
      </c>
      <c r="D50" s="14"/>
      <c r="E50" s="14"/>
      <c r="F50" s="14" t="s">
        <v>4</v>
      </c>
      <c r="G50" s="14"/>
      <c r="H50" s="14"/>
      <c r="I50" s="14" t="s">
        <v>5</v>
      </c>
      <c r="J50" s="14"/>
      <c r="K50" s="14"/>
      <c r="L50" s="14" t="s">
        <v>9</v>
      </c>
      <c r="M50" s="14"/>
      <c r="N50" s="14"/>
      <c r="O50" s="14" t="s">
        <v>15</v>
      </c>
      <c r="P50" s="14"/>
      <c r="Q50" s="14"/>
    </row>
    <row r="51" spans="2:17" x14ac:dyDescent="0.2">
      <c r="B51" t="s">
        <v>16</v>
      </c>
      <c r="C51" s="9">
        <v>10</v>
      </c>
      <c r="D51" s="9">
        <v>10</v>
      </c>
      <c r="E51" s="9">
        <v>10</v>
      </c>
      <c r="F51" s="9">
        <v>50</v>
      </c>
      <c r="G51" s="9">
        <v>50</v>
      </c>
      <c r="H51" s="9">
        <v>50</v>
      </c>
      <c r="I51" s="9">
        <v>100</v>
      </c>
      <c r="J51" s="9">
        <v>100</v>
      </c>
      <c r="K51" s="9">
        <v>100</v>
      </c>
      <c r="L51" s="9">
        <v>150</v>
      </c>
      <c r="M51" s="9">
        <v>150</v>
      </c>
      <c r="N51" s="9">
        <v>150</v>
      </c>
      <c r="O51" s="9">
        <v>200</v>
      </c>
      <c r="P51" s="9">
        <v>200</v>
      </c>
      <c r="Q51" s="9">
        <v>200</v>
      </c>
    </row>
    <row r="52" spans="2:17" x14ac:dyDescent="0.2">
      <c r="B52" s="1"/>
      <c r="C52" s="1" t="s">
        <v>0</v>
      </c>
      <c r="D52" s="1" t="s">
        <v>1</v>
      </c>
      <c r="E52" s="1" t="s">
        <v>2</v>
      </c>
      <c r="F52" s="1" t="s">
        <v>0</v>
      </c>
      <c r="G52" s="1" t="s">
        <v>1</v>
      </c>
      <c r="H52" s="1" t="s">
        <v>2</v>
      </c>
      <c r="I52" s="1" t="s">
        <v>0</v>
      </c>
      <c r="J52" s="1" t="s">
        <v>1</v>
      </c>
      <c r="K52" s="1" t="s">
        <v>2</v>
      </c>
      <c r="L52" s="1" t="s">
        <v>0</v>
      </c>
      <c r="M52" s="1" t="s">
        <v>1</v>
      </c>
      <c r="N52" s="1" t="s">
        <v>2</v>
      </c>
      <c r="O52" s="1" t="s">
        <v>0</v>
      </c>
      <c r="P52" s="1" t="s">
        <v>1</v>
      </c>
      <c r="Q52" s="1" t="s">
        <v>2</v>
      </c>
    </row>
    <row r="53" spans="2:17" x14ac:dyDescent="0.2">
      <c r="B53" s="15" t="s">
        <v>6</v>
      </c>
      <c r="C53" s="11">
        <v>61.7</v>
      </c>
      <c r="D53" s="11">
        <v>61.4</v>
      </c>
      <c r="E53" s="11">
        <v>61</v>
      </c>
      <c r="F53" s="11">
        <v>63.4</v>
      </c>
      <c r="G53" s="11">
        <v>63.4</v>
      </c>
      <c r="H53" s="11">
        <v>63.1</v>
      </c>
      <c r="I53" s="11">
        <v>62.5</v>
      </c>
      <c r="J53" s="11">
        <v>61.5</v>
      </c>
      <c r="K53" s="11">
        <v>62.4</v>
      </c>
      <c r="L53" s="11">
        <v>62.6</v>
      </c>
      <c r="M53" s="11">
        <v>61.8</v>
      </c>
      <c r="N53" s="11">
        <v>62.2</v>
      </c>
      <c r="O53" s="11">
        <v>62</v>
      </c>
      <c r="P53" s="11">
        <v>62.4</v>
      </c>
      <c r="Q53" s="11">
        <v>63.9</v>
      </c>
    </row>
    <row r="54" spans="2:17" x14ac:dyDescent="0.2">
      <c r="B54" s="16"/>
      <c r="C54" s="11">
        <v>61.4</v>
      </c>
      <c r="D54" s="11">
        <v>62.1</v>
      </c>
      <c r="E54" s="11">
        <v>61.8</v>
      </c>
      <c r="F54" s="11">
        <v>62.8</v>
      </c>
      <c r="G54" s="11">
        <v>63.8</v>
      </c>
      <c r="H54" s="11">
        <v>62.9</v>
      </c>
      <c r="I54" s="11">
        <v>62.5</v>
      </c>
      <c r="J54" s="11">
        <v>61.9</v>
      </c>
      <c r="K54" s="11">
        <v>62.3</v>
      </c>
      <c r="L54" s="11">
        <v>61.9</v>
      </c>
      <c r="M54" s="11">
        <v>62.3</v>
      </c>
      <c r="N54" s="11">
        <v>62.5</v>
      </c>
      <c r="O54" s="11">
        <v>62.6</v>
      </c>
      <c r="P54" s="11">
        <v>64.099999999999994</v>
      </c>
      <c r="Q54" s="11">
        <v>64.099999999999994</v>
      </c>
    </row>
    <row r="55" spans="2:17" x14ac:dyDescent="0.2">
      <c r="B55" s="17"/>
      <c r="C55" s="12">
        <v>61.3</v>
      </c>
      <c r="D55" s="12">
        <v>62</v>
      </c>
      <c r="E55" s="12">
        <v>61.5</v>
      </c>
      <c r="F55" s="12">
        <v>63.3</v>
      </c>
      <c r="G55" s="12">
        <v>63.7</v>
      </c>
      <c r="H55" s="12">
        <v>62.7</v>
      </c>
      <c r="I55" s="12">
        <v>62.6</v>
      </c>
      <c r="J55" s="12">
        <v>61.8</v>
      </c>
      <c r="K55" s="12">
        <v>62.3</v>
      </c>
      <c r="L55" s="12">
        <v>61.9</v>
      </c>
      <c r="M55" s="12">
        <v>62.4</v>
      </c>
      <c r="N55" s="12">
        <v>62.3</v>
      </c>
      <c r="O55" s="12">
        <v>62.8</v>
      </c>
      <c r="P55" s="12">
        <v>63</v>
      </c>
      <c r="Q55" s="12">
        <v>63.6</v>
      </c>
    </row>
    <row r="56" spans="2:17" x14ac:dyDescent="0.2">
      <c r="B56" s="15" t="s">
        <v>7</v>
      </c>
      <c r="C56" s="13">
        <v>47.1</v>
      </c>
      <c r="D56" s="13">
        <v>47</v>
      </c>
      <c r="E56" s="11">
        <v>47.5</v>
      </c>
      <c r="F56" s="11">
        <v>5.79</v>
      </c>
      <c r="G56" s="11">
        <v>4.3</v>
      </c>
      <c r="H56" s="11">
        <v>4.6900000000000004</v>
      </c>
      <c r="I56" s="11">
        <v>17.7</v>
      </c>
      <c r="J56" s="11">
        <v>14.4</v>
      </c>
      <c r="K56" s="11">
        <v>26.5</v>
      </c>
      <c r="L56" s="11">
        <v>26.4</v>
      </c>
      <c r="M56" s="13">
        <v>39.799999999999997</v>
      </c>
      <c r="N56" s="13">
        <v>42.5</v>
      </c>
      <c r="O56" s="13">
        <v>42.8</v>
      </c>
      <c r="P56" s="13">
        <v>57.6</v>
      </c>
      <c r="Q56" s="13">
        <v>41.3</v>
      </c>
    </row>
    <row r="57" spans="2:17" x14ac:dyDescent="0.2">
      <c r="B57" s="16"/>
      <c r="C57" s="11">
        <v>42.9</v>
      </c>
      <c r="D57" s="11">
        <v>41.6</v>
      </c>
      <c r="E57" s="11">
        <v>44.6</v>
      </c>
      <c r="F57" s="11">
        <v>4.4800000000000004</v>
      </c>
      <c r="G57" s="11">
        <v>3.69</v>
      </c>
      <c r="H57" s="11">
        <v>4.82</v>
      </c>
      <c r="I57" s="11">
        <v>19</v>
      </c>
      <c r="J57" s="11">
        <v>14.4</v>
      </c>
      <c r="K57" s="11">
        <v>24.2</v>
      </c>
      <c r="L57" s="11">
        <v>21.1</v>
      </c>
      <c r="M57" s="11">
        <v>30.2</v>
      </c>
      <c r="N57" s="11">
        <v>26.7</v>
      </c>
      <c r="O57" s="11">
        <v>54.2</v>
      </c>
      <c r="P57" s="11">
        <v>70.900000000000006</v>
      </c>
      <c r="Q57" s="11">
        <v>57.4</v>
      </c>
    </row>
    <row r="58" spans="2:17" x14ac:dyDescent="0.2">
      <c r="B58" s="17"/>
      <c r="C58" s="12">
        <v>44.6</v>
      </c>
      <c r="D58" s="12">
        <v>50.1</v>
      </c>
      <c r="E58" s="12">
        <v>41.6</v>
      </c>
      <c r="F58" s="12">
        <v>5.4</v>
      </c>
      <c r="G58" s="12">
        <v>4.0199999999999996</v>
      </c>
      <c r="H58" s="12">
        <v>5.07</v>
      </c>
      <c r="I58" s="12">
        <v>16.5</v>
      </c>
      <c r="J58" s="12">
        <v>12.8</v>
      </c>
      <c r="K58" s="12">
        <v>19</v>
      </c>
      <c r="L58" s="12">
        <v>34.9</v>
      </c>
      <c r="M58" s="12">
        <v>28.3</v>
      </c>
      <c r="N58" s="12">
        <v>38</v>
      </c>
      <c r="O58" s="12">
        <v>45</v>
      </c>
      <c r="P58" s="12">
        <v>37.799999999999997</v>
      </c>
      <c r="Q58" s="12">
        <v>40.9</v>
      </c>
    </row>
    <row r="59" spans="2:17" x14ac:dyDescent="0.2">
      <c r="B59" s="15" t="s">
        <v>8</v>
      </c>
      <c r="C59" s="13">
        <v>20.2</v>
      </c>
      <c r="D59" s="13">
        <v>17.399999999999999</v>
      </c>
      <c r="E59" s="11">
        <v>26.8</v>
      </c>
      <c r="F59" s="11">
        <v>3.67</v>
      </c>
      <c r="G59" s="11">
        <v>3.52</v>
      </c>
      <c r="H59" s="11">
        <v>3.83</v>
      </c>
      <c r="I59" s="11">
        <v>4.66</v>
      </c>
      <c r="J59" s="11">
        <v>4.12</v>
      </c>
      <c r="K59" s="11">
        <v>4</v>
      </c>
      <c r="L59" s="11">
        <v>8.92</v>
      </c>
      <c r="M59" s="13">
        <v>8.0299999999999994</v>
      </c>
      <c r="N59" s="13">
        <v>7.36</v>
      </c>
      <c r="O59" s="13">
        <v>10.3</v>
      </c>
      <c r="P59" s="13">
        <v>11.1</v>
      </c>
      <c r="Q59" s="13">
        <v>8.61</v>
      </c>
    </row>
    <row r="60" spans="2:17" x14ac:dyDescent="0.2">
      <c r="B60" s="16"/>
      <c r="C60" s="11">
        <v>19.5</v>
      </c>
      <c r="D60" s="11">
        <v>18.600000000000001</v>
      </c>
      <c r="E60" s="11">
        <v>25.9</v>
      </c>
      <c r="F60" s="11">
        <v>3.31</v>
      </c>
      <c r="G60" s="11">
        <v>3.51</v>
      </c>
      <c r="H60" s="11">
        <v>4.51</v>
      </c>
      <c r="I60" s="11">
        <v>4.72</v>
      </c>
      <c r="J60" s="11">
        <v>3.67</v>
      </c>
      <c r="K60" s="11">
        <v>4.3</v>
      </c>
      <c r="L60" s="11">
        <v>8.35</v>
      </c>
      <c r="M60" s="11">
        <v>8.2200000000000006</v>
      </c>
      <c r="N60" s="11">
        <v>6.54</v>
      </c>
      <c r="O60" s="11">
        <v>11.8</v>
      </c>
      <c r="P60" s="11">
        <v>11.1</v>
      </c>
      <c r="Q60" s="11">
        <v>8.81</v>
      </c>
    </row>
    <row r="61" spans="2:17" x14ac:dyDescent="0.2">
      <c r="B61" s="17"/>
      <c r="C61" s="11">
        <v>19.3</v>
      </c>
      <c r="D61" s="11">
        <v>17</v>
      </c>
      <c r="E61" s="11">
        <v>27</v>
      </c>
      <c r="F61" s="11">
        <v>3.58</v>
      </c>
      <c r="G61" s="11">
        <v>3.42</v>
      </c>
      <c r="H61" s="11">
        <v>3.82</v>
      </c>
      <c r="I61" s="11">
        <v>4.26</v>
      </c>
      <c r="J61" s="11">
        <v>3.74</v>
      </c>
      <c r="K61" s="11">
        <v>3.98</v>
      </c>
      <c r="L61" s="11">
        <v>9.14</v>
      </c>
      <c r="M61" s="11">
        <v>7.18</v>
      </c>
      <c r="N61" s="11">
        <v>7.47</v>
      </c>
      <c r="O61" s="11">
        <v>10.8</v>
      </c>
      <c r="P61" s="11">
        <v>10.4</v>
      </c>
      <c r="Q61" s="11">
        <v>8.98</v>
      </c>
    </row>
    <row r="62" spans="2:17" x14ac:dyDescent="0.2">
      <c r="B62" s="3" t="s">
        <v>10</v>
      </c>
      <c r="C62" s="8">
        <f t="shared" ref="C62" si="11">AVERAGE(C53:C55)</f>
        <v>61.466666666666661</v>
      </c>
      <c r="D62" s="8">
        <f t="shared" ref="D62:P62" si="12">AVERAGE(D53:D55)</f>
        <v>61.833333333333336</v>
      </c>
      <c r="E62" s="8">
        <f t="shared" si="12"/>
        <v>61.433333333333337</v>
      </c>
      <c r="F62" s="8">
        <f t="shared" si="12"/>
        <v>63.166666666666664</v>
      </c>
      <c r="G62" s="8">
        <f t="shared" si="12"/>
        <v>63.633333333333326</v>
      </c>
      <c r="H62" s="8">
        <f t="shared" si="12"/>
        <v>62.9</v>
      </c>
      <c r="I62" s="8">
        <f t="shared" si="12"/>
        <v>62.533333333333331</v>
      </c>
      <c r="J62" s="8">
        <f t="shared" si="12"/>
        <v>61.733333333333327</v>
      </c>
      <c r="K62" s="8">
        <f t="shared" si="12"/>
        <v>62.333333333333336</v>
      </c>
      <c r="L62" s="8">
        <f t="shared" si="12"/>
        <v>62.133333333333333</v>
      </c>
      <c r="M62" s="8">
        <f t="shared" si="12"/>
        <v>62.166666666666664</v>
      </c>
      <c r="N62" s="8">
        <f t="shared" si="12"/>
        <v>62.333333333333336</v>
      </c>
      <c r="O62" s="8">
        <f t="shared" si="12"/>
        <v>62.466666666666661</v>
      </c>
      <c r="P62" s="8">
        <f t="shared" si="12"/>
        <v>63.166666666666664</v>
      </c>
      <c r="Q62" s="8">
        <f>AVERAGE(Q53:Q55)</f>
        <v>63.866666666666667</v>
      </c>
    </row>
    <row r="63" spans="2:17" x14ac:dyDescent="0.2">
      <c r="B63" s="4" t="s">
        <v>11</v>
      </c>
      <c r="C63" s="2">
        <f>AVERAGE(C56:C58)</f>
        <v>44.866666666666667</v>
      </c>
      <c r="D63" s="2">
        <f t="shared" ref="D63:Q63" si="13">AVERAGE(D56:D58)</f>
        <v>46.233333333333327</v>
      </c>
      <c r="E63" s="2">
        <f t="shared" si="13"/>
        <v>44.566666666666663</v>
      </c>
      <c r="F63" s="2">
        <f t="shared" si="13"/>
        <v>5.2233333333333336</v>
      </c>
      <c r="G63" s="2">
        <f t="shared" si="13"/>
        <v>4.003333333333333</v>
      </c>
      <c r="H63" s="2">
        <f t="shared" si="13"/>
        <v>4.8600000000000003</v>
      </c>
      <c r="I63" s="2">
        <f t="shared" si="13"/>
        <v>17.733333333333334</v>
      </c>
      <c r="J63" s="2">
        <f t="shared" si="13"/>
        <v>13.866666666666667</v>
      </c>
      <c r="K63" s="2">
        <f t="shared" si="13"/>
        <v>23.233333333333334</v>
      </c>
      <c r="L63" s="2">
        <f t="shared" si="13"/>
        <v>27.466666666666669</v>
      </c>
      <c r="M63" s="2">
        <f t="shared" si="13"/>
        <v>32.766666666666666</v>
      </c>
      <c r="N63" s="2">
        <f t="shared" si="13"/>
        <v>35.733333333333334</v>
      </c>
      <c r="O63" s="2">
        <f t="shared" si="13"/>
        <v>47.333333333333336</v>
      </c>
      <c r="P63" s="2">
        <f t="shared" si="13"/>
        <v>55.433333333333337</v>
      </c>
      <c r="Q63" s="2">
        <f t="shared" si="13"/>
        <v>46.533333333333331</v>
      </c>
    </row>
    <row r="64" spans="2:17" x14ac:dyDescent="0.2">
      <c r="B64" s="5" t="s">
        <v>12</v>
      </c>
      <c r="C64" s="7">
        <f>AVERAGE(C59:C61)</f>
        <v>19.666666666666668</v>
      </c>
      <c r="D64" s="7">
        <f t="shared" ref="D64:Q64" si="14">AVERAGE(D59:D61)</f>
        <v>17.666666666666668</v>
      </c>
      <c r="E64" s="7">
        <f t="shared" si="14"/>
        <v>26.566666666666666</v>
      </c>
      <c r="F64" s="7">
        <f t="shared" si="14"/>
        <v>3.52</v>
      </c>
      <c r="G64" s="7">
        <f t="shared" si="14"/>
        <v>3.4833333333333329</v>
      </c>
      <c r="H64" s="7">
        <f t="shared" si="14"/>
        <v>4.0533333333333337</v>
      </c>
      <c r="I64" s="7">
        <f t="shared" si="14"/>
        <v>4.546666666666666</v>
      </c>
      <c r="J64" s="7">
        <f t="shared" si="14"/>
        <v>3.8433333333333337</v>
      </c>
      <c r="K64" s="7">
        <f t="shared" si="14"/>
        <v>4.0933333333333337</v>
      </c>
      <c r="L64" s="7">
        <f t="shared" si="14"/>
        <v>8.8033333333333328</v>
      </c>
      <c r="M64" s="7">
        <f t="shared" si="14"/>
        <v>7.81</v>
      </c>
      <c r="N64" s="7">
        <f t="shared" si="14"/>
        <v>7.123333333333334</v>
      </c>
      <c r="O64" s="7">
        <f t="shared" si="14"/>
        <v>10.966666666666669</v>
      </c>
      <c r="P64" s="7">
        <f t="shared" si="14"/>
        <v>10.866666666666667</v>
      </c>
      <c r="Q64" s="7">
        <f t="shared" si="14"/>
        <v>8.8000000000000007</v>
      </c>
    </row>
    <row r="66" spans="2:11" x14ac:dyDescent="0.2">
      <c r="B66" t="s">
        <v>17</v>
      </c>
      <c r="C66" t="s">
        <v>18</v>
      </c>
      <c r="D66" t="s">
        <v>21</v>
      </c>
      <c r="H66" t="s">
        <v>19</v>
      </c>
    </row>
    <row r="67" spans="2:11" x14ac:dyDescent="0.2">
      <c r="D67" t="s">
        <v>20</v>
      </c>
      <c r="E67" t="s">
        <v>26</v>
      </c>
      <c r="F67" t="s">
        <v>22</v>
      </c>
      <c r="G67" t="s">
        <v>23</v>
      </c>
      <c r="H67" t="s">
        <v>20</v>
      </c>
      <c r="I67" t="s">
        <v>26</v>
      </c>
      <c r="J67" t="s">
        <v>24</v>
      </c>
      <c r="K67" t="s">
        <v>25</v>
      </c>
    </row>
    <row r="68" spans="2:11" x14ac:dyDescent="0.2">
      <c r="B68" t="s">
        <v>13</v>
      </c>
      <c r="C68">
        <f>C19</f>
        <v>10</v>
      </c>
      <c r="D68" s="2">
        <f>AVERAGE(C15:E15)</f>
        <v>57.144444444444446</v>
      </c>
      <c r="E68" s="2">
        <f>AVERAGE(C31:E31)</f>
        <v>49.611111111111114</v>
      </c>
      <c r="F68" s="2">
        <f>AVERAGE(C47:E47)</f>
        <v>53.577777777777783</v>
      </c>
      <c r="G68" s="2">
        <f>AVERAGE(C63:E63)</f>
        <v>45.222222222222221</v>
      </c>
      <c r="H68" s="2">
        <f>STDEV(C15:E15)</f>
        <v>4.3043044777335409</v>
      </c>
      <c r="I68" s="2">
        <f>STDEV(C31:E31)</f>
        <v>6.9713965867945324</v>
      </c>
      <c r="J68" s="2">
        <f>STDEV(C47:E47)</f>
        <v>2.3622807560428511</v>
      </c>
      <c r="K68" s="2">
        <f>STDEV(C63:E63)</f>
        <v>0.88840264478402775</v>
      </c>
    </row>
    <row r="69" spans="2:11" x14ac:dyDescent="0.2">
      <c r="C69">
        <v>50</v>
      </c>
      <c r="D69" s="2">
        <f>AVERAGE(F15:H15)</f>
        <v>36.855555555555554</v>
      </c>
      <c r="E69" s="2">
        <f>AVERAGE(F31:H31)</f>
        <v>29.455555555555552</v>
      </c>
      <c r="F69" s="2">
        <f>AVERAGE(F47:H47)</f>
        <v>8.5733333333333324</v>
      </c>
      <c r="G69" s="2">
        <f>AVERAGE(F63:H63)</f>
        <v>4.695555555555555</v>
      </c>
      <c r="H69" s="2">
        <f>STDEV(F15:H15)</f>
        <v>1.0447399109259097</v>
      </c>
      <c r="I69" s="2">
        <f>STDEV(F31:H31)</f>
        <v>3.5349576978976573</v>
      </c>
      <c r="J69" s="2">
        <f>STDEV(F47:H47)</f>
        <v>0.83845757859960413</v>
      </c>
      <c r="K69" s="2">
        <f>STDEV(F63:H63)</f>
        <v>0.62640360909040593</v>
      </c>
    </row>
    <row r="70" spans="2:11" x14ac:dyDescent="0.2">
      <c r="C70">
        <f>I19</f>
        <v>100</v>
      </c>
      <c r="D70" s="2">
        <f>AVERAGE(I15:K15)</f>
        <v>34.222222222222221</v>
      </c>
      <c r="E70" s="2">
        <f>AVERAGE(I31:K31)</f>
        <v>14.422222222222222</v>
      </c>
      <c r="F70" s="2">
        <f>AVERAGE(I47:K47)</f>
        <v>5.9033333333333333</v>
      </c>
      <c r="G70" s="2">
        <f>AVERAGE(I63:K63)</f>
        <v>18.277777777777779</v>
      </c>
      <c r="H70" s="2">
        <f>STDEV(I15:K15)</f>
        <v>8.335088704009328</v>
      </c>
      <c r="I70" s="2">
        <f>STDEV(I31:K31)</f>
        <v>2.4221967378883797</v>
      </c>
      <c r="J70" s="2">
        <f>STDEV(I47:K47)</f>
        <v>1.347000783634184</v>
      </c>
      <c r="K70" s="2">
        <f>STDEV(I63:K63)</f>
        <v>4.7070081714318217</v>
      </c>
    </row>
    <row r="71" spans="2:11" x14ac:dyDescent="0.2">
      <c r="C71">
        <f>L19</f>
        <v>150</v>
      </c>
      <c r="D71" s="2">
        <f>AVERAGE(L15:N15)</f>
        <v>31.811111111111106</v>
      </c>
      <c r="E71" s="2">
        <f>AVERAGE(L31:N31)</f>
        <v>4.3811111111111112</v>
      </c>
      <c r="F71" s="2">
        <f>AVERAGE(L47:N47)</f>
        <v>4.873333333333334</v>
      </c>
      <c r="G71" s="2">
        <f>AVERAGE(L63:N63)</f>
        <v>31.988888888888891</v>
      </c>
      <c r="H71" s="2">
        <f>STDEV(L15:N15)</f>
        <v>3.6375103410824123</v>
      </c>
      <c r="I71" s="2">
        <f>STDEV(L31:N31)</f>
        <v>1.1861437674401176</v>
      </c>
      <c r="J71" s="2">
        <f>STDEV(L47:N47)</f>
        <v>2.1943133575474367</v>
      </c>
      <c r="K71" s="2">
        <f>STDEV(L63:N63)</f>
        <v>4.1878572263328611</v>
      </c>
    </row>
    <row r="72" spans="2:11" x14ac:dyDescent="0.2">
      <c r="C72">
        <f>O19</f>
        <v>200</v>
      </c>
      <c r="D72" s="2">
        <f>AVERAGE(O15:Q15)</f>
        <v>32.31111111111111</v>
      </c>
      <c r="E72" s="2">
        <f>AVERAGE(O31:Q31)</f>
        <v>2.5755555555555554</v>
      </c>
      <c r="F72" s="2">
        <f>AVERAGE(O47:Q47)</f>
        <v>17.344444444444445</v>
      </c>
      <c r="G72" s="2">
        <f>AVERAGE(O63:Q63)</f>
        <v>49.766666666666673</v>
      </c>
      <c r="H72" s="2">
        <f>STDEV(O15:Q15)</f>
        <v>4.2344268054094858</v>
      </c>
      <c r="I72" s="2">
        <f>STDEV(O31:Q31)</f>
        <v>0.33069511526368051</v>
      </c>
      <c r="J72" s="2">
        <f>STDEV(O47:Q47)</f>
        <v>2.1172134027047407</v>
      </c>
      <c r="K72" s="2">
        <f>STDEV(O63:Q63)</f>
        <v>4.9237519569260755</v>
      </c>
    </row>
    <row r="73" spans="2:11" x14ac:dyDescent="0.2">
      <c r="H73" s="2"/>
      <c r="I73" s="2"/>
      <c r="J73" s="2"/>
      <c r="K73" s="2"/>
    </row>
    <row r="74" spans="2:11" x14ac:dyDescent="0.2">
      <c r="B74" t="s">
        <v>14</v>
      </c>
      <c r="C74">
        <f>C19</f>
        <v>10</v>
      </c>
      <c r="D74" s="2">
        <f>AVERAGE(C16:E16)</f>
        <v>29.188888888888886</v>
      </c>
      <c r="E74" s="2">
        <f>AVERAGE(C32:E32)</f>
        <v>20.277777777777775</v>
      </c>
      <c r="F74" s="2">
        <f>AVERAGE(C48:E48)</f>
        <v>29.888888888888886</v>
      </c>
      <c r="G74" s="2">
        <f>AVERAGE(C64:E64)</f>
        <v>21.3</v>
      </c>
      <c r="H74" s="2">
        <f>STDEV(C16:E16)</f>
        <v>5.1192809101510779</v>
      </c>
      <c r="I74" s="2">
        <f>STDEV(C32:E32)</f>
        <v>4.7460314805966908</v>
      </c>
      <c r="J74" s="2">
        <f>STDEV(C48:E48)</f>
        <v>10.548108484111864</v>
      </c>
      <c r="K74" s="2">
        <f>STDEV(C64:E64)</f>
        <v>4.6694039591079681</v>
      </c>
    </row>
    <row r="75" spans="2:11" x14ac:dyDescent="0.2">
      <c r="C75">
        <v>50</v>
      </c>
      <c r="D75" s="2">
        <f>AVERAGE(F16:H16)</f>
        <v>22.444444444444443</v>
      </c>
      <c r="E75" s="2">
        <f>AVERAGE(F32:H32)</f>
        <v>14.577777777777778</v>
      </c>
      <c r="F75" s="2">
        <f>AVERAGE(F48:H48)</f>
        <v>7.9022222222222211</v>
      </c>
      <c r="G75" s="2">
        <f>AVERAGE(F64:H64)</f>
        <v>3.6855555555555557</v>
      </c>
      <c r="H75" s="2">
        <f>STDEV(F16:H16)</f>
        <v>2.5465299556091625</v>
      </c>
      <c r="I75" s="2">
        <f>STDEV(F32:H32)</f>
        <v>3.1172162319988352</v>
      </c>
      <c r="J75" s="2">
        <f>STDEV(F48:H48)</f>
        <v>0.72572824216884513</v>
      </c>
      <c r="K75" s="2">
        <f>STDEV(F64:H64)</f>
        <v>0.31903210102038587</v>
      </c>
    </row>
    <row r="76" spans="2:11" x14ac:dyDescent="0.2">
      <c r="C76">
        <v>100</v>
      </c>
      <c r="D76" s="2">
        <f>AVERAGE(I16:K16)</f>
        <v>17.477777777777774</v>
      </c>
      <c r="E76" s="2">
        <f>AVERAGE(I32:K32)</f>
        <v>8.094444444444445</v>
      </c>
      <c r="F76" s="2">
        <f>AVERAGE(I48:K48)</f>
        <v>4.2511111111111113</v>
      </c>
      <c r="G76" s="2">
        <f>AVERAGE(I64:K64)</f>
        <v>4.1611111111111114</v>
      </c>
      <c r="H76" s="2">
        <f>STDEV(I16:K16)</f>
        <v>0.99573163125486774</v>
      </c>
      <c r="I76" s="2">
        <f>STDEV(I32:K32)</f>
        <v>0.32369967791377507</v>
      </c>
      <c r="J76" s="2">
        <f>STDEV(I48:K48)</f>
        <v>0.81969054684837717</v>
      </c>
      <c r="K76" s="2">
        <f>STDEV(I64:K64)</f>
        <v>0.35653164630199996</v>
      </c>
    </row>
    <row r="77" spans="2:11" x14ac:dyDescent="0.2">
      <c r="C77">
        <v>150</v>
      </c>
      <c r="D77" s="2">
        <f>AVERAGE(L16:N16)</f>
        <v>16.555555555555557</v>
      </c>
      <c r="E77" s="2">
        <f>AVERAGE(L32:N32)</f>
        <v>3.4388888888888887</v>
      </c>
      <c r="F77" s="2">
        <f>AVERAGE(L48:N48)</f>
        <v>2.8144444444444452</v>
      </c>
      <c r="G77" s="2">
        <f>AVERAGE(L64:N64)</f>
        <v>7.9122222222222227</v>
      </c>
      <c r="H77" s="2">
        <f>STDEV(L16:N16)</f>
        <v>1.5952475716373344</v>
      </c>
      <c r="I77" s="2">
        <f>STDEV(L32:N32)</f>
        <v>0.46093303120872342</v>
      </c>
      <c r="J77" s="2">
        <f>STDEV(L48:N48)</f>
        <v>0.28570251298496824</v>
      </c>
      <c r="K77" s="2">
        <f>STDEV(L64:N64)</f>
        <v>0.84465202127091132</v>
      </c>
    </row>
    <row r="78" spans="2:11" x14ac:dyDescent="0.2">
      <c r="C78">
        <v>200</v>
      </c>
      <c r="D78" s="2">
        <f>AVERAGE(O16:Q16)</f>
        <v>16.077777777777779</v>
      </c>
      <c r="E78" s="2">
        <f>AVERAGE(O32:Q32)</f>
        <v>2.0577777777777779</v>
      </c>
      <c r="F78" s="2">
        <f>AVERAGE(O48:Q48)</f>
        <v>5.3599999999999994</v>
      </c>
      <c r="G78" s="2">
        <f>AVERAGE(O64:Q64)</f>
        <v>10.211111111111112</v>
      </c>
      <c r="H78" s="2">
        <f>STDEV(O16:Q16)</f>
        <v>1.0631887745693955</v>
      </c>
      <c r="I78" s="2">
        <f>STDEV(O32:Q32)</f>
        <v>7.9535689636325721E-2</v>
      </c>
      <c r="J78" s="2">
        <f>STDEV(O48:Q48)</f>
        <v>0.58621194498614926</v>
      </c>
      <c r="K78" s="2">
        <f>STDEV(O64:Q64)</f>
        <v>1.2230805067230557</v>
      </c>
    </row>
    <row r="80" spans="2:11" x14ac:dyDescent="0.2">
      <c r="B80" t="s">
        <v>31</v>
      </c>
      <c r="C80">
        <v>0</v>
      </c>
      <c r="D80">
        <v>69.3</v>
      </c>
    </row>
    <row r="81" spans="2:4" x14ac:dyDescent="0.2">
      <c r="B81" t="s">
        <v>32</v>
      </c>
      <c r="C81">
        <v>0</v>
      </c>
      <c r="D81">
        <v>24.3</v>
      </c>
    </row>
    <row r="110" spans="6:13" x14ac:dyDescent="0.2">
      <c r="F110" s="2"/>
      <c r="G110" s="2"/>
      <c r="I110" s="2"/>
      <c r="J110" s="2"/>
      <c r="L110" s="2"/>
      <c r="M110" s="2"/>
    </row>
    <row r="111" spans="6:13" x14ac:dyDescent="0.2">
      <c r="F111" s="2"/>
      <c r="G111" s="2"/>
      <c r="I111" s="2"/>
      <c r="J111" s="2"/>
      <c r="L111" s="2"/>
      <c r="M111" s="2"/>
    </row>
    <row r="112" spans="6:13" x14ac:dyDescent="0.2">
      <c r="F112" s="2"/>
      <c r="G112" s="2"/>
      <c r="I112" s="2"/>
      <c r="J112" s="2"/>
      <c r="L112" s="2"/>
      <c r="M112" s="2"/>
    </row>
  </sheetData>
  <mergeCells count="32">
    <mergeCell ref="B56:B58"/>
    <mergeCell ref="B59:B61"/>
    <mergeCell ref="I18:K18"/>
    <mergeCell ref="I50:K50"/>
    <mergeCell ref="C50:E50"/>
    <mergeCell ref="F50:H50"/>
    <mergeCell ref="B43:B45"/>
    <mergeCell ref="C34:E34"/>
    <mergeCell ref="F34:H34"/>
    <mergeCell ref="B37:B39"/>
    <mergeCell ref="B40:B42"/>
    <mergeCell ref="B53:B55"/>
    <mergeCell ref="B27:B29"/>
    <mergeCell ref="C18:E18"/>
    <mergeCell ref="B21:B23"/>
    <mergeCell ref="B24:B26"/>
    <mergeCell ref="F18:H18"/>
    <mergeCell ref="I2:K2"/>
    <mergeCell ref="L2:N2"/>
    <mergeCell ref="B5:B7"/>
    <mergeCell ref="B8:B10"/>
    <mergeCell ref="B11:B13"/>
    <mergeCell ref="C2:E2"/>
    <mergeCell ref="F2:H2"/>
    <mergeCell ref="O2:Q2"/>
    <mergeCell ref="L50:N50"/>
    <mergeCell ref="O50:Q50"/>
    <mergeCell ref="O18:Q18"/>
    <mergeCell ref="I34:K34"/>
    <mergeCell ref="L34:N34"/>
    <mergeCell ref="O34:Q34"/>
    <mergeCell ref="L18:N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Armstrong</dc:creator>
  <cp:lastModifiedBy>Owen Armstrong</cp:lastModifiedBy>
  <dcterms:created xsi:type="dcterms:W3CDTF">2024-10-09T20:29:59Z</dcterms:created>
  <dcterms:modified xsi:type="dcterms:W3CDTF">2026-04-13T15:49:04Z</dcterms:modified>
</cp:coreProperties>
</file>