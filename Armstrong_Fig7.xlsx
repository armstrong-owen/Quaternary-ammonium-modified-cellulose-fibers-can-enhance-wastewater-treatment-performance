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/Library/CloudStorage/OneDrive-McGillUniversity/GRAD SCHOOL/Projects/Armstrong et al_/Armstrong Data Feb 2026/"/>
    </mc:Choice>
  </mc:AlternateContent>
  <xr:revisionPtr revIDLastSave="0" documentId="13_ncr:1_{671D58E2-52F0-3844-A9F4-704D0951120C}" xr6:coauthVersionLast="47" xr6:coauthVersionMax="47" xr10:uidLastSave="{00000000-0000-0000-0000-000000000000}"/>
  <bookViews>
    <workbookView xWindow="7500" yWindow="500" windowWidth="28800" windowHeight="16240" activeTab="1" xr2:uid="{980CDB93-2DAD-1F4F-B6DF-9E59BE5E07BA}"/>
  </bookViews>
  <sheets>
    <sheet name="Fig 7a" sheetId="1" r:id="rId1"/>
    <sheet name="Fig 7b, 7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4" i="1" l="1"/>
  <c r="H29" i="1"/>
  <c r="J34" i="3"/>
  <c r="I34" i="3"/>
  <c r="H34" i="3"/>
  <c r="F34" i="3"/>
  <c r="E34" i="3"/>
  <c r="D34" i="3"/>
  <c r="C34" i="3"/>
  <c r="C33" i="3"/>
  <c r="C32" i="3"/>
  <c r="C31" i="3"/>
  <c r="C30" i="3"/>
  <c r="C29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C29" i="1"/>
  <c r="P16" i="1"/>
  <c r="O16" i="1"/>
  <c r="J33" i="3" l="1"/>
  <c r="F32" i="3"/>
  <c r="I33" i="3"/>
  <c r="I32" i="3"/>
  <c r="H33" i="3"/>
  <c r="H32" i="3"/>
  <c r="F31" i="3"/>
  <c r="J30" i="3"/>
  <c r="J29" i="3"/>
  <c r="E31" i="3"/>
  <c r="E30" i="3"/>
  <c r="E29" i="3"/>
  <c r="H31" i="3"/>
  <c r="D30" i="3"/>
  <c r="D29" i="3"/>
  <c r="F30" i="3"/>
  <c r="F29" i="3"/>
  <c r="H30" i="3"/>
  <c r="I31" i="3"/>
  <c r="J32" i="3"/>
  <c r="H29" i="3"/>
  <c r="I30" i="3"/>
  <c r="J31" i="3"/>
  <c r="I29" i="3"/>
  <c r="D33" i="3"/>
  <c r="D32" i="3"/>
  <c r="E33" i="3"/>
  <c r="D31" i="3"/>
  <c r="E32" i="3"/>
  <c r="F33" i="3"/>
  <c r="K8" i="1"/>
  <c r="Q16" i="1" l="1"/>
  <c r="N16" i="1"/>
  <c r="M16" i="1"/>
  <c r="L16" i="1"/>
  <c r="K16" i="1"/>
  <c r="J16" i="1"/>
  <c r="I16" i="1"/>
  <c r="H16" i="1"/>
  <c r="G16" i="1"/>
  <c r="F16" i="1"/>
  <c r="E16" i="1"/>
  <c r="D16" i="1"/>
  <c r="C16" i="1"/>
  <c r="M24" i="1"/>
  <c r="I33" i="1" l="1"/>
  <c r="E33" i="1"/>
  <c r="E31" i="1"/>
  <c r="I31" i="1"/>
  <c r="E32" i="1"/>
  <c r="I32" i="1"/>
  <c r="I30" i="1"/>
  <c r="E30" i="1"/>
  <c r="E29" i="1"/>
  <c r="I29" i="1"/>
  <c r="C32" i="1"/>
  <c r="C31" i="1"/>
  <c r="C30" i="1"/>
  <c r="P24" i="1"/>
  <c r="O24" i="1"/>
  <c r="N24" i="1"/>
  <c r="L24" i="1"/>
  <c r="K24" i="1"/>
  <c r="J24" i="1"/>
  <c r="I24" i="1"/>
  <c r="H24" i="1"/>
  <c r="G24" i="1"/>
  <c r="F24" i="1"/>
  <c r="E24" i="1"/>
  <c r="D24" i="1"/>
  <c r="C24" i="1"/>
  <c r="I8" i="1"/>
  <c r="J8" i="1"/>
  <c r="F8" i="1"/>
  <c r="G8" i="1"/>
  <c r="H8" i="1"/>
  <c r="F29" i="1" l="1"/>
  <c r="H31" i="1"/>
  <c r="D31" i="1"/>
  <c r="J31" i="1"/>
  <c r="F31" i="1"/>
  <c r="D30" i="1"/>
  <c r="H30" i="1"/>
  <c r="J32" i="1"/>
  <c r="F32" i="1"/>
  <c r="J30" i="1"/>
  <c r="F30" i="1"/>
  <c r="J33" i="1"/>
  <c r="F33" i="1"/>
  <c r="J29" i="1"/>
  <c r="E8" i="1"/>
  <c r="D8" i="1"/>
  <c r="C8" i="1"/>
  <c r="C33" i="1"/>
  <c r="D29" i="1" l="1"/>
  <c r="L8" i="1"/>
  <c r="M8" i="1"/>
  <c r="N8" i="1"/>
  <c r="O8" i="1"/>
  <c r="P8" i="1"/>
  <c r="Q8" i="1"/>
  <c r="H33" i="1" l="1"/>
  <c r="D33" i="1"/>
  <c r="H32" i="1"/>
  <c r="D32" i="1"/>
</calcChain>
</file>

<file path=xl/sharedStrings.xml><?xml version="1.0" encoding="utf-8"?>
<sst xmlns="http://schemas.openxmlformats.org/spreadsheetml/2006/main" count="180" uniqueCount="25">
  <si>
    <t>Jar 1</t>
  </si>
  <si>
    <t>Jar 2</t>
  </si>
  <si>
    <t>Jar 3</t>
  </si>
  <si>
    <t>condition 1</t>
  </si>
  <si>
    <t>condition 2</t>
  </si>
  <si>
    <t>condition 3</t>
  </si>
  <si>
    <t>condition 4</t>
  </si>
  <si>
    <t>30 s settling</t>
  </si>
  <si>
    <t>condition 5</t>
  </si>
  <si>
    <t>average data</t>
  </si>
  <si>
    <t>STDEV</t>
  </si>
  <si>
    <t>Pristine</t>
  </si>
  <si>
    <t>Conv</t>
  </si>
  <si>
    <t>conventional</t>
  </si>
  <si>
    <t>AVG</t>
  </si>
  <si>
    <t>Cat (150)</t>
  </si>
  <si>
    <t>target</t>
  </si>
  <si>
    <t>pristine (150 mg/L)</t>
  </si>
  <si>
    <t>modified (150 mg/L)</t>
  </si>
  <si>
    <t>aperature size</t>
  </si>
  <si>
    <t>screened turbidity</t>
  </si>
  <si>
    <t>average</t>
  </si>
  <si>
    <t>initial NTU 285</t>
  </si>
  <si>
    <t>pH 8.9</t>
  </si>
  <si>
    <t>aperature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</si>
</sst>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left" vertical="center"/>
    </xf>
    <xf numFmtId="0" fontId="1" fillId="0" borderId="0" xfId="0" applyFont="1"/>
    <xf numFmtId="164" fontId="0" fillId="0" borderId="1" xfId="0" applyNumberFormat="1" applyBorder="1"/>
    <xf numFmtId="164" fontId="0" fillId="0" borderId="2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282F"/>
      <color rgb="FF85C6D4"/>
      <color rgb="FF0D5B6D"/>
      <color rgb="FFDF9706"/>
      <color rgb="FF00BCCD"/>
      <color rgb="FF7ED1D4"/>
      <color rgb="FFCC2930"/>
      <color rgb="FFE39504"/>
      <color rgb="FF0E5972"/>
      <color rgb="FFDC25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419270560740672"/>
          <c:y val="5.0925925925925923E-2"/>
          <c:w val="0.77035587561123064"/>
          <c:h val="0.77502160493827166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7a'!$B$2</c:f>
              <c:strCache>
                <c:ptCount val="1"/>
                <c:pt idx="0">
                  <c:v>conventional</c:v>
                </c:pt>
              </c:strCache>
            </c:strRef>
          </c:tx>
          <c:spPr>
            <a:ln w="9525" cap="rnd">
              <a:solidFill>
                <a:srgbClr val="0E597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E5972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7a'!$H$29:$H$33</c:f>
                <c:numCache>
                  <c:formatCode>General</c:formatCode>
                  <c:ptCount val="5"/>
                  <c:pt idx="0">
                    <c:v>4.0403520198671359</c:v>
                  </c:pt>
                  <c:pt idx="1">
                    <c:v>4.2791916855267766</c:v>
                  </c:pt>
                  <c:pt idx="2">
                    <c:v>5.7353032791390985</c:v>
                  </c:pt>
                  <c:pt idx="3">
                    <c:v>5.7667951173876411</c:v>
                  </c:pt>
                  <c:pt idx="4">
                    <c:v>7.8191597540438567</c:v>
                  </c:pt>
                </c:numCache>
              </c:numRef>
            </c:plus>
            <c:minus>
              <c:numRef>
                <c:f>'Fig 7a'!$H$29:$H$33</c:f>
                <c:numCache>
                  <c:formatCode>General</c:formatCode>
                  <c:ptCount val="5"/>
                  <c:pt idx="0">
                    <c:v>4.0403520198671359</c:v>
                  </c:pt>
                  <c:pt idx="1">
                    <c:v>4.2791916855267766</c:v>
                  </c:pt>
                  <c:pt idx="2">
                    <c:v>5.7353032791390985</c:v>
                  </c:pt>
                  <c:pt idx="3">
                    <c:v>5.7667951173876411</c:v>
                  </c:pt>
                  <c:pt idx="4">
                    <c:v>7.8191597540438567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  <a:headEnd type="none"/>
                <a:tailEnd type="none" w="sm" len="sm"/>
              </a:ln>
              <a:effectLst/>
            </c:spPr>
          </c:errBars>
          <c:xVal>
            <c:numRef>
              <c:f>'Fig 7a'!$C$29:$C$34</c:f>
              <c:numCache>
                <c:formatCode>General</c:formatCode>
                <c:ptCount val="6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5000</c:v>
                </c:pt>
              </c:numCache>
            </c:numRef>
          </c:xVal>
          <c:yVal>
            <c:numRef>
              <c:f>'Fig 7a'!$D$29:$D$34</c:f>
              <c:numCache>
                <c:formatCode>0.0</c:formatCode>
                <c:ptCount val="6"/>
                <c:pt idx="0">
                  <c:v>57.099999999999994</c:v>
                </c:pt>
                <c:pt idx="1">
                  <c:v>66.977777777777774</c:v>
                </c:pt>
                <c:pt idx="2">
                  <c:v>70.8888888888889</c:v>
                </c:pt>
                <c:pt idx="3">
                  <c:v>69.02222222222224</c:v>
                </c:pt>
                <c:pt idx="4">
                  <c:v>70.555555555555557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40-614C-9118-1D5DFB7B4B38}"/>
            </c:ext>
          </c:extLst>
        </c:ser>
        <c:ser>
          <c:idx val="0"/>
          <c:order val="1"/>
          <c:tx>
            <c:strRef>
              <c:f>'Fig 7a'!$B$10</c:f>
              <c:strCache>
                <c:ptCount val="1"/>
                <c:pt idx="0">
                  <c:v>pristine (150 mg/L)</c:v>
                </c:pt>
              </c:strCache>
            </c:strRef>
          </c:tx>
          <c:spPr>
            <a:ln w="9525" cap="rnd">
              <a:solidFill>
                <a:srgbClr val="85C6D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7a'!$I$29:$I$33</c:f>
                <c:numCache>
                  <c:formatCode>General</c:formatCode>
                  <c:ptCount val="5"/>
                  <c:pt idx="0">
                    <c:v>2.4315823228080502</c:v>
                  </c:pt>
                  <c:pt idx="1">
                    <c:v>1.8550232103968713</c:v>
                  </c:pt>
                  <c:pt idx="2">
                    <c:v>2.3553721102572691</c:v>
                  </c:pt>
                  <c:pt idx="3">
                    <c:v>14.563284631540339</c:v>
                  </c:pt>
                  <c:pt idx="4">
                    <c:v>11.756999491240824</c:v>
                  </c:pt>
                </c:numCache>
              </c:numRef>
            </c:plus>
            <c:minus>
              <c:numRef>
                <c:f>'Fig 7a'!$I$29:$I$33</c:f>
                <c:numCache>
                  <c:formatCode>General</c:formatCode>
                  <c:ptCount val="5"/>
                  <c:pt idx="0">
                    <c:v>2.4315823228080502</c:v>
                  </c:pt>
                  <c:pt idx="1">
                    <c:v>1.8550232103968713</c:v>
                  </c:pt>
                  <c:pt idx="2">
                    <c:v>2.3553721102572691</c:v>
                  </c:pt>
                  <c:pt idx="3">
                    <c:v>14.563284631540339</c:v>
                  </c:pt>
                  <c:pt idx="4">
                    <c:v>11.756999491240824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7a'!$C$29:$C$33</c:f>
              <c:numCache>
                <c:formatCode>General</c:formatCode>
                <c:ptCount val="5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5000</c:v>
                </c:pt>
              </c:numCache>
            </c:numRef>
          </c:xVal>
          <c:yVal>
            <c:numRef>
              <c:f>'Fig 7a'!$E$29:$E$33</c:f>
              <c:numCache>
                <c:formatCode>0.0</c:formatCode>
                <c:ptCount val="5"/>
                <c:pt idx="0">
                  <c:v>21.455555555555552</c:v>
                </c:pt>
                <c:pt idx="1">
                  <c:v>31.666666666666671</c:v>
                </c:pt>
                <c:pt idx="2">
                  <c:v>33.699999999999996</c:v>
                </c:pt>
                <c:pt idx="3">
                  <c:v>66.422222222222217</c:v>
                </c:pt>
                <c:pt idx="4">
                  <c:v>66.788888888888891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BD-1142-89CC-72C433F40286}"/>
            </c:ext>
          </c:extLst>
        </c:ser>
        <c:ser>
          <c:idx val="3"/>
          <c:order val="2"/>
          <c:tx>
            <c:strRef>
              <c:f>'Fig 7a'!$B$18</c:f>
              <c:strCache>
                <c:ptCount val="1"/>
                <c:pt idx="0">
                  <c:v>modified (150 mg/L)</c:v>
                </c:pt>
              </c:strCache>
            </c:strRef>
          </c:tx>
          <c:spPr>
            <a:ln w="9525" cap="rnd">
              <a:solidFill>
                <a:srgbClr val="CC282F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CC282F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7a'!$J$29:$J$33</c:f>
                <c:numCache>
                  <c:formatCode>General</c:formatCode>
                  <c:ptCount val="5"/>
                  <c:pt idx="0">
                    <c:v>0.77660467086852669</c:v>
                  </c:pt>
                  <c:pt idx="1">
                    <c:v>0.87674270899607021</c:v>
                  </c:pt>
                  <c:pt idx="2">
                    <c:v>2.3618103539759798</c:v>
                  </c:pt>
                  <c:pt idx="3">
                    <c:v>18.881295859483096</c:v>
                  </c:pt>
                  <c:pt idx="4">
                    <c:v>11.597381569098212</c:v>
                  </c:pt>
                </c:numCache>
              </c:numRef>
            </c:plus>
            <c:minus>
              <c:numRef>
                <c:f>'Fig 7a'!$J$29:$J$33</c:f>
                <c:numCache>
                  <c:formatCode>General</c:formatCode>
                  <c:ptCount val="5"/>
                  <c:pt idx="0">
                    <c:v>0.77660467086852669</c:v>
                  </c:pt>
                  <c:pt idx="1">
                    <c:v>0.87674270899607021</c:v>
                  </c:pt>
                  <c:pt idx="2">
                    <c:v>2.3618103539759798</c:v>
                  </c:pt>
                  <c:pt idx="3">
                    <c:v>18.881295859483096</c:v>
                  </c:pt>
                  <c:pt idx="4">
                    <c:v>11.597381569098212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7a'!$C$29:$C$33</c:f>
              <c:numCache>
                <c:formatCode>General</c:formatCode>
                <c:ptCount val="5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  <c:pt idx="3">
                  <c:v>4000</c:v>
                </c:pt>
                <c:pt idx="4">
                  <c:v>5000</c:v>
                </c:pt>
              </c:numCache>
            </c:numRef>
          </c:xVal>
          <c:yVal>
            <c:numRef>
              <c:f>'Fig 7a'!$F$29:$F$33</c:f>
              <c:numCache>
                <c:formatCode>0.0</c:formatCode>
                <c:ptCount val="5"/>
                <c:pt idx="0">
                  <c:v>4.3711111111111114</c:v>
                </c:pt>
                <c:pt idx="1">
                  <c:v>6.246666666666667</c:v>
                </c:pt>
                <c:pt idx="2">
                  <c:v>20.155555555555555</c:v>
                </c:pt>
                <c:pt idx="3">
                  <c:v>33.799999999999997</c:v>
                </c:pt>
                <c:pt idx="4">
                  <c:v>72.855555555555569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40-614C-9118-1D5DFB7B4B38}"/>
            </c:ext>
          </c:extLst>
        </c:ser>
        <c:ser>
          <c:idx val="4"/>
          <c:order val="3"/>
          <c:tx>
            <c:strRef>
              <c:f>'Fig 7a'!$B$36</c:f>
              <c:strCache>
                <c:ptCount val="1"/>
                <c:pt idx="0">
                  <c:v>target</c:v>
                </c:pt>
              </c:strCache>
            </c:strRef>
          </c:tx>
          <c:spPr>
            <a:ln w="292100" cap="rnd">
              <a:solidFill>
                <a:schemeClr val="tx1">
                  <a:alpha val="1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92100" cap="rnd">
                <a:solidFill>
                  <a:srgbClr val="0070C0">
                    <a:alpha val="10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48D1-0142-8ED4-156FD2F91295}"/>
              </c:ext>
            </c:extLst>
          </c:dPt>
          <c:xVal>
            <c:numRef>
              <c:f>'Fig 7a'!$C$36:$C$37</c:f>
              <c:numCache>
                <c:formatCode>General</c:formatCode>
                <c:ptCount val="2"/>
                <c:pt idx="0">
                  <c:v>0</c:v>
                </c:pt>
                <c:pt idx="1">
                  <c:v>10000</c:v>
                </c:pt>
              </c:numCache>
            </c:numRef>
          </c:xVal>
          <c:yVal>
            <c:numRef>
              <c:f>'Fig 7a'!$D$36:$D$37</c:f>
              <c:numCache>
                <c:formatCode>General</c:formatCode>
                <c:ptCount val="2"/>
                <c:pt idx="0">
                  <c:v>12.5</c:v>
                </c:pt>
                <c:pt idx="1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4B-B049-B577-D1240DBC2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046463"/>
        <c:axId val="1229934895"/>
      </c:scatterChart>
      <c:valAx>
        <c:axId val="1229046463"/>
        <c:scaling>
          <c:orientation val="minMax"/>
          <c:max val="55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aperature</a:t>
                </a:r>
                <a:r>
                  <a:rPr lang="en-US" sz="800" b="1" baseline="0"/>
                  <a:t> size (µm)</a:t>
                </a:r>
                <a:endParaRPr lang="en-US" sz="800" b="1"/>
              </a:p>
            </c:rich>
          </c:tx>
          <c:layout>
            <c:manualLayout>
              <c:xMode val="edge"/>
              <c:yMode val="edge"/>
              <c:x val="0.34406049948085349"/>
              <c:y val="0.904308205693417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crossBetween val="midCat"/>
        <c:majorUnit val="1000"/>
      </c:valAx>
      <c:valAx>
        <c:axId val="1229934895"/>
        <c:scaling>
          <c:orientation val="minMax"/>
          <c:max val="12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screened turbidity (NTU)</a:t>
                </a:r>
              </a:p>
            </c:rich>
          </c:tx>
          <c:layout>
            <c:manualLayout>
              <c:xMode val="edge"/>
              <c:yMode val="edge"/>
              <c:x val="1.0833745900117583E-2"/>
              <c:y val="6.03975115251245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midCat"/>
        <c:majorUnit val="2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16237081502568229"/>
          <c:y val="6.962371398894418E-2"/>
          <c:w val="0.44575391422736554"/>
          <c:h val="0.20246320931237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9666666666667"/>
          <c:y val="5.0925925925925923E-2"/>
          <c:w val="0.66896111111111112"/>
          <c:h val="0.77502160493827166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7b, 7c'!$B$2</c:f>
              <c:strCache>
                <c:ptCount val="1"/>
                <c:pt idx="0">
                  <c:v>conventional</c:v>
                </c:pt>
              </c:strCache>
            </c:strRef>
          </c:tx>
          <c:spPr>
            <a:ln w="9525" cap="rnd">
              <a:solidFill>
                <a:srgbClr val="0E597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E5972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7b, 7c'!$H$29:$H$31</c:f>
                <c:numCache>
                  <c:formatCode>General</c:formatCode>
                  <c:ptCount val="3"/>
                  <c:pt idx="0">
                    <c:v>19.547662548527672</c:v>
                  </c:pt>
                  <c:pt idx="1">
                    <c:v>0.57735026918962584</c:v>
                  </c:pt>
                  <c:pt idx="2">
                    <c:v>16.001157365548188</c:v>
                  </c:pt>
                </c:numCache>
              </c:numRef>
            </c:plus>
            <c:minus>
              <c:numRef>
                <c:f>'Fig 7b, 7c'!$H$29:$H$31</c:f>
                <c:numCache>
                  <c:formatCode>General</c:formatCode>
                  <c:ptCount val="3"/>
                  <c:pt idx="0">
                    <c:v>19.547662548527672</c:v>
                  </c:pt>
                  <c:pt idx="1">
                    <c:v>0.57735026918962584</c:v>
                  </c:pt>
                  <c:pt idx="2">
                    <c:v>16.001157365548188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  <a:headEnd type="none"/>
                <a:tailEnd type="none" w="sm" len="sm"/>
              </a:ln>
              <a:effectLst/>
            </c:spPr>
          </c:errBars>
          <c:xVal>
            <c:numRef>
              <c:f>'Fig 7b, 7c'!$C$29:$C$31</c:f>
              <c:numCache>
                <c:formatCode>General</c:formatCode>
                <c:ptCount val="3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</c:numCache>
            </c:numRef>
          </c:xVal>
          <c:yVal>
            <c:numRef>
              <c:f>'Fig 7b, 7c'!$D$29:$D$31</c:f>
              <c:numCache>
                <c:formatCode>0.0</c:formatCode>
                <c:ptCount val="3"/>
                <c:pt idx="0">
                  <c:v>277</c:v>
                </c:pt>
                <c:pt idx="1">
                  <c:v>306.66666666666669</c:v>
                </c:pt>
                <c:pt idx="2">
                  <c:v>293.11111111111109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4A-0E4A-A50C-DEFAC8835F99}"/>
            </c:ext>
          </c:extLst>
        </c:ser>
        <c:ser>
          <c:idx val="0"/>
          <c:order val="1"/>
          <c:tx>
            <c:strRef>
              <c:f>'Fig 7b, 7c'!$B$10</c:f>
              <c:strCache>
                <c:ptCount val="1"/>
                <c:pt idx="0">
                  <c:v>pristine (150 mg/L)</c:v>
                </c:pt>
              </c:strCache>
            </c:strRef>
          </c:tx>
          <c:spPr>
            <a:ln w="9525" cap="rnd">
              <a:solidFill>
                <a:srgbClr val="85C6D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7b, 7c'!$I$29:$I$31</c:f>
                <c:numCache>
                  <c:formatCode>General</c:formatCode>
                  <c:ptCount val="3"/>
                  <c:pt idx="0">
                    <c:v>13.456197800986066</c:v>
                  </c:pt>
                  <c:pt idx="1">
                    <c:v>35.40175764625878</c:v>
                  </c:pt>
                  <c:pt idx="2">
                    <c:v>34.007079872895368</c:v>
                  </c:pt>
                </c:numCache>
              </c:numRef>
            </c:plus>
            <c:minus>
              <c:numRef>
                <c:f>'Fig 7b, 7c'!$I$29:$I$31</c:f>
                <c:numCache>
                  <c:formatCode>General</c:formatCode>
                  <c:ptCount val="3"/>
                  <c:pt idx="0">
                    <c:v>13.456197800986066</c:v>
                  </c:pt>
                  <c:pt idx="1">
                    <c:v>35.40175764625878</c:v>
                  </c:pt>
                  <c:pt idx="2">
                    <c:v>34.007079872895368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7b, 7c'!$C$29:$C$31</c:f>
              <c:numCache>
                <c:formatCode>General</c:formatCode>
                <c:ptCount val="3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</c:numCache>
            </c:numRef>
          </c:xVal>
          <c:yVal>
            <c:numRef>
              <c:f>'Fig 7b, 7c'!$E$29:$E$31</c:f>
              <c:numCache>
                <c:formatCode>0.0</c:formatCode>
                <c:ptCount val="3"/>
                <c:pt idx="0">
                  <c:v>77.011111111111106</c:v>
                </c:pt>
                <c:pt idx="1">
                  <c:v>112.86666666666667</c:v>
                </c:pt>
                <c:pt idx="2">
                  <c:v>145.55555555555554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4A-0E4A-A50C-DEFAC8835F99}"/>
            </c:ext>
          </c:extLst>
        </c:ser>
        <c:ser>
          <c:idx val="3"/>
          <c:order val="2"/>
          <c:tx>
            <c:strRef>
              <c:f>'Fig 7b, 7c'!$B$18</c:f>
              <c:strCache>
                <c:ptCount val="1"/>
                <c:pt idx="0">
                  <c:v>modified (150 mg/L)</c:v>
                </c:pt>
              </c:strCache>
            </c:strRef>
          </c:tx>
          <c:spPr>
            <a:ln w="9525" cap="rnd">
              <a:solidFill>
                <a:srgbClr val="CC282F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CC282F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7b, 7c'!$J$29:$J$31</c:f>
                <c:numCache>
                  <c:formatCode>General</c:formatCode>
                  <c:ptCount val="3"/>
                  <c:pt idx="0">
                    <c:v>9.3874818143533911</c:v>
                  </c:pt>
                  <c:pt idx="1">
                    <c:v>29.153565311473827</c:v>
                  </c:pt>
                  <c:pt idx="2">
                    <c:v>24.189827981566513</c:v>
                  </c:pt>
                </c:numCache>
              </c:numRef>
            </c:plus>
            <c:minus>
              <c:numRef>
                <c:f>'Fig 7b, 7c'!$J$29:$J$31</c:f>
                <c:numCache>
                  <c:formatCode>General</c:formatCode>
                  <c:ptCount val="3"/>
                  <c:pt idx="0">
                    <c:v>9.3874818143533911</c:v>
                  </c:pt>
                  <c:pt idx="1">
                    <c:v>29.153565311473827</c:v>
                  </c:pt>
                  <c:pt idx="2">
                    <c:v>24.189827981566513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7b, 7c'!$C$29:$C$31</c:f>
              <c:numCache>
                <c:formatCode>General</c:formatCode>
                <c:ptCount val="3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</c:numCache>
            </c:numRef>
          </c:xVal>
          <c:yVal>
            <c:numRef>
              <c:f>'Fig 7b, 7c'!$F$29:$F$31</c:f>
              <c:numCache>
                <c:formatCode>0.0</c:formatCode>
                <c:ptCount val="3"/>
                <c:pt idx="0">
                  <c:v>41.411111111111104</c:v>
                </c:pt>
                <c:pt idx="1">
                  <c:v>87.488888888888894</c:v>
                </c:pt>
                <c:pt idx="2">
                  <c:v>96.366666666666674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4A-0E4A-A50C-DEFAC8835F99}"/>
            </c:ext>
          </c:extLst>
        </c:ser>
        <c:ser>
          <c:idx val="4"/>
          <c:order val="3"/>
          <c:tx>
            <c:strRef>
              <c:f>'Fig 7b, 7c'!$B$36</c:f>
              <c:strCache>
                <c:ptCount val="1"/>
                <c:pt idx="0">
                  <c:v>target</c:v>
                </c:pt>
              </c:strCache>
            </c:strRef>
          </c:tx>
          <c:spPr>
            <a:ln w="292100" cap="rnd">
              <a:solidFill>
                <a:schemeClr val="tx1">
                  <a:alpha val="1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63500" cap="rnd">
                <a:solidFill>
                  <a:srgbClr val="0070C0">
                    <a:alpha val="10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E14A-0E4A-A50C-DEFAC8835F99}"/>
              </c:ext>
            </c:extLst>
          </c:dPt>
          <c:xVal>
            <c:numRef>
              <c:f>'Fig 7b, 7c'!$C$36:$C$37</c:f>
              <c:numCache>
                <c:formatCode>General</c:formatCode>
                <c:ptCount val="2"/>
                <c:pt idx="0">
                  <c:v>0</c:v>
                </c:pt>
                <c:pt idx="1">
                  <c:v>10000</c:v>
                </c:pt>
              </c:numCache>
            </c:numRef>
          </c:xVal>
          <c:yVal>
            <c:numRef>
              <c:f>'Fig 7b, 7c'!$D$36:$D$37</c:f>
              <c:numCache>
                <c:formatCode>General</c:formatCode>
                <c:ptCount val="2"/>
                <c:pt idx="0">
                  <c:v>12.5</c:v>
                </c:pt>
                <c:pt idx="1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4A-0E4A-A50C-DEFAC8835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046463"/>
        <c:axId val="1229934895"/>
      </c:scatterChart>
      <c:valAx>
        <c:axId val="1229046463"/>
        <c:scaling>
          <c:orientation val="minMax"/>
          <c:max val="25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aperature</a:t>
                </a:r>
                <a:r>
                  <a:rPr lang="en-US" sz="800" b="1" baseline="0"/>
                  <a:t> size (µm)</a:t>
                </a:r>
                <a:endParaRPr lang="en-US" sz="800" b="1"/>
              </a:p>
            </c:rich>
          </c:tx>
          <c:layout>
            <c:manualLayout>
              <c:xMode val="edge"/>
              <c:yMode val="edge"/>
              <c:x val="0.28771044684552594"/>
              <c:y val="0.904308069948918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crossBetween val="midCat"/>
        <c:majorUnit val="500"/>
      </c:valAx>
      <c:valAx>
        <c:axId val="1229934895"/>
        <c:scaling>
          <c:orientation val="minMax"/>
          <c:max val="45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screened turbidity (NTU)</a:t>
                </a:r>
              </a:p>
            </c:rich>
          </c:tx>
          <c:layout>
            <c:manualLayout>
              <c:xMode val="edge"/>
              <c:yMode val="edge"/>
              <c:x val="1.0833745900117583E-2"/>
              <c:y val="6.03975115251245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midCat"/>
        <c:majorUnit val="5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23296074900892644"/>
          <c:y val="6.1959016038923738E-2"/>
          <c:w val="0.6362538888888889"/>
          <c:h val="0.20246320931237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9666666666667"/>
          <c:y val="5.0925925925925923E-2"/>
          <c:w val="0.66896111111111112"/>
          <c:h val="0.77502160493827166"/>
        </c:manualLayout>
      </c:layout>
      <c:scatterChart>
        <c:scatterStyle val="lineMarker"/>
        <c:varyColors val="0"/>
        <c:ser>
          <c:idx val="2"/>
          <c:order val="0"/>
          <c:tx>
            <c:strRef>
              <c:f>'Fig 7b, 7c'!$B$2</c:f>
              <c:strCache>
                <c:ptCount val="1"/>
                <c:pt idx="0">
                  <c:v>conventional</c:v>
                </c:pt>
              </c:strCache>
            </c:strRef>
          </c:tx>
          <c:spPr>
            <a:ln w="12700" cap="rnd">
              <a:solidFill>
                <a:srgbClr val="0D5B6D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E5972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7b, 7c'!$H$32:$H$34</c:f>
                <c:numCache>
                  <c:formatCode>General</c:formatCode>
                  <c:ptCount val="3"/>
                  <c:pt idx="0">
                    <c:v>2.5359635468813662</c:v>
                  </c:pt>
                  <c:pt idx="1">
                    <c:v>2.8738927014172311</c:v>
                  </c:pt>
                  <c:pt idx="2">
                    <c:v>0.91002645464192122</c:v>
                  </c:pt>
                </c:numCache>
              </c:numRef>
            </c:plus>
            <c:minus>
              <c:numRef>
                <c:f>'Fig 7b, 7c'!$H$32:$H$34</c:f>
                <c:numCache>
                  <c:formatCode>General</c:formatCode>
                  <c:ptCount val="3"/>
                  <c:pt idx="0">
                    <c:v>2.5359635468813662</c:v>
                  </c:pt>
                  <c:pt idx="1">
                    <c:v>2.8738927014172311</c:v>
                  </c:pt>
                  <c:pt idx="2">
                    <c:v>0.91002645464192122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  <a:headEnd type="none"/>
                <a:tailEnd type="none" w="sm" len="sm"/>
              </a:ln>
              <a:effectLst/>
            </c:spPr>
          </c:errBars>
          <c:xVal>
            <c:numRef>
              <c:f>'Fig 7b, 7c'!$C$32:$C$34</c:f>
              <c:numCache>
                <c:formatCode>General</c:formatCode>
                <c:ptCount val="3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</c:numCache>
            </c:numRef>
          </c:xVal>
          <c:yVal>
            <c:numRef>
              <c:f>'Fig 7b, 7c'!$D$32:$D$34</c:f>
              <c:numCache>
                <c:formatCode>0.0</c:formatCode>
                <c:ptCount val="3"/>
                <c:pt idx="0">
                  <c:v>65.166666666666671</c:v>
                </c:pt>
                <c:pt idx="1">
                  <c:v>66.022222222222226</c:v>
                </c:pt>
                <c:pt idx="2">
                  <c:v>65.788888888888891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2F-454A-8A75-F7A1A0531AC5}"/>
            </c:ext>
          </c:extLst>
        </c:ser>
        <c:ser>
          <c:idx val="0"/>
          <c:order val="1"/>
          <c:tx>
            <c:strRef>
              <c:f>'Fig 7b, 7c'!$B$10</c:f>
              <c:strCache>
                <c:ptCount val="1"/>
                <c:pt idx="0">
                  <c:v>pristine (150 mg/L)</c:v>
                </c:pt>
              </c:strCache>
            </c:strRef>
          </c:tx>
          <c:spPr>
            <a:ln w="12700" cap="rnd">
              <a:solidFill>
                <a:srgbClr val="85C6D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85C6D4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7b, 7c'!$I$32:$I$34</c:f>
                <c:numCache>
                  <c:formatCode>General</c:formatCode>
                  <c:ptCount val="3"/>
                  <c:pt idx="0">
                    <c:v>1.732799062959292</c:v>
                  </c:pt>
                  <c:pt idx="1">
                    <c:v>6.0512242409957677</c:v>
                  </c:pt>
                  <c:pt idx="2">
                    <c:v>3.8619223768020543</c:v>
                  </c:pt>
                </c:numCache>
              </c:numRef>
            </c:plus>
            <c:minus>
              <c:numRef>
                <c:f>'Fig 7b, 7c'!$I$32:$I$34</c:f>
                <c:numCache>
                  <c:formatCode>General</c:formatCode>
                  <c:ptCount val="3"/>
                  <c:pt idx="0">
                    <c:v>1.732799062959292</c:v>
                  </c:pt>
                  <c:pt idx="1">
                    <c:v>6.0512242409957677</c:v>
                  </c:pt>
                  <c:pt idx="2">
                    <c:v>3.8619223768020543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7b, 7c'!$C$32:$C$34</c:f>
              <c:numCache>
                <c:formatCode>General</c:formatCode>
                <c:ptCount val="3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</c:numCache>
            </c:numRef>
          </c:xVal>
          <c:yVal>
            <c:numRef>
              <c:f>'Fig 7b, 7c'!$E$32:$E$34</c:f>
              <c:numCache>
                <c:formatCode>0.0</c:formatCode>
                <c:ptCount val="3"/>
                <c:pt idx="0">
                  <c:v>39.155555555555551</c:v>
                </c:pt>
                <c:pt idx="1">
                  <c:v>50.772222222222219</c:v>
                </c:pt>
                <c:pt idx="2">
                  <c:v>59.599999999999994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2F-454A-8A75-F7A1A0531AC5}"/>
            </c:ext>
          </c:extLst>
        </c:ser>
        <c:ser>
          <c:idx val="3"/>
          <c:order val="2"/>
          <c:tx>
            <c:strRef>
              <c:f>'Fig 7b, 7c'!$B$18</c:f>
              <c:strCache>
                <c:ptCount val="1"/>
                <c:pt idx="0">
                  <c:v>modified (150 mg/L)</c:v>
                </c:pt>
              </c:strCache>
            </c:strRef>
          </c:tx>
          <c:spPr>
            <a:ln w="12700" cap="rnd">
              <a:solidFill>
                <a:srgbClr val="CC282F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CC282F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7b, 7c'!$J$32:$J$34</c:f>
                <c:numCache>
                  <c:formatCode>General</c:formatCode>
                  <c:ptCount val="3"/>
                  <c:pt idx="0">
                    <c:v>2.0279856818838597</c:v>
                  </c:pt>
                  <c:pt idx="1">
                    <c:v>2.3995439381497272</c:v>
                  </c:pt>
                  <c:pt idx="2">
                    <c:v>6.17110951066278</c:v>
                  </c:pt>
                </c:numCache>
              </c:numRef>
            </c:plus>
            <c:minus>
              <c:numRef>
                <c:f>'Fig 7b, 7c'!$J$32:$J$34</c:f>
                <c:numCache>
                  <c:formatCode>General</c:formatCode>
                  <c:ptCount val="3"/>
                  <c:pt idx="0">
                    <c:v>2.0279856818838597</c:v>
                  </c:pt>
                  <c:pt idx="1">
                    <c:v>2.3995439381497272</c:v>
                  </c:pt>
                  <c:pt idx="2">
                    <c:v>6.17110951066278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7b, 7c'!$C$32:$C$34</c:f>
              <c:numCache>
                <c:formatCode>General</c:formatCode>
                <c:ptCount val="3"/>
                <c:pt idx="0">
                  <c:v>500</c:v>
                </c:pt>
                <c:pt idx="1">
                  <c:v>1000</c:v>
                </c:pt>
                <c:pt idx="2">
                  <c:v>2000</c:v>
                </c:pt>
              </c:numCache>
            </c:numRef>
          </c:xVal>
          <c:yVal>
            <c:numRef>
              <c:f>'Fig 7b, 7c'!$F$32:$F$34</c:f>
              <c:numCache>
                <c:formatCode>0.0</c:formatCode>
                <c:ptCount val="3"/>
                <c:pt idx="0">
                  <c:v>5.5244444444444438</c:v>
                </c:pt>
                <c:pt idx="1">
                  <c:v>6.0633333333333335</c:v>
                </c:pt>
                <c:pt idx="2">
                  <c:v>20.177777777777777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2F-454A-8A75-F7A1A0531AC5}"/>
            </c:ext>
          </c:extLst>
        </c:ser>
        <c:ser>
          <c:idx val="4"/>
          <c:order val="3"/>
          <c:tx>
            <c:strRef>
              <c:f>'Fig 7b, 7c'!$B$36</c:f>
              <c:strCache>
                <c:ptCount val="1"/>
                <c:pt idx="0">
                  <c:v>target</c:v>
                </c:pt>
              </c:strCache>
            </c:strRef>
          </c:tx>
          <c:spPr>
            <a:ln w="317500" cap="rnd">
              <a:solidFill>
                <a:schemeClr val="tx1">
                  <a:alpha val="1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317500" cap="rnd">
                <a:solidFill>
                  <a:srgbClr val="0070C0">
                    <a:alpha val="10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6F2F-454A-8A75-F7A1A0531AC5}"/>
              </c:ext>
            </c:extLst>
          </c:dPt>
          <c:xVal>
            <c:numRef>
              <c:f>'Fig 7b, 7c'!$C$36:$C$37</c:f>
              <c:numCache>
                <c:formatCode>General</c:formatCode>
                <c:ptCount val="2"/>
                <c:pt idx="0">
                  <c:v>0</c:v>
                </c:pt>
                <c:pt idx="1">
                  <c:v>10000</c:v>
                </c:pt>
              </c:numCache>
            </c:numRef>
          </c:xVal>
          <c:yVal>
            <c:numRef>
              <c:f>'Fig 7b, 7c'!$D$36:$D$37</c:f>
              <c:numCache>
                <c:formatCode>General</c:formatCode>
                <c:ptCount val="2"/>
                <c:pt idx="0">
                  <c:v>12.5</c:v>
                </c:pt>
                <c:pt idx="1">
                  <c:v>12.5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2F-454A-8A75-F7A1A0531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046463"/>
        <c:axId val="1229934895"/>
      </c:scatterChart>
      <c:valAx>
        <c:axId val="1229046463"/>
        <c:scaling>
          <c:orientation val="minMax"/>
          <c:max val="25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aperature</a:t>
                </a:r>
                <a:r>
                  <a:rPr lang="en-US" sz="800" b="1" baseline="0"/>
                  <a:t> size (µm)</a:t>
                </a:r>
                <a:endParaRPr lang="en-US" sz="800" b="1"/>
              </a:p>
            </c:rich>
          </c:tx>
          <c:layout>
            <c:manualLayout>
              <c:xMode val="edge"/>
              <c:yMode val="edge"/>
              <c:x val="0.28771044684552594"/>
              <c:y val="0.904308069948918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crossBetween val="midCat"/>
        <c:majorUnit val="500"/>
      </c:valAx>
      <c:valAx>
        <c:axId val="1229934895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screened turbidity (NTU)</a:t>
                </a:r>
              </a:p>
            </c:rich>
          </c:tx>
          <c:layout>
            <c:manualLayout>
              <c:xMode val="edge"/>
              <c:yMode val="edge"/>
              <c:x val="1.0833745900117583E-2"/>
              <c:y val="6.03975115251245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midCat"/>
        <c:majorUnit val="2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23296074900892644"/>
          <c:y val="6.1959016038923738E-2"/>
          <c:w val="0.6362538888888889"/>
          <c:h val="0.202463209312373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761505</xdr:colOff>
      <xdr:row>16</xdr:row>
      <xdr:rowOff>178308</xdr:rowOff>
    </xdr:from>
    <xdr:to>
      <xdr:col>30</xdr:col>
      <xdr:colOff>21484</xdr:colOff>
      <xdr:row>25</xdr:row>
      <xdr:rowOff>52807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69431BC-9063-8437-6F1F-47508FEA2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50248" y="3668907"/>
          <a:ext cx="1746745" cy="1722463"/>
        </a:xfrm>
        <a:prstGeom prst="rect">
          <a:avLst/>
        </a:prstGeom>
      </xdr:spPr>
    </xdr:pic>
    <xdr:clientData/>
  </xdr:twoCellAnchor>
  <xdr:twoCellAnchor>
    <xdr:from>
      <xdr:col>10</xdr:col>
      <xdr:colOff>442136</xdr:colOff>
      <xdr:row>25</xdr:row>
      <xdr:rowOff>203707</xdr:rowOff>
    </xdr:from>
    <xdr:to>
      <xdr:col>14</xdr:col>
      <xdr:colOff>544215</xdr:colOff>
      <xdr:row>34</xdr:row>
      <xdr:rowOff>6826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922CD-75CC-5442-9267-0B7B4A46E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357444</xdr:colOff>
      <xdr:row>25</xdr:row>
      <xdr:rowOff>182515</xdr:rowOff>
    </xdr:from>
    <xdr:to>
      <xdr:col>13</xdr:col>
      <xdr:colOff>487529</xdr:colOff>
      <xdr:row>33</xdr:row>
      <xdr:rowOff>188835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BB507A-EBA4-EB48-8D7E-E429094CB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368300</xdr:colOff>
      <xdr:row>25</xdr:row>
      <xdr:rowOff>177800</xdr:rowOff>
    </xdr:from>
    <xdr:to>
      <xdr:col>16</xdr:col>
      <xdr:colOff>498385</xdr:colOff>
      <xdr:row>33</xdr:row>
      <xdr:rowOff>184120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7F3F2-E456-E24D-B51F-394C5CE10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100F-B998-1947-A092-2D15C21482BF}">
  <dimension ref="B2:T65"/>
  <sheetViews>
    <sheetView topLeftCell="A10" zoomScaleNormal="228" workbookViewId="0">
      <selection activeCell="D42" sqref="D42"/>
    </sheetView>
  </sheetViews>
  <sheetFormatPr baseColWidth="10" defaultRowHeight="16" x14ac:dyDescent="0.2"/>
  <cols>
    <col min="2" max="2" width="14" customWidth="1"/>
    <col min="3" max="14" width="7.33203125" bestFit="1" customWidth="1"/>
    <col min="15" max="20" width="7.33203125" customWidth="1"/>
  </cols>
  <sheetData>
    <row r="2" spans="2:20" x14ac:dyDescent="0.2">
      <c r="B2" s="4" t="s">
        <v>13</v>
      </c>
      <c r="C2" s="8" t="s">
        <v>3</v>
      </c>
      <c r="D2" s="8"/>
      <c r="E2" s="8"/>
      <c r="F2" s="8" t="s">
        <v>4</v>
      </c>
      <c r="G2" s="8"/>
      <c r="H2" s="8"/>
      <c r="I2" s="8" t="s">
        <v>5</v>
      </c>
      <c r="J2" s="8"/>
      <c r="K2" s="8"/>
      <c r="L2" s="8" t="s">
        <v>6</v>
      </c>
      <c r="M2" s="8"/>
      <c r="N2" s="8"/>
      <c r="O2" s="8" t="s">
        <v>8</v>
      </c>
      <c r="P2" s="8"/>
      <c r="Q2" s="8"/>
      <c r="R2" s="8"/>
      <c r="S2" s="8"/>
      <c r="T2" s="8"/>
    </row>
    <row r="3" spans="2:20" x14ac:dyDescent="0.2">
      <c r="B3" t="s">
        <v>19</v>
      </c>
      <c r="C3" s="7">
        <v>500</v>
      </c>
      <c r="D3" s="7">
        <v>500</v>
      </c>
      <c r="E3" s="7">
        <v>500</v>
      </c>
      <c r="F3" s="7">
        <v>1000</v>
      </c>
      <c r="G3" s="7">
        <v>1000</v>
      </c>
      <c r="H3" s="7">
        <v>1000</v>
      </c>
      <c r="I3" s="7">
        <v>2000</v>
      </c>
      <c r="J3" s="7">
        <v>2000</v>
      </c>
      <c r="K3" s="7">
        <v>2000</v>
      </c>
      <c r="L3" s="7">
        <v>4000</v>
      </c>
      <c r="M3" s="7">
        <v>4000</v>
      </c>
      <c r="N3" s="7">
        <v>4000</v>
      </c>
      <c r="O3" s="7">
        <v>5000</v>
      </c>
      <c r="P3" s="7">
        <v>5000</v>
      </c>
      <c r="Q3" s="7">
        <v>5000</v>
      </c>
      <c r="R3" s="7"/>
      <c r="S3" s="7"/>
      <c r="T3" s="7"/>
    </row>
    <row r="4" spans="2:20" x14ac:dyDescent="0.2">
      <c r="B4" s="1"/>
      <c r="C4" s="1" t="s">
        <v>0</v>
      </c>
      <c r="D4" s="1" t="s">
        <v>1</v>
      </c>
      <c r="E4" s="1" t="s">
        <v>2</v>
      </c>
      <c r="F4" s="1" t="s">
        <v>0</v>
      </c>
      <c r="G4" s="1" t="s">
        <v>1</v>
      </c>
      <c r="H4" s="1" t="s">
        <v>2</v>
      </c>
      <c r="I4" s="1" t="s">
        <v>0</v>
      </c>
      <c r="J4" s="1" t="s">
        <v>1</v>
      </c>
      <c r="K4" s="1" t="s">
        <v>2</v>
      </c>
      <c r="L4" s="1" t="s">
        <v>0</v>
      </c>
      <c r="M4" s="1" t="s">
        <v>1</v>
      </c>
      <c r="N4" s="1" t="s">
        <v>2</v>
      </c>
      <c r="O4" s="1" t="s">
        <v>0</v>
      </c>
      <c r="P4" s="1" t="s">
        <v>1</v>
      </c>
      <c r="Q4" s="1" t="s">
        <v>2</v>
      </c>
    </row>
    <row r="5" spans="2:20" x14ac:dyDescent="0.2">
      <c r="B5" s="9" t="s">
        <v>20</v>
      </c>
      <c r="C5" s="6">
        <v>61.2</v>
      </c>
      <c r="D5" s="6">
        <v>54.1</v>
      </c>
      <c r="E5" s="2">
        <v>52.8</v>
      </c>
      <c r="F5" s="2">
        <v>68.400000000000006</v>
      </c>
      <c r="G5" s="2">
        <v>72.099999999999994</v>
      </c>
      <c r="H5" s="2">
        <v>66.8</v>
      </c>
      <c r="I5" s="2">
        <v>61.5</v>
      </c>
      <c r="J5" s="2">
        <v>72.3</v>
      </c>
      <c r="K5" s="2">
        <v>67.900000000000006</v>
      </c>
      <c r="L5" s="2">
        <v>63.8</v>
      </c>
      <c r="M5" s="2">
        <v>75</v>
      </c>
      <c r="N5" s="2">
        <v>71.7</v>
      </c>
      <c r="O5" s="2">
        <v>63.6</v>
      </c>
      <c r="P5" s="2">
        <v>71.2</v>
      </c>
      <c r="Q5" s="2">
        <v>76.7</v>
      </c>
      <c r="R5" s="2"/>
      <c r="S5" s="2"/>
      <c r="T5" s="2"/>
    </row>
    <row r="6" spans="2:20" x14ac:dyDescent="0.2">
      <c r="B6" s="10"/>
      <c r="C6" s="2">
        <v>62.3</v>
      </c>
      <c r="D6" s="2">
        <v>59</v>
      </c>
      <c r="E6" s="2">
        <v>52.9</v>
      </c>
      <c r="F6" s="2">
        <v>64</v>
      </c>
      <c r="G6" s="2">
        <v>74.8</v>
      </c>
      <c r="H6" s="2">
        <v>62.9</v>
      </c>
      <c r="I6" s="2">
        <v>65.2</v>
      </c>
      <c r="J6" s="2">
        <v>82.9</v>
      </c>
      <c r="K6" s="2">
        <v>77.099999999999994</v>
      </c>
      <c r="L6" s="2">
        <v>62.1</v>
      </c>
      <c r="M6" s="2">
        <v>71.099999999999994</v>
      </c>
      <c r="N6" s="2">
        <v>72.599999999999994</v>
      </c>
      <c r="O6" s="2">
        <v>59.8</v>
      </c>
      <c r="P6" s="2">
        <v>73.400000000000006</v>
      </c>
      <c r="Q6" s="2">
        <v>82.2</v>
      </c>
      <c r="R6" s="2"/>
      <c r="S6" s="2"/>
      <c r="T6" s="2"/>
    </row>
    <row r="7" spans="2:20" x14ac:dyDescent="0.2">
      <c r="B7" s="11"/>
      <c r="C7" s="5">
        <v>61.2</v>
      </c>
      <c r="D7" s="5">
        <v>55</v>
      </c>
      <c r="E7" s="5">
        <v>55.4</v>
      </c>
      <c r="F7" s="5">
        <v>64.099999999999994</v>
      </c>
      <c r="G7" s="5">
        <v>68.5</v>
      </c>
      <c r="H7" s="5">
        <v>61.2</v>
      </c>
      <c r="I7" s="5">
        <v>66.7</v>
      </c>
      <c r="J7" s="5">
        <v>71.3</v>
      </c>
      <c r="K7" s="5">
        <v>73.099999999999994</v>
      </c>
      <c r="L7" s="5">
        <v>61.2</v>
      </c>
      <c r="M7" s="5">
        <v>70.400000000000006</v>
      </c>
      <c r="N7" s="5">
        <v>73.3</v>
      </c>
      <c r="O7" s="5">
        <v>63.4</v>
      </c>
      <c r="P7" s="5">
        <v>70.2</v>
      </c>
      <c r="Q7" s="5">
        <v>74.5</v>
      </c>
      <c r="R7" s="2"/>
      <c r="S7" s="2"/>
      <c r="T7" s="2"/>
    </row>
    <row r="8" spans="2:20" x14ac:dyDescent="0.2">
      <c r="B8" s="3" t="s">
        <v>21</v>
      </c>
      <c r="C8" s="2">
        <f t="shared" ref="C8:Q8" si="0">AVERAGE(C5:C7)</f>
        <v>61.566666666666663</v>
      </c>
      <c r="D8" s="2">
        <f t="shared" si="0"/>
        <v>56.033333333333331</v>
      </c>
      <c r="E8" s="2">
        <f t="shared" si="0"/>
        <v>53.699999999999996</v>
      </c>
      <c r="F8" s="2">
        <f t="shared" si="0"/>
        <v>65.5</v>
      </c>
      <c r="G8" s="2">
        <f t="shared" si="0"/>
        <v>71.8</v>
      </c>
      <c r="H8" s="2">
        <f t="shared" si="0"/>
        <v>63.633333333333326</v>
      </c>
      <c r="I8" s="2">
        <f t="shared" si="0"/>
        <v>64.466666666666669</v>
      </c>
      <c r="J8" s="2">
        <f t="shared" si="0"/>
        <v>75.5</v>
      </c>
      <c r="K8" s="2">
        <f t="shared" si="0"/>
        <v>72.7</v>
      </c>
      <c r="L8" s="2">
        <f t="shared" si="0"/>
        <v>62.366666666666674</v>
      </c>
      <c r="M8" s="2">
        <f t="shared" si="0"/>
        <v>72.166666666666671</v>
      </c>
      <c r="N8" s="2">
        <f t="shared" si="0"/>
        <v>72.533333333333346</v>
      </c>
      <c r="O8" s="2">
        <f t="shared" si="0"/>
        <v>62.266666666666673</v>
      </c>
      <c r="P8" s="2">
        <f t="shared" si="0"/>
        <v>71.600000000000009</v>
      </c>
      <c r="Q8" s="2">
        <f t="shared" si="0"/>
        <v>77.8</v>
      </c>
      <c r="R8" s="2"/>
      <c r="S8" s="2"/>
      <c r="T8" s="2"/>
    </row>
    <row r="10" spans="2:20" x14ac:dyDescent="0.2">
      <c r="B10" s="4" t="s">
        <v>17</v>
      </c>
      <c r="C10" s="8" t="s">
        <v>3</v>
      </c>
      <c r="D10" s="8"/>
      <c r="E10" s="8"/>
      <c r="F10" s="8" t="s">
        <v>4</v>
      </c>
      <c r="G10" s="8"/>
      <c r="H10" s="8"/>
      <c r="I10" s="8" t="s">
        <v>5</v>
      </c>
      <c r="J10" s="8"/>
      <c r="K10" s="8"/>
      <c r="L10" s="8" t="s">
        <v>6</v>
      </c>
      <c r="M10" s="8"/>
      <c r="N10" s="8"/>
      <c r="O10" s="8" t="s">
        <v>8</v>
      </c>
      <c r="P10" s="8"/>
      <c r="Q10" s="8"/>
      <c r="R10" s="8"/>
      <c r="S10" s="8"/>
      <c r="T10" s="8"/>
    </row>
    <row r="11" spans="2:20" x14ac:dyDescent="0.2">
      <c r="B11" t="s">
        <v>19</v>
      </c>
      <c r="C11" s="7">
        <v>500</v>
      </c>
      <c r="D11" s="7">
        <v>500</v>
      </c>
      <c r="E11" s="7">
        <v>500</v>
      </c>
      <c r="F11" s="7">
        <v>1000</v>
      </c>
      <c r="G11" s="7">
        <v>1000</v>
      </c>
      <c r="H11" s="7">
        <v>1000</v>
      </c>
      <c r="I11" s="7">
        <v>2000</v>
      </c>
      <c r="J11" s="7">
        <v>2000</v>
      </c>
      <c r="K11" s="7">
        <v>2000</v>
      </c>
      <c r="L11" s="7">
        <v>4000</v>
      </c>
      <c r="M11" s="7">
        <v>4000</v>
      </c>
      <c r="N11" s="7">
        <v>4000</v>
      </c>
      <c r="O11" s="7">
        <v>5000</v>
      </c>
      <c r="P11" s="7">
        <v>5000</v>
      </c>
      <c r="Q11" s="7">
        <v>5000</v>
      </c>
      <c r="R11" s="7"/>
      <c r="S11" s="7"/>
      <c r="T11" s="7"/>
    </row>
    <row r="12" spans="2:20" x14ac:dyDescent="0.2">
      <c r="B12" s="1"/>
      <c r="C12" s="1" t="s">
        <v>0</v>
      </c>
      <c r="D12" s="1" t="s">
        <v>1</v>
      </c>
      <c r="E12" s="1" t="s">
        <v>2</v>
      </c>
      <c r="F12" s="1" t="s">
        <v>0</v>
      </c>
      <c r="G12" s="1" t="s">
        <v>1</v>
      </c>
      <c r="H12" s="1" t="s">
        <v>2</v>
      </c>
      <c r="I12" s="1" t="s">
        <v>0</v>
      </c>
      <c r="J12" s="1" t="s">
        <v>1</v>
      </c>
      <c r="K12" s="1" t="s">
        <v>2</v>
      </c>
      <c r="L12" s="1" t="s">
        <v>0</v>
      </c>
      <c r="M12" s="1" t="s">
        <v>1</v>
      </c>
      <c r="N12" s="1" t="s">
        <v>2</v>
      </c>
      <c r="O12" s="1" t="s">
        <v>0</v>
      </c>
      <c r="P12" s="1" t="s">
        <v>1</v>
      </c>
      <c r="Q12" s="1" t="s">
        <v>2</v>
      </c>
    </row>
    <row r="13" spans="2:20" x14ac:dyDescent="0.2">
      <c r="B13" s="9" t="s">
        <v>20</v>
      </c>
      <c r="C13" s="6">
        <v>24.5</v>
      </c>
      <c r="D13" s="6">
        <v>21.2</v>
      </c>
      <c r="E13" s="2">
        <v>21.2</v>
      </c>
      <c r="F13" s="2">
        <v>34.1</v>
      </c>
      <c r="G13" s="2">
        <v>33.5</v>
      </c>
      <c r="H13" s="2">
        <v>29.1</v>
      </c>
      <c r="I13" s="2">
        <v>37.299999999999997</v>
      </c>
      <c r="J13" s="6">
        <v>44.6</v>
      </c>
      <c r="K13" s="6">
        <v>34.700000000000003</v>
      </c>
      <c r="L13" s="2">
        <v>119</v>
      </c>
      <c r="M13" s="6">
        <v>66</v>
      </c>
      <c r="N13" s="6">
        <v>43.4</v>
      </c>
      <c r="O13" s="2">
        <v>69.2</v>
      </c>
      <c r="P13" s="2">
        <v>55.5</v>
      </c>
      <c r="Q13" s="2">
        <v>67.400000000000006</v>
      </c>
      <c r="R13" s="2"/>
      <c r="S13" s="2"/>
      <c r="T13" s="2"/>
    </row>
    <row r="14" spans="2:20" x14ac:dyDescent="0.2">
      <c r="B14" s="10"/>
      <c r="C14" s="2">
        <v>23.8</v>
      </c>
      <c r="D14" s="2">
        <v>18.399999999999999</v>
      </c>
      <c r="E14" s="2">
        <v>21.8</v>
      </c>
      <c r="F14" s="2">
        <v>38.700000000000003</v>
      </c>
      <c r="G14" s="2">
        <v>35.5</v>
      </c>
      <c r="H14" s="2">
        <v>28.7</v>
      </c>
      <c r="I14" s="2">
        <v>34.299999999999997</v>
      </c>
      <c r="J14" s="2">
        <v>27.7</v>
      </c>
      <c r="K14" s="2">
        <v>30.8</v>
      </c>
      <c r="L14" s="2">
        <v>58.4</v>
      </c>
      <c r="M14" s="2">
        <v>40</v>
      </c>
      <c r="N14" s="2">
        <v>40.5</v>
      </c>
      <c r="O14" s="2">
        <v>56.5</v>
      </c>
      <c r="P14" s="2">
        <v>50.9</v>
      </c>
      <c r="Q14" s="2">
        <v>58.8</v>
      </c>
      <c r="R14" s="2"/>
      <c r="S14" s="2"/>
      <c r="T14" s="2"/>
    </row>
    <row r="15" spans="2:20" x14ac:dyDescent="0.2">
      <c r="B15" s="11"/>
      <c r="C15" s="5">
        <v>22.2</v>
      </c>
      <c r="D15" s="5">
        <v>16.7</v>
      </c>
      <c r="E15" s="5">
        <v>23.3</v>
      </c>
      <c r="F15" s="5">
        <v>27</v>
      </c>
      <c r="G15" s="5">
        <v>27.3</v>
      </c>
      <c r="H15" s="5">
        <v>31.1</v>
      </c>
      <c r="I15" s="5">
        <v>32.700000000000003</v>
      </c>
      <c r="J15" s="5">
        <v>33.700000000000003</v>
      </c>
      <c r="K15" s="5">
        <v>27.5</v>
      </c>
      <c r="L15" s="5">
        <v>63.4</v>
      </c>
      <c r="M15" s="5">
        <v>97.3</v>
      </c>
      <c r="N15" s="5">
        <v>69.8</v>
      </c>
      <c r="O15" s="5">
        <v>62.1</v>
      </c>
      <c r="P15" s="5">
        <v>64.5</v>
      </c>
      <c r="Q15" s="5">
        <v>114</v>
      </c>
      <c r="R15" s="2"/>
      <c r="S15" s="2"/>
      <c r="T15" s="2"/>
    </row>
    <row r="16" spans="2:20" x14ac:dyDescent="0.2">
      <c r="B16" s="3" t="s">
        <v>21</v>
      </c>
      <c r="C16" s="2">
        <f t="shared" ref="C16:O16" si="1">AVERAGE(C13:C15)</f>
        <v>23.5</v>
      </c>
      <c r="D16" s="2">
        <f t="shared" si="1"/>
        <v>18.766666666666666</v>
      </c>
      <c r="E16" s="2">
        <f t="shared" si="1"/>
        <v>22.099999999999998</v>
      </c>
      <c r="F16" s="2">
        <f t="shared" si="1"/>
        <v>33.266666666666673</v>
      </c>
      <c r="G16" s="2">
        <f t="shared" si="1"/>
        <v>32.1</v>
      </c>
      <c r="H16" s="2">
        <f t="shared" si="1"/>
        <v>29.633333333333336</v>
      </c>
      <c r="I16" s="2">
        <f t="shared" si="1"/>
        <v>34.766666666666666</v>
      </c>
      <c r="J16" s="2">
        <f t="shared" si="1"/>
        <v>35.333333333333336</v>
      </c>
      <c r="K16" s="2">
        <f t="shared" si="1"/>
        <v>31</v>
      </c>
      <c r="L16" s="2">
        <f t="shared" si="1"/>
        <v>80.266666666666666</v>
      </c>
      <c r="M16" s="2">
        <f t="shared" si="1"/>
        <v>67.766666666666666</v>
      </c>
      <c r="N16" s="2">
        <f t="shared" si="1"/>
        <v>51.233333333333327</v>
      </c>
      <c r="O16" s="2">
        <f t="shared" si="1"/>
        <v>62.6</v>
      </c>
      <c r="P16" s="2">
        <f>AVERAGE(P14:P15)</f>
        <v>57.7</v>
      </c>
      <c r="Q16" s="2">
        <f>AVERAGE(Q13:Q15)</f>
        <v>80.066666666666663</v>
      </c>
      <c r="R16" s="2"/>
      <c r="S16" s="2"/>
      <c r="T16" s="2"/>
    </row>
    <row r="18" spans="2:20" x14ac:dyDescent="0.2">
      <c r="B18" s="4" t="s">
        <v>18</v>
      </c>
      <c r="C18" s="8" t="s">
        <v>3</v>
      </c>
      <c r="D18" s="8"/>
      <c r="E18" s="8"/>
      <c r="F18" s="8" t="s">
        <v>4</v>
      </c>
      <c r="G18" s="8"/>
      <c r="H18" s="8"/>
      <c r="I18" s="8" t="s">
        <v>5</v>
      </c>
      <c r="J18" s="8"/>
      <c r="K18" s="8"/>
      <c r="L18" s="8" t="s">
        <v>6</v>
      </c>
      <c r="M18" s="8"/>
      <c r="N18" s="8"/>
      <c r="O18" s="8" t="s">
        <v>8</v>
      </c>
      <c r="P18" s="8"/>
      <c r="Q18" s="8"/>
      <c r="R18" s="8"/>
      <c r="S18" s="8"/>
      <c r="T18" s="8"/>
    </row>
    <row r="19" spans="2:20" x14ac:dyDescent="0.2">
      <c r="B19" t="s">
        <v>19</v>
      </c>
      <c r="C19" s="7">
        <v>500</v>
      </c>
      <c r="D19" s="7">
        <v>500</v>
      </c>
      <c r="E19" s="7">
        <v>500</v>
      </c>
      <c r="F19" s="7">
        <v>1000</v>
      </c>
      <c r="G19" s="7">
        <v>1000</v>
      </c>
      <c r="H19" s="7">
        <v>1000</v>
      </c>
      <c r="I19" s="7">
        <v>2000</v>
      </c>
      <c r="J19" s="7">
        <v>2000</v>
      </c>
      <c r="K19" s="7">
        <v>2000</v>
      </c>
      <c r="L19" s="7">
        <v>4000</v>
      </c>
      <c r="M19" s="7">
        <v>4000</v>
      </c>
      <c r="N19" s="7">
        <v>4000</v>
      </c>
      <c r="O19" s="7">
        <v>5000</v>
      </c>
      <c r="P19" s="7">
        <v>5000</v>
      </c>
      <c r="Q19" s="7">
        <v>5000</v>
      </c>
      <c r="R19" s="7"/>
      <c r="S19" s="7"/>
      <c r="T19" s="7"/>
    </row>
    <row r="20" spans="2:20" x14ac:dyDescent="0.2">
      <c r="B20" s="1"/>
      <c r="C20" s="1" t="s">
        <v>0</v>
      </c>
      <c r="D20" s="1" t="s">
        <v>1</v>
      </c>
      <c r="E20" s="1" t="s">
        <v>2</v>
      </c>
      <c r="F20" s="1" t="s">
        <v>0</v>
      </c>
      <c r="G20" s="1" t="s">
        <v>1</v>
      </c>
      <c r="H20" s="1" t="s">
        <v>2</v>
      </c>
      <c r="I20" s="1" t="s">
        <v>0</v>
      </c>
      <c r="J20" s="1" t="s">
        <v>1</v>
      </c>
      <c r="K20" s="1" t="s">
        <v>2</v>
      </c>
      <c r="L20" s="1" t="s">
        <v>0</v>
      </c>
      <c r="M20" s="1" t="s">
        <v>1</v>
      </c>
      <c r="N20" s="1" t="s">
        <v>2</v>
      </c>
      <c r="O20" s="1" t="s">
        <v>0</v>
      </c>
      <c r="P20" s="1" t="s">
        <v>1</v>
      </c>
      <c r="Q20" s="1" t="s">
        <v>2</v>
      </c>
    </row>
    <row r="21" spans="2:20" x14ac:dyDescent="0.2">
      <c r="B21" s="9" t="s">
        <v>20</v>
      </c>
      <c r="C21" s="6">
        <v>2.97</v>
      </c>
      <c r="D21" s="6">
        <v>3.15</v>
      </c>
      <c r="E21" s="2">
        <v>2.78</v>
      </c>
      <c r="F21" s="2">
        <v>6.77</v>
      </c>
      <c r="G21" s="2">
        <v>4.9400000000000004</v>
      </c>
      <c r="H21" s="2">
        <v>5.27</v>
      </c>
      <c r="I21" s="2">
        <v>16</v>
      </c>
      <c r="J21" s="6">
        <v>29</v>
      </c>
      <c r="K21" s="6">
        <v>21.9</v>
      </c>
      <c r="L21" s="2">
        <v>34.299999999999997</v>
      </c>
      <c r="M21" s="6">
        <v>52.3</v>
      </c>
      <c r="N21" s="6">
        <v>21.2</v>
      </c>
      <c r="O21" s="2">
        <v>89.4</v>
      </c>
      <c r="P21" s="2">
        <v>77.7</v>
      </c>
      <c r="Q21" s="2">
        <v>92.6</v>
      </c>
      <c r="R21" s="2"/>
      <c r="S21" s="2"/>
      <c r="T21" s="2"/>
    </row>
    <row r="22" spans="2:20" x14ac:dyDescent="0.2">
      <c r="B22" s="10"/>
      <c r="C22" s="2">
        <v>4.29</v>
      </c>
      <c r="D22" s="2">
        <v>5.7</v>
      </c>
      <c r="E22" s="2">
        <v>7.31</v>
      </c>
      <c r="F22" s="2">
        <v>3.8</v>
      </c>
      <c r="G22" s="2">
        <v>6.54</v>
      </c>
      <c r="H22" s="2">
        <v>4.79</v>
      </c>
      <c r="I22" s="2">
        <v>22.2</v>
      </c>
      <c r="J22" s="2">
        <v>15.5</v>
      </c>
      <c r="K22" s="2">
        <v>25.2</v>
      </c>
      <c r="L22" s="2">
        <v>28.2</v>
      </c>
      <c r="M22" s="2">
        <v>58.1</v>
      </c>
      <c r="N22" s="2">
        <v>16.899999999999999</v>
      </c>
      <c r="O22" s="2">
        <v>50.7</v>
      </c>
      <c r="P22" s="2">
        <v>82.5</v>
      </c>
      <c r="Q22" s="2">
        <v>49.8</v>
      </c>
      <c r="R22" s="2"/>
      <c r="S22" s="2"/>
      <c r="T22" s="2"/>
    </row>
    <row r="23" spans="2:20" x14ac:dyDescent="0.2">
      <c r="B23" s="11"/>
      <c r="C23" s="5">
        <v>4.63</v>
      </c>
      <c r="D23" s="5">
        <v>2.8</v>
      </c>
      <c r="E23" s="5">
        <v>5.71</v>
      </c>
      <c r="F23" s="5">
        <v>5.52</v>
      </c>
      <c r="G23" s="5">
        <v>9.8699999999999992</v>
      </c>
      <c r="H23" s="5">
        <v>8.7200000000000006</v>
      </c>
      <c r="I23" s="5">
        <v>15.9</v>
      </c>
      <c r="J23" s="5">
        <v>23.6</v>
      </c>
      <c r="K23" s="5">
        <v>12.1</v>
      </c>
      <c r="L23" s="5">
        <v>31.2</v>
      </c>
      <c r="M23" s="5">
        <v>51.1</v>
      </c>
      <c r="N23" s="5">
        <v>10.9</v>
      </c>
      <c r="O23" s="5">
        <v>40.799999999999997</v>
      </c>
      <c r="P23" s="5">
        <v>89.3</v>
      </c>
      <c r="Q23" s="5">
        <v>82.9</v>
      </c>
      <c r="R23" s="2"/>
      <c r="S23" s="2"/>
      <c r="T23" s="2"/>
    </row>
    <row r="24" spans="2:20" x14ac:dyDescent="0.2">
      <c r="B24" s="3" t="s">
        <v>21</v>
      </c>
      <c r="C24" s="2">
        <f t="shared" ref="C24:Q24" si="2">AVERAGE(C21:C23)</f>
        <v>3.9633333333333334</v>
      </c>
      <c r="D24" s="2">
        <f t="shared" si="2"/>
        <v>3.8833333333333329</v>
      </c>
      <c r="E24" s="2">
        <f t="shared" si="2"/>
        <v>5.2666666666666666</v>
      </c>
      <c r="F24" s="2">
        <f t="shared" si="2"/>
        <v>5.3633333333333333</v>
      </c>
      <c r="G24" s="2">
        <f t="shared" si="2"/>
        <v>7.1166666666666671</v>
      </c>
      <c r="H24" s="2">
        <f t="shared" si="2"/>
        <v>6.2600000000000007</v>
      </c>
      <c r="I24" s="2">
        <f t="shared" si="2"/>
        <v>18.033333333333335</v>
      </c>
      <c r="J24" s="2">
        <f t="shared" si="2"/>
        <v>22.7</v>
      </c>
      <c r="K24" s="2">
        <f t="shared" si="2"/>
        <v>19.733333333333331</v>
      </c>
      <c r="L24" s="2">
        <f t="shared" si="2"/>
        <v>31.233333333333334</v>
      </c>
      <c r="M24" s="2">
        <f t="shared" si="2"/>
        <v>53.833333333333336</v>
      </c>
      <c r="N24" s="2">
        <f t="shared" si="2"/>
        <v>16.333333333333332</v>
      </c>
      <c r="O24" s="2">
        <f t="shared" si="2"/>
        <v>60.300000000000011</v>
      </c>
      <c r="P24" s="2">
        <f t="shared" si="2"/>
        <v>83.166666666666671</v>
      </c>
      <c r="Q24" s="2">
        <f>AVERAGE(Q21:Q23)</f>
        <v>75.099999999999994</v>
      </c>
      <c r="R24" s="2"/>
      <c r="S24" s="2"/>
      <c r="T24" s="2"/>
    </row>
    <row r="27" spans="2:20" x14ac:dyDescent="0.2">
      <c r="D27" t="s">
        <v>14</v>
      </c>
      <c r="H27" t="s">
        <v>10</v>
      </c>
    </row>
    <row r="28" spans="2:20" x14ac:dyDescent="0.2">
      <c r="B28" t="s">
        <v>9</v>
      </c>
      <c r="C28" t="s">
        <v>24</v>
      </c>
      <c r="D28" t="s">
        <v>12</v>
      </c>
      <c r="E28" t="s">
        <v>11</v>
      </c>
      <c r="F28" t="s">
        <v>15</v>
      </c>
      <c r="H28" t="s">
        <v>12</v>
      </c>
      <c r="I28" t="s">
        <v>11</v>
      </c>
      <c r="J28" t="s">
        <v>15</v>
      </c>
    </row>
    <row r="29" spans="2:20" x14ac:dyDescent="0.2">
      <c r="B29" t="s">
        <v>7</v>
      </c>
      <c r="C29">
        <f>C3</f>
        <v>500</v>
      </c>
      <c r="D29" s="2">
        <f>AVERAGE(C8:E8)</f>
        <v>57.099999999999994</v>
      </c>
      <c r="E29" s="2">
        <f>AVERAGE(C16:E16)</f>
        <v>21.455555555555552</v>
      </c>
      <c r="F29" s="2">
        <f>AVERAGE(C24:E24)</f>
        <v>4.3711111111111114</v>
      </c>
      <c r="G29" s="2"/>
      <c r="H29" s="2">
        <f>STDEV(C8:E8)</f>
        <v>4.0403520198671359</v>
      </c>
      <c r="I29" s="2">
        <f>STDEV(C16:E16)</f>
        <v>2.4315823228080502</v>
      </c>
      <c r="J29" s="2">
        <f>STDEV(C24:E24)</f>
        <v>0.77660467086852669</v>
      </c>
      <c r="L29" s="2"/>
    </row>
    <row r="30" spans="2:20" x14ac:dyDescent="0.2">
      <c r="C30">
        <f>F3</f>
        <v>1000</v>
      </c>
      <c r="D30" s="2">
        <f>AVERAGE(F8:H8)</f>
        <v>66.977777777777774</v>
      </c>
      <c r="E30" s="2">
        <f>AVERAGE(F16:H16)</f>
        <v>31.666666666666671</v>
      </c>
      <c r="F30" s="2">
        <f>AVERAGE(F24:H24)</f>
        <v>6.246666666666667</v>
      </c>
      <c r="G30" s="2"/>
      <c r="H30" s="2">
        <f>STDEV(F8:H8)</f>
        <v>4.2791916855267766</v>
      </c>
      <c r="I30" s="2">
        <f>STDEV(F16:H16)</f>
        <v>1.8550232103968713</v>
      </c>
      <c r="J30" s="2">
        <f>STDEV(F24:H24)</f>
        <v>0.87674270899607021</v>
      </c>
      <c r="L30" s="2"/>
    </row>
    <row r="31" spans="2:20" x14ac:dyDescent="0.2">
      <c r="C31">
        <f>I3</f>
        <v>2000</v>
      </c>
      <c r="D31" s="2">
        <f>AVERAGE(I8:K8)</f>
        <v>70.8888888888889</v>
      </c>
      <c r="E31" s="2">
        <f>AVERAGE(I16:K16)</f>
        <v>33.699999999999996</v>
      </c>
      <c r="F31" s="2">
        <f>AVERAGE(I24:K24)</f>
        <v>20.155555555555555</v>
      </c>
      <c r="G31" s="2"/>
      <c r="H31" s="2">
        <f>STDEV(I8:K8)</f>
        <v>5.7353032791390985</v>
      </c>
      <c r="I31" s="2">
        <f>STDEV(I16:K16)</f>
        <v>2.3553721102572691</v>
      </c>
      <c r="J31" s="2">
        <f>STDEV(I24:K24)</f>
        <v>2.3618103539759798</v>
      </c>
      <c r="L31" s="2"/>
    </row>
    <row r="32" spans="2:20" x14ac:dyDescent="0.2">
      <c r="C32">
        <f>L3</f>
        <v>4000</v>
      </c>
      <c r="D32" s="2">
        <f>AVERAGE(L8:N8)</f>
        <v>69.02222222222224</v>
      </c>
      <c r="E32" s="2">
        <f>AVERAGE(L16:N16)</f>
        <v>66.422222222222217</v>
      </c>
      <c r="F32" s="2">
        <f>AVERAGE(L24:N24)</f>
        <v>33.799999999999997</v>
      </c>
      <c r="G32" s="2"/>
      <c r="H32" s="2">
        <f>STDEV(L8:N8)</f>
        <v>5.7667951173876411</v>
      </c>
      <c r="I32" s="2">
        <f>STDEV(L16:N16)</f>
        <v>14.563284631540339</v>
      </c>
      <c r="J32" s="2">
        <f>STDEV(L24:N24)</f>
        <v>18.881295859483096</v>
      </c>
      <c r="L32" s="2"/>
    </row>
    <row r="33" spans="2:12" x14ac:dyDescent="0.2">
      <c r="C33">
        <f>O3</f>
        <v>5000</v>
      </c>
      <c r="D33" s="2">
        <f>AVERAGE(O8:Q8)</f>
        <v>70.555555555555557</v>
      </c>
      <c r="E33" s="2">
        <f>AVERAGE(O16:Q16)</f>
        <v>66.788888888888891</v>
      </c>
      <c r="F33" s="2">
        <f>AVERAGE(O24:Q24)</f>
        <v>72.855555555555569</v>
      </c>
      <c r="G33" s="2"/>
      <c r="H33" s="2">
        <f>STDEV(O8:Q8)</f>
        <v>7.8191597540438567</v>
      </c>
      <c r="I33" s="2">
        <f>STDEV(O16:Q16)</f>
        <v>11.756999491240824</v>
      </c>
      <c r="J33" s="2">
        <f>STDEV(O24:Q24)</f>
        <v>11.597381569098212</v>
      </c>
      <c r="L33" s="2"/>
    </row>
    <row r="34" spans="2:12" x14ac:dyDescent="0.2">
      <c r="D34" s="2"/>
      <c r="E34" s="2"/>
      <c r="F34" s="2"/>
      <c r="G34" s="2"/>
      <c r="H34" s="2"/>
      <c r="I34" s="2"/>
      <c r="J34" s="2"/>
      <c r="L34" s="2"/>
    </row>
    <row r="36" spans="2:12" x14ac:dyDescent="0.2">
      <c r="B36" t="s">
        <v>16</v>
      </c>
      <c r="C36">
        <v>0</v>
      </c>
      <c r="D36">
        <v>12.5</v>
      </c>
    </row>
    <row r="37" spans="2:12" x14ac:dyDescent="0.2">
      <c r="C37">
        <v>10000</v>
      </c>
      <c r="D37">
        <v>12.5</v>
      </c>
    </row>
    <row r="63" spans="6:13" x14ac:dyDescent="0.2">
      <c r="F63" s="2"/>
      <c r="G63" s="2"/>
      <c r="I63" s="2"/>
      <c r="J63" s="2"/>
      <c r="L63" s="2"/>
      <c r="M63" s="2"/>
    </row>
    <row r="64" spans="6:13" x14ac:dyDescent="0.2">
      <c r="F64" s="2"/>
      <c r="G64" s="2"/>
      <c r="I64" s="2"/>
      <c r="J64" s="2"/>
      <c r="L64" s="2"/>
      <c r="M64" s="2"/>
    </row>
    <row r="65" spans="6:13" x14ac:dyDescent="0.2">
      <c r="F65" s="2"/>
      <c r="G65" s="2"/>
      <c r="I65" s="2"/>
      <c r="J65" s="2"/>
      <c r="L65" s="2"/>
      <c r="M65" s="2"/>
    </row>
  </sheetData>
  <mergeCells count="21">
    <mergeCell ref="B21:B23"/>
    <mergeCell ref="B13:B15"/>
    <mergeCell ref="L18:N18"/>
    <mergeCell ref="O18:Q18"/>
    <mergeCell ref="I18:K18"/>
    <mergeCell ref="C18:E18"/>
    <mergeCell ref="F18:H18"/>
    <mergeCell ref="C2:E2"/>
    <mergeCell ref="L2:N2"/>
    <mergeCell ref="B5:B7"/>
    <mergeCell ref="I2:K2"/>
    <mergeCell ref="C10:E10"/>
    <mergeCell ref="F10:H10"/>
    <mergeCell ref="I10:K10"/>
    <mergeCell ref="R2:T2"/>
    <mergeCell ref="R10:T10"/>
    <mergeCell ref="R18:T18"/>
    <mergeCell ref="O2:Q2"/>
    <mergeCell ref="F2:H2"/>
    <mergeCell ref="L10:N10"/>
    <mergeCell ref="O10:Q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9A0F-16D7-4446-B733-397CC75798C9}">
  <dimension ref="B2:T65"/>
  <sheetViews>
    <sheetView tabSelected="1" topLeftCell="A9" zoomScale="114" zoomScaleNormal="114" workbookViewId="0">
      <selection activeCell="L23" sqref="L23"/>
    </sheetView>
  </sheetViews>
  <sheetFormatPr baseColWidth="10" defaultRowHeight="16" x14ac:dyDescent="0.2"/>
  <cols>
    <col min="2" max="2" width="14" customWidth="1"/>
    <col min="3" max="14" width="7.33203125" bestFit="1" customWidth="1"/>
    <col min="15" max="20" width="7.33203125" customWidth="1"/>
  </cols>
  <sheetData>
    <row r="2" spans="2:20" x14ac:dyDescent="0.2">
      <c r="B2" s="4" t="s">
        <v>13</v>
      </c>
      <c r="C2" s="8" t="s">
        <v>22</v>
      </c>
      <c r="D2" s="8"/>
      <c r="E2" s="8"/>
      <c r="F2" s="8" t="s">
        <v>22</v>
      </c>
      <c r="G2" s="8"/>
      <c r="H2" s="8"/>
      <c r="I2" s="8" t="s">
        <v>22</v>
      </c>
      <c r="J2" s="8"/>
      <c r="K2" s="8"/>
      <c r="L2" s="8" t="s">
        <v>23</v>
      </c>
      <c r="M2" s="8"/>
      <c r="N2" s="8"/>
      <c r="O2" s="8" t="s">
        <v>23</v>
      </c>
      <c r="P2" s="8"/>
      <c r="Q2" s="8"/>
      <c r="R2" s="8" t="s">
        <v>23</v>
      </c>
      <c r="S2" s="8"/>
      <c r="T2" s="8"/>
    </row>
    <row r="3" spans="2:20" x14ac:dyDescent="0.2">
      <c r="B3" t="s">
        <v>19</v>
      </c>
      <c r="C3" s="7">
        <v>500</v>
      </c>
      <c r="D3" s="7">
        <v>500</v>
      </c>
      <c r="E3" s="7">
        <v>500</v>
      </c>
      <c r="F3" s="7">
        <v>1000</v>
      </c>
      <c r="G3" s="7">
        <v>1000</v>
      </c>
      <c r="H3" s="7">
        <v>1000</v>
      </c>
      <c r="I3" s="7">
        <v>2000</v>
      </c>
      <c r="J3" s="7">
        <v>2000</v>
      </c>
      <c r="K3" s="7">
        <v>2000</v>
      </c>
      <c r="L3" s="7">
        <v>500</v>
      </c>
      <c r="M3" s="7">
        <v>500</v>
      </c>
      <c r="N3" s="7">
        <v>500</v>
      </c>
      <c r="O3" s="7">
        <v>1000</v>
      </c>
      <c r="P3" s="7">
        <v>1000</v>
      </c>
      <c r="Q3" s="7">
        <v>1000</v>
      </c>
      <c r="R3" s="7">
        <v>2000</v>
      </c>
      <c r="S3" s="7">
        <v>2000</v>
      </c>
      <c r="T3" s="7">
        <v>2000</v>
      </c>
    </row>
    <row r="4" spans="2:20" x14ac:dyDescent="0.2">
      <c r="B4" s="1"/>
      <c r="C4" s="1" t="s">
        <v>0</v>
      </c>
      <c r="D4" s="1" t="s">
        <v>1</v>
      </c>
      <c r="E4" s="1" t="s">
        <v>2</v>
      </c>
      <c r="F4" s="1" t="s">
        <v>0</v>
      </c>
      <c r="G4" s="1" t="s">
        <v>1</v>
      </c>
      <c r="H4" s="1" t="s">
        <v>2</v>
      </c>
      <c r="I4" s="1" t="s">
        <v>0</v>
      </c>
      <c r="J4" s="1" t="s">
        <v>1</v>
      </c>
      <c r="K4" s="1" t="s">
        <v>2</v>
      </c>
      <c r="L4" s="1" t="s">
        <v>0</v>
      </c>
      <c r="M4" s="1" t="s">
        <v>1</v>
      </c>
      <c r="N4" s="1" t="s">
        <v>2</v>
      </c>
      <c r="O4" s="1" t="s">
        <v>0</v>
      </c>
      <c r="P4" s="1" t="s">
        <v>1</v>
      </c>
      <c r="Q4" s="1" t="s">
        <v>2</v>
      </c>
      <c r="R4" s="1" t="s">
        <v>0</v>
      </c>
      <c r="S4" s="1" t="s">
        <v>1</v>
      </c>
      <c r="T4" s="1" t="s">
        <v>2</v>
      </c>
    </row>
    <row r="5" spans="2:20" x14ac:dyDescent="0.2">
      <c r="B5" s="9" t="s">
        <v>20</v>
      </c>
      <c r="C5" s="6">
        <v>288</v>
      </c>
      <c r="D5" s="6">
        <v>280</v>
      </c>
      <c r="E5" s="2">
        <v>256</v>
      </c>
      <c r="F5" s="2">
        <v>305</v>
      </c>
      <c r="G5" s="2">
        <v>300</v>
      </c>
      <c r="H5" s="2">
        <v>319</v>
      </c>
      <c r="I5" s="2">
        <v>275</v>
      </c>
      <c r="J5" s="2">
        <v>290</v>
      </c>
      <c r="K5" s="2">
        <v>316</v>
      </c>
      <c r="L5" s="2">
        <v>65</v>
      </c>
      <c r="M5" s="2">
        <v>62.3</v>
      </c>
      <c r="N5" s="2">
        <v>69.099999999999994</v>
      </c>
      <c r="O5" s="2">
        <v>65.7</v>
      </c>
      <c r="P5" s="2">
        <v>63.1</v>
      </c>
      <c r="Q5" s="2">
        <v>70.099999999999994</v>
      </c>
      <c r="R5" s="2">
        <v>65.400000000000006</v>
      </c>
      <c r="S5" s="2">
        <v>65.099999999999994</v>
      </c>
      <c r="T5" s="2">
        <v>67.900000000000006</v>
      </c>
    </row>
    <row r="6" spans="2:20" x14ac:dyDescent="0.2">
      <c r="B6" s="10"/>
      <c r="C6" s="2">
        <v>304</v>
      </c>
      <c r="D6" s="2">
        <v>277</v>
      </c>
      <c r="E6" s="2">
        <v>249</v>
      </c>
      <c r="F6" s="2">
        <v>310</v>
      </c>
      <c r="G6" s="2">
        <v>310</v>
      </c>
      <c r="H6" s="2">
        <v>317</v>
      </c>
      <c r="I6" s="2">
        <v>275</v>
      </c>
      <c r="J6" s="2">
        <v>290</v>
      </c>
      <c r="K6" s="2">
        <v>311</v>
      </c>
      <c r="L6" s="2">
        <v>65.5</v>
      </c>
      <c r="M6" s="2">
        <v>64.400000000000006</v>
      </c>
      <c r="N6" s="2">
        <v>71</v>
      </c>
      <c r="O6" s="2">
        <v>65.3</v>
      </c>
      <c r="P6" s="2">
        <v>63.1</v>
      </c>
      <c r="Q6" s="2">
        <v>69.099999999999994</v>
      </c>
      <c r="R6" s="2">
        <v>64.599999999999994</v>
      </c>
      <c r="S6" s="2">
        <v>65.2</v>
      </c>
      <c r="T6" s="2">
        <v>68.3</v>
      </c>
    </row>
    <row r="7" spans="2:20" x14ac:dyDescent="0.2">
      <c r="B7" s="11"/>
      <c r="C7" s="5">
        <v>302</v>
      </c>
      <c r="D7" s="5">
        <v>264</v>
      </c>
      <c r="E7" s="5">
        <v>273</v>
      </c>
      <c r="F7" s="5">
        <v>303</v>
      </c>
      <c r="G7" s="5">
        <v>311</v>
      </c>
      <c r="H7" s="5">
        <v>285</v>
      </c>
      <c r="I7" s="5">
        <v>281</v>
      </c>
      <c r="J7" s="5">
        <v>300</v>
      </c>
      <c r="K7" s="5">
        <v>300</v>
      </c>
      <c r="L7" s="5">
        <v>64.599999999999994</v>
      </c>
      <c r="M7" s="5">
        <v>61.4</v>
      </c>
      <c r="N7" s="5">
        <v>63.2</v>
      </c>
      <c r="O7" s="5">
        <v>65.400000000000006</v>
      </c>
      <c r="P7" s="5">
        <v>64.2</v>
      </c>
      <c r="Q7" s="5">
        <v>68.2</v>
      </c>
      <c r="R7" s="5">
        <v>64.900000000000006</v>
      </c>
      <c r="S7" s="5">
        <v>66.599999999999994</v>
      </c>
      <c r="T7" s="5">
        <v>64.099999999999994</v>
      </c>
    </row>
    <row r="8" spans="2:20" x14ac:dyDescent="0.2">
      <c r="B8" s="3" t="s">
        <v>21</v>
      </c>
      <c r="C8" s="2">
        <f t="shared" ref="C8:T8" si="0">AVERAGE(C5:C7)</f>
        <v>298</v>
      </c>
      <c r="D8" s="2">
        <f t="shared" si="0"/>
        <v>273.66666666666669</v>
      </c>
      <c r="E8" s="2">
        <f t="shared" si="0"/>
        <v>259.33333333333331</v>
      </c>
      <c r="F8" s="2">
        <f t="shared" si="0"/>
        <v>306</v>
      </c>
      <c r="G8" s="2">
        <f t="shared" si="0"/>
        <v>307</v>
      </c>
      <c r="H8" s="2">
        <f t="shared" si="0"/>
        <v>307</v>
      </c>
      <c r="I8" s="2">
        <f t="shared" si="0"/>
        <v>277</v>
      </c>
      <c r="J8" s="2">
        <f t="shared" si="0"/>
        <v>293.33333333333331</v>
      </c>
      <c r="K8" s="2">
        <f t="shared" si="0"/>
        <v>309</v>
      </c>
      <c r="L8" s="2">
        <f t="shared" si="0"/>
        <v>65.033333333333331</v>
      </c>
      <c r="M8" s="2">
        <f t="shared" si="0"/>
        <v>62.699999999999996</v>
      </c>
      <c r="N8" s="2">
        <f t="shared" si="0"/>
        <v>67.766666666666666</v>
      </c>
      <c r="O8" s="2">
        <f t="shared" si="0"/>
        <v>65.466666666666669</v>
      </c>
      <c r="P8" s="2">
        <f t="shared" si="0"/>
        <v>63.466666666666669</v>
      </c>
      <c r="Q8" s="2">
        <f t="shared" si="0"/>
        <v>69.133333333333326</v>
      </c>
      <c r="R8" s="2">
        <f t="shared" si="0"/>
        <v>64.966666666666669</v>
      </c>
      <c r="S8" s="2">
        <f t="shared" si="0"/>
        <v>65.63333333333334</v>
      </c>
      <c r="T8" s="2">
        <f t="shared" si="0"/>
        <v>66.766666666666666</v>
      </c>
    </row>
    <row r="10" spans="2:20" x14ac:dyDescent="0.2">
      <c r="B10" s="4" t="s">
        <v>17</v>
      </c>
      <c r="C10" s="8" t="s">
        <v>22</v>
      </c>
      <c r="D10" s="8"/>
      <c r="E10" s="8"/>
      <c r="F10" s="8" t="s">
        <v>22</v>
      </c>
      <c r="G10" s="8"/>
      <c r="H10" s="8"/>
      <c r="I10" s="8" t="s">
        <v>22</v>
      </c>
      <c r="J10" s="8"/>
      <c r="K10" s="8"/>
      <c r="L10" s="8" t="s">
        <v>23</v>
      </c>
      <c r="M10" s="8"/>
      <c r="N10" s="8"/>
      <c r="O10" s="8" t="s">
        <v>23</v>
      </c>
      <c r="P10" s="8"/>
      <c r="Q10" s="8"/>
      <c r="R10" s="8" t="s">
        <v>23</v>
      </c>
      <c r="S10" s="8"/>
      <c r="T10" s="8"/>
    </row>
    <row r="11" spans="2:20" x14ac:dyDescent="0.2">
      <c r="B11" t="s">
        <v>19</v>
      </c>
      <c r="C11" s="7">
        <v>500</v>
      </c>
      <c r="D11" s="7">
        <v>500</v>
      </c>
      <c r="E11" s="7">
        <v>500</v>
      </c>
      <c r="F11" s="7">
        <v>1000</v>
      </c>
      <c r="G11" s="7">
        <v>1000</v>
      </c>
      <c r="H11" s="7">
        <v>1000</v>
      </c>
      <c r="I11" s="7">
        <v>2000</v>
      </c>
      <c r="J11" s="7">
        <v>2000</v>
      </c>
      <c r="K11" s="7">
        <v>2000</v>
      </c>
      <c r="L11" s="7">
        <v>500</v>
      </c>
      <c r="M11" s="7">
        <v>500</v>
      </c>
      <c r="N11" s="7">
        <v>500</v>
      </c>
      <c r="O11" s="7">
        <v>1000</v>
      </c>
      <c r="P11" s="7">
        <v>1000</v>
      </c>
      <c r="Q11" s="7">
        <v>1000</v>
      </c>
      <c r="R11" s="7">
        <v>2000</v>
      </c>
      <c r="S11" s="7">
        <v>2000</v>
      </c>
      <c r="T11" s="7">
        <v>2000</v>
      </c>
    </row>
    <row r="12" spans="2:20" x14ac:dyDescent="0.2">
      <c r="B12" s="1"/>
      <c r="C12" s="1" t="s">
        <v>0</v>
      </c>
      <c r="D12" s="1" t="s">
        <v>1</v>
      </c>
      <c r="E12" s="1" t="s">
        <v>2</v>
      </c>
      <c r="F12" s="1" t="s">
        <v>0</v>
      </c>
      <c r="G12" s="1" t="s">
        <v>1</v>
      </c>
      <c r="H12" s="1" t="s">
        <v>2</v>
      </c>
      <c r="I12" s="1" t="s">
        <v>0</v>
      </c>
      <c r="J12" s="1" t="s">
        <v>1</v>
      </c>
      <c r="K12" s="1" t="s">
        <v>2</v>
      </c>
      <c r="L12" s="1" t="s">
        <v>0</v>
      </c>
      <c r="M12" s="1" t="s">
        <v>1</v>
      </c>
      <c r="N12" s="1" t="s">
        <v>2</v>
      </c>
      <c r="O12" s="1" t="s">
        <v>0</v>
      </c>
      <c r="P12" s="1" t="s">
        <v>1</v>
      </c>
      <c r="Q12" s="1" t="s">
        <v>2</v>
      </c>
      <c r="R12" s="1" t="s">
        <v>0</v>
      </c>
      <c r="S12" s="1" t="s">
        <v>1</v>
      </c>
      <c r="T12" s="1" t="s">
        <v>2</v>
      </c>
    </row>
    <row r="13" spans="2:20" x14ac:dyDescent="0.2">
      <c r="B13" s="9" t="s">
        <v>20</v>
      </c>
      <c r="C13" s="6">
        <v>85.3</v>
      </c>
      <c r="D13" s="6">
        <v>75.3</v>
      </c>
      <c r="E13" s="2">
        <v>71.900000000000006</v>
      </c>
      <c r="F13" s="2">
        <v>113</v>
      </c>
      <c r="G13" s="2">
        <v>90.6</v>
      </c>
      <c r="H13" s="2">
        <v>83.3</v>
      </c>
      <c r="I13" s="2">
        <v>127</v>
      </c>
      <c r="J13" s="6">
        <v>187</v>
      </c>
      <c r="K13" s="6">
        <v>149</v>
      </c>
      <c r="L13" s="2">
        <v>37.9</v>
      </c>
      <c r="M13" s="6">
        <v>39.4</v>
      </c>
      <c r="N13" s="6">
        <v>42.9</v>
      </c>
      <c r="O13" s="2">
        <v>46.1</v>
      </c>
      <c r="P13" s="2">
        <v>68.599999999999994</v>
      </c>
      <c r="Q13" s="2">
        <v>46.5</v>
      </c>
      <c r="R13" s="2">
        <v>51.8</v>
      </c>
      <c r="S13" s="2">
        <v>56.2</v>
      </c>
      <c r="T13" s="2">
        <v>70.099999999999994</v>
      </c>
    </row>
    <row r="14" spans="2:20" x14ac:dyDescent="0.2">
      <c r="B14" s="10"/>
      <c r="C14" s="2">
        <v>105</v>
      </c>
      <c r="D14" s="2">
        <v>62.8</v>
      </c>
      <c r="E14" s="2">
        <v>76</v>
      </c>
      <c r="F14" s="2">
        <v>175</v>
      </c>
      <c r="G14" s="2">
        <v>106</v>
      </c>
      <c r="H14" s="2">
        <v>97.2</v>
      </c>
      <c r="I14" s="2">
        <v>98.1</v>
      </c>
      <c r="J14" s="2">
        <v>161</v>
      </c>
      <c r="K14" s="2">
        <v>135</v>
      </c>
      <c r="L14" s="2">
        <v>37.700000000000003</v>
      </c>
      <c r="M14" s="2">
        <v>41</v>
      </c>
      <c r="N14" s="2">
        <v>38.700000000000003</v>
      </c>
      <c r="O14" s="2">
        <v>50.9</v>
      </c>
      <c r="P14" s="2">
        <v>61.8</v>
      </c>
      <c r="Q14" s="2">
        <v>49.9</v>
      </c>
      <c r="R14" s="2">
        <v>55</v>
      </c>
      <c r="S14" s="2">
        <v>59.4</v>
      </c>
      <c r="T14" s="2">
        <v>58.8</v>
      </c>
    </row>
    <row r="15" spans="2:20" x14ac:dyDescent="0.2">
      <c r="B15" s="11"/>
      <c r="C15" s="5">
        <v>86.2</v>
      </c>
      <c r="D15" s="5">
        <v>61.3</v>
      </c>
      <c r="E15" s="5">
        <v>69.3</v>
      </c>
      <c r="F15" s="5">
        <v>168</v>
      </c>
      <c r="G15" s="5">
        <v>114</v>
      </c>
      <c r="H15" s="5">
        <v>68.7</v>
      </c>
      <c r="I15" s="5">
        <v>99.9</v>
      </c>
      <c r="J15" s="5">
        <v>177</v>
      </c>
      <c r="K15" s="5">
        <v>176</v>
      </c>
      <c r="L15" s="5">
        <v>36</v>
      </c>
      <c r="M15" s="5">
        <v>41.1</v>
      </c>
      <c r="N15" s="5">
        <v>37.700000000000003</v>
      </c>
      <c r="O15" s="5">
        <v>43.9</v>
      </c>
      <c r="P15" s="5">
        <v>53.7</v>
      </c>
      <c r="Q15" s="5">
        <v>46.4</v>
      </c>
      <c r="R15" s="5">
        <v>63.1</v>
      </c>
      <c r="S15" s="5">
        <v>59</v>
      </c>
      <c r="T15" s="5">
        <v>63</v>
      </c>
    </row>
    <row r="16" spans="2:20" x14ac:dyDescent="0.2">
      <c r="B16" s="3" t="s">
        <v>21</v>
      </c>
      <c r="C16" s="2">
        <f t="shared" ref="C16:O16" si="1">AVERAGE(C13:C15)</f>
        <v>92.166666666666671</v>
      </c>
      <c r="D16" s="2">
        <f t="shared" si="1"/>
        <v>66.466666666666654</v>
      </c>
      <c r="E16" s="2">
        <f t="shared" si="1"/>
        <v>72.399999999999991</v>
      </c>
      <c r="F16" s="2">
        <f t="shared" si="1"/>
        <v>152</v>
      </c>
      <c r="G16" s="2">
        <f t="shared" si="1"/>
        <v>103.53333333333335</v>
      </c>
      <c r="H16" s="2">
        <f t="shared" si="1"/>
        <v>83.066666666666663</v>
      </c>
      <c r="I16" s="2">
        <f t="shared" si="1"/>
        <v>108.33333333333333</v>
      </c>
      <c r="J16" s="2">
        <f t="shared" si="1"/>
        <v>175</v>
      </c>
      <c r="K16" s="2">
        <f t="shared" si="1"/>
        <v>153.33333333333334</v>
      </c>
      <c r="L16" s="2">
        <f t="shared" si="1"/>
        <v>37.199999999999996</v>
      </c>
      <c r="M16" s="2">
        <f t="shared" si="1"/>
        <v>40.5</v>
      </c>
      <c r="N16" s="2">
        <f t="shared" si="1"/>
        <v>39.766666666666666</v>
      </c>
      <c r="O16" s="2">
        <f t="shared" si="1"/>
        <v>46.966666666666669</v>
      </c>
      <c r="P16" s="2">
        <f>AVERAGE(P14:P15)</f>
        <v>57.75</v>
      </c>
      <c r="Q16" s="2">
        <f>AVERAGE(Q13:Q15)</f>
        <v>47.6</v>
      </c>
      <c r="R16" s="2">
        <f>AVERAGE(R13:R15)</f>
        <v>56.633333333333333</v>
      </c>
      <c r="S16" s="2">
        <f>AVERAGE(S13:S15)</f>
        <v>58.199999999999996</v>
      </c>
      <c r="T16" s="2">
        <f>AVERAGE(T13:T15)</f>
        <v>63.966666666666661</v>
      </c>
    </row>
    <row r="18" spans="2:20" x14ac:dyDescent="0.2">
      <c r="B18" s="4" t="s">
        <v>18</v>
      </c>
      <c r="C18" s="8" t="s">
        <v>22</v>
      </c>
      <c r="D18" s="8"/>
      <c r="E18" s="8"/>
      <c r="F18" s="8" t="s">
        <v>22</v>
      </c>
      <c r="G18" s="8"/>
      <c r="H18" s="8"/>
      <c r="I18" s="8" t="s">
        <v>22</v>
      </c>
      <c r="J18" s="8"/>
      <c r="K18" s="8"/>
      <c r="L18" s="8" t="s">
        <v>23</v>
      </c>
      <c r="M18" s="8"/>
      <c r="N18" s="8"/>
      <c r="O18" s="8" t="s">
        <v>23</v>
      </c>
      <c r="P18" s="8"/>
      <c r="Q18" s="8"/>
      <c r="R18" s="8" t="s">
        <v>23</v>
      </c>
      <c r="S18" s="8"/>
      <c r="T18" s="8"/>
    </row>
    <row r="19" spans="2:20" x14ac:dyDescent="0.2">
      <c r="B19" t="s">
        <v>19</v>
      </c>
      <c r="C19" s="7">
        <v>500</v>
      </c>
      <c r="D19" s="7">
        <v>500</v>
      </c>
      <c r="E19" s="7">
        <v>500</v>
      </c>
      <c r="F19" s="7">
        <v>1000</v>
      </c>
      <c r="G19" s="7">
        <v>1000</v>
      </c>
      <c r="H19" s="7">
        <v>1000</v>
      </c>
      <c r="I19" s="7">
        <v>2000</v>
      </c>
      <c r="J19" s="7">
        <v>2000</v>
      </c>
      <c r="K19" s="7">
        <v>2000</v>
      </c>
      <c r="L19" s="7">
        <v>500</v>
      </c>
      <c r="M19" s="7">
        <v>500</v>
      </c>
      <c r="N19" s="7">
        <v>500</v>
      </c>
      <c r="O19" s="7">
        <v>1000</v>
      </c>
      <c r="P19" s="7">
        <v>1000</v>
      </c>
      <c r="Q19" s="7">
        <v>1000</v>
      </c>
      <c r="R19" s="7">
        <v>2000</v>
      </c>
      <c r="S19" s="7">
        <v>2000</v>
      </c>
      <c r="T19" s="7">
        <v>2000</v>
      </c>
    </row>
    <row r="20" spans="2:20" x14ac:dyDescent="0.2">
      <c r="B20" s="1"/>
      <c r="C20" s="1" t="s">
        <v>0</v>
      </c>
      <c r="D20" s="1" t="s">
        <v>1</v>
      </c>
      <c r="E20" s="1" t="s">
        <v>2</v>
      </c>
      <c r="F20" s="1" t="s">
        <v>0</v>
      </c>
      <c r="G20" s="1" t="s">
        <v>1</v>
      </c>
      <c r="H20" s="1" t="s">
        <v>2</v>
      </c>
      <c r="I20" s="1" t="s">
        <v>0</v>
      </c>
      <c r="J20" s="1" t="s">
        <v>1</v>
      </c>
      <c r="K20" s="1" t="s">
        <v>2</v>
      </c>
      <c r="L20" s="1" t="s">
        <v>0</v>
      </c>
      <c r="M20" s="1" t="s">
        <v>1</v>
      </c>
      <c r="N20" s="1" t="s">
        <v>2</v>
      </c>
      <c r="O20" s="1" t="s">
        <v>0</v>
      </c>
      <c r="P20" s="1" t="s">
        <v>1</v>
      </c>
      <c r="Q20" s="1" t="s">
        <v>2</v>
      </c>
      <c r="R20" s="1" t="s">
        <v>0</v>
      </c>
      <c r="S20" s="1" t="s">
        <v>1</v>
      </c>
      <c r="T20" s="1" t="s">
        <v>2</v>
      </c>
    </row>
    <row r="21" spans="2:20" x14ac:dyDescent="0.2">
      <c r="B21" s="9" t="s">
        <v>20</v>
      </c>
      <c r="C21" s="6">
        <v>58.5</v>
      </c>
      <c r="D21" s="6">
        <v>24.3</v>
      </c>
      <c r="E21" s="2">
        <v>51.2</v>
      </c>
      <c r="F21" s="2">
        <v>100</v>
      </c>
      <c r="G21" s="2">
        <v>65.7</v>
      </c>
      <c r="H21" s="2">
        <v>76.7</v>
      </c>
      <c r="I21" s="2">
        <v>114</v>
      </c>
      <c r="J21" s="6">
        <v>82.1</v>
      </c>
      <c r="K21" s="6">
        <v>100</v>
      </c>
      <c r="L21" s="2">
        <v>9.8800000000000008</v>
      </c>
      <c r="M21" s="6">
        <v>5.31</v>
      </c>
      <c r="N21" s="6">
        <v>4.04</v>
      </c>
      <c r="O21" s="2">
        <v>5.48</v>
      </c>
      <c r="P21" s="2">
        <v>4</v>
      </c>
      <c r="Q21" s="2">
        <v>3.33</v>
      </c>
      <c r="R21" s="2">
        <v>34.5</v>
      </c>
      <c r="S21" s="2">
        <v>11.2</v>
      </c>
      <c r="T21" s="2">
        <v>14.5</v>
      </c>
    </row>
    <row r="22" spans="2:20" x14ac:dyDescent="0.2">
      <c r="B22" s="10"/>
      <c r="C22" s="2">
        <v>36.799999999999997</v>
      </c>
      <c r="D22" s="2">
        <v>38</v>
      </c>
      <c r="E22" s="2">
        <v>41.3</v>
      </c>
      <c r="F22" s="2">
        <v>138</v>
      </c>
      <c r="G22" s="2">
        <v>62.3</v>
      </c>
      <c r="H22" s="2">
        <v>98.9</v>
      </c>
      <c r="I22" s="2">
        <v>133</v>
      </c>
      <c r="J22" s="2">
        <v>84.8</v>
      </c>
      <c r="K22" s="2">
        <v>62.6</v>
      </c>
      <c r="L22" s="2">
        <v>7.6</v>
      </c>
      <c r="M22" s="2">
        <v>3.98</v>
      </c>
      <c r="N22" s="2">
        <v>3.67</v>
      </c>
      <c r="O22" s="2">
        <v>10.199999999999999</v>
      </c>
      <c r="P22" s="2">
        <v>8.44</v>
      </c>
      <c r="Q22" s="2">
        <v>4.24</v>
      </c>
      <c r="R22" s="2">
        <v>23</v>
      </c>
      <c r="S22" s="2">
        <v>13.6</v>
      </c>
      <c r="T22" s="2">
        <v>17.3</v>
      </c>
    </row>
    <row r="23" spans="2:20" x14ac:dyDescent="0.2">
      <c r="B23" s="11"/>
      <c r="C23" s="5">
        <v>40.1</v>
      </c>
      <c r="D23" s="5">
        <v>29.9</v>
      </c>
      <c r="E23" s="5">
        <v>52.6</v>
      </c>
      <c r="F23" s="5">
        <v>104</v>
      </c>
      <c r="G23" s="5">
        <v>40.799999999999997</v>
      </c>
      <c r="H23" s="5">
        <v>101</v>
      </c>
      <c r="I23" s="5">
        <v>124</v>
      </c>
      <c r="J23" s="5">
        <v>96.6</v>
      </c>
      <c r="K23" s="5">
        <v>70.2</v>
      </c>
      <c r="L23" s="5">
        <v>5.74</v>
      </c>
      <c r="M23" s="5">
        <v>5.93</v>
      </c>
      <c r="N23" s="5">
        <v>3.57</v>
      </c>
      <c r="O23" s="5">
        <v>10.5</v>
      </c>
      <c r="P23" s="5">
        <v>3.74</v>
      </c>
      <c r="Q23" s="5">
        <v>4.6399999999999997</v>
      </c>
      <c r="R23" s="5">
        <v>22.8</v>
      </c>
      <c r="S23" s="5">
        <v>32.9</v>
      </c>
      <c r="T23" s="5">
        <v>11.8</v>
      </c>
    </row>
    <row r="24" spans="2:20" x14ac:dyDescent="0.2">
      <c r="B24" s="3" t="s">
        <v>21</v>
      </c>
      <c r="C24" s="2">
        <f t="shared" ref="C24:T24" si="2">AVERAGE(C21:C23)</f>
        <v>45.133333333333333</v>
      </c>
      <c r="D24" s="2">
        <f t="shared" si="2"/>
        <v>30.733333333333331</v>
      </c>
      <c r="E24" s="2">
        <f t="shared" si="2"/>
        <v>48.366666666666667</v>
      </c>
      <c r="F24" s="2">
        <f t="shared" si="2"/>
        <v>114</v>
      </c>
      <c r="G24" s="2">
        <f t="shared" si="2"/>
        <v>56.266666666666673</v>
      </c>
      <c r="H24" s="2">
        <f t="shared" si="2"/>
        <v>92.2</v>
      </c>
      <c r="I24" s="2">
        <f t="shared" si="2"/>
        <v>123.66666666666667</v>
      </c>
      <c r="J24" s="2">
        <f t="shared" si="2"/>
        <v>87.833333333333329</v>
      </c>
      <c r="K24" s="2">
        <f t="shared" si="2"/>
        <v>77.600000000000009</v>
      </c>
      <c r="L24" s="2">
        <f t="shared" si="2"/>
        <v>7.7399999999999993</v>
      </c>
      <c r="M24" s="2">
        <f t="shared" si="2"/>
        <v>5.0733333333333333</v>
      </c>
      <c r="N24" s="2">
        <f t="shared" si="2"/>
        <v>3.76</v>
      </c>
      <c r="O24" s="2">
        <f t="shared" si="2"/>
        <v>8.7266666666666666</v>
      </c>
      <c r="P24" s="2">
        <f t="shared" si="2"/>
        <v>5.3933333333333335</v>
      </c>
      <c r="Q24" s="2">
        <f t="shared" si="2"/>
        <v>4.07</v>
      </c>
      <c r="R24" s="2">
        <f t="shared" si="2"/>
        <v>26.766666666666666</v>
      </c>
      <c r="S24" s="2">
        <f t="shared" si="2"/>
        <v>19.233333333333331</v>
      </c>
      <c r="T24" s="2">
        <f t="shared" si="2"/>
        <v>14.533333333333333</v>
      </c>
    </row>
    <row r="27" spans="2:20" x14ac:dyDescent="0.2">
      <c r="D27" t="s">
        <v>14</v>
      </c>
      <c r="H27" t="s">
        <v>10</v>
      </c>
    </row>
    <row r="28" spans="2:20" x14ac:dyDescent="0.2">
      <c r="B28" t="s">
        <v>9</v>
      </c>
      <c r="C28" t="s">
        <v>24</v>
      </c>
      <c r="D28" t="s">
        <v>12</v>
      </c>
      <c r="E28" t="s">
        <v>11</v>
      </c>
      <c r="F28" t="s">
        <v>15</v>
      </c>
      <c r="H28" t="s">
        <v>12</v>
      </c>
      <c r="I28" t="s">
        <v>11</v>
      </c>
      <c r="J28" t="s">
        <v>15</v>
      </c>
    </row>
    <row r="29" spans="2:20" x14ac:dyDescent="0.2">
      <c r="B29" t="s">
        <v>7</v>
      </c>
      <c r="C29">
        <f>C3</f>
        <v>500</v>
      </c>
      <c r="D29" s="2">
        <f>AVERAGE(C8:E8)</f>
        <v>277</v>
      </c>
      <c r="E29" s="2">
        <f>AVERAGE(C16:E16)</f>
        <v>77.011111111111106</v>
      </c>
      <c r="F29" s="2">
        <f>AVERAGE(C24:E24)</f>
        <v>41.411111111111104</v>
      </c>
      <c r="G29" s="2"/>
      <c r="H29" s="2">
        <f>STDEV(C8:E8)</f>
        <v>19.547662548527672</v>
      </c>
      <c r="I29" s="2">
        <f>STDEV(C16:E16)</f>
        <v>13.456197800986066</v>
      </c>
      <c r="J29" s="2">
        <f>STDEV(C24:E24)</f>
        <v>9.3874818143533911</v>
      </c>
      <c r="L29" s="2"/>
    </row>
    <row r="30" spans="2:20" x14ac:dyDescent="0.2">
      <c r="C30">
        <f>F3</f>
        <v>1000</v>
      </c>
      <c r="D30" s="2">
        <f>AVERAGE(F8:H8)</f>
        <v>306.66666666666669</v>
      </c>
      <c r="E30" s="2">
        <f>AVERAGE(F16:H16)</f>
        <v>112.86666666666667</v>
      </c>
      <c r="F30" s="2">
        <f>AVERAGE(F24:H24)</f>
        <v>87.488888888888894</v>
      </c>
      <c r="G30" s="2"/>
      <c r="H30" s="2">
        <f>STDEV(F8:H8)</f>
        <v>0.57735026918962584</v>
      </c>
      <c r="I30" s="2">
        <f>STDEV(F16:H16)</f>
        <v>35.40175764625878</v>
      </c>
      <c r="J30" s="2">
        <f>STDEV(F24:H24)</f>
        <v>29.153565311473827</v>
      </c>
      <c r="L30" s="2"/>
    </row>
    <row r="31" spans="2:20" x14ac:dyDescent="0.2">
      <c r="C31">
        <f>I3</f>
        <v>2000</v>
      </c>
      <c r="D31" s="2">
        <f>AVERAGE(I8:K8)</f>
        <v>293.11111111111109</v>
      </c>
      <c r="E31" s="2">
        <f>AVERAGE(I16:K16)</f>
        <v>145.55555555555554</v>
      </c>
      <c r="F31" s="2">
        <f>AVERAGE(I24:K24)</f>
        <v>96.366666666666674</v>
      </c>
      <c r="G31" s="2"/>
      <c r="H31" s="2">
        <f>STDEV(I8:K8)</f>
        <v>16.001157365548188</v>
      </c>
      <c r="I31" s="2">
        <f>STDEV(I16:K16)</f>
        <v>34.007079872895368</v>
      </c>
      <c r="J31" s="2">
        <f>STDEV(I24:K24)</f>
        <v>24.189827981566513</v>
      </c>
      <c r="L31" s="2"/>
    </row>
    <row r="32" spans="2:20" x14ac:dyDescent="0.2">
      <c r="C32">
        <f>L3</f>
        <v>500</v>
      </c>
      <c r="D32" s="2">
        <f>AVERAGE(L8:N8)</f>
        <v>65.166666666666671</v>
      </c>
      <c r="E32" s="2">
        <f>AVERAGE(L16:N16)</f>
        <v>39.155555555555551</v>
      </c>
      <c r="F32" s="2">
        <f>AVERAGE(L24:N24)</f>
        <v>5.5244444444444438</v>
      </c>
      <c r="G32" s="2"/>
      <c r="H32" s="2">
        <f>STDEV(L8:N8)</f>
        <v>2.5359635468813662</v>
      </c>
      <c r="I32" s="2">
        <f>STDEV(L16:N16)</f>
        <v>1.732799062959292</v>
      </c>
      <c r="J32" s="2">
        <f>STDEV(L24:N24)</f>
        <v>2.0279856818838597</v>
      </c>
      <c r="L32" s="2"/>
    </row>
    <row r="33" spans="2:12" x14ac:dyDescent="0.2">
      <c r="C33">
        <f>O3</f>
        <v>1000</v>
      </c>
      <c r="D33" s="2">
        <f>AVERAGE(O8:Q8)</f>
        <v>66.022222222222226</v>
      </c>
      <c r="E33" s="2">
        <f>AVERAGE(O16:Q16)</f>
        <v>50.772222222222219</v>
      </c>
      <c r="F33" s="2">
        <f>AVERAGE(O24:Q24)</f>
        <v>6.0633333333333335</v>
      </c>
      <c r="G33" s="2"/>
      <c r="H33" s="2">
        <f>STDEV(O8:Q8)</f>
        <v>2.8738927014172311</v>
      </c>
      <c r="I33" s="2">
        <f>STDEV(O16:Q16)</f>
        <v>6.0512242409957677</v>
      </c>
      <c r="J33" s="2">
        <f>STDEV(O24:Q24)</f>
        <v>2.3995439381497272</v>
      </c>
      <c r="L33" s="2"/>
    </row>
    <row r="34" spans="2:12" x14ac:dyDescent="0.2">
      <c r="C34">
        <f>R3</f>
        <v>2000</v>
      </c>
      <c r="D34" s="2">
        <f>AVERAGE(R8:T8)</f>
        <v>65.788888888888891</v>
      </c>
      <c r="E34" s="2">
        <f>AVERAGE(R16:T16)</f>
        <v>59.599999999999994</v>
      </c>
      <c r="F34" s="2">
        <f>AVERAGE(R24:T24)</f>
        <v>20.177777777777777</v>
      </c>
      <c r="G34" s="2"/>
      <c r="H34" s="2">
        <f>STDEV(R8:T8)</f>
        <v>0.91002645464192122</v>
      </c>
      <c r="I34" s="2">
        <f>STDEV(R16:T16)</f>
        <v>3.8619223768020543</v>
      </c>
      <c r="J34" s="2">
        <f>STDEV(R24:T24)</f>
        <v>6.17110951066278</v>
      </c>
      <c r="L34" s="2"/>
    </row>
    <row r="36" spans="2:12" x14ac:dyDescent="0.2">
      <c r="B36" t="s">
        <v>16</v>
      </c>
      <c r="C36">
        <v>0</v>
      </c>
      <c r="D36">
        <v>12.5</v>
      </c>
    </row>
    <row r="37" spans="2:12" x14ac:dyDescent="0.2">
      <c r="C37">
        <v>10000</v>
      </c>
      <c r="D37">
        <v>12.5</v>
      </c>
    </row>
    <row r="63" spans="6:13" x14ac:dyDescent="0.2">
      <c r="F63" s="2"/>
      <c r="G63" s="2"/>
      <c r="I63" s="2"/>
      <c r="J63" s="2"/>
      <c r="L63" s="2"/>
      <c r="M63" s="2"/>
    </row>
    <row r="64" spans="6:13" x14ac:dyDescent="0.2">
      <c r="F64" s="2"/>
      <c r="G64" s="2"/>
      <c r="I64" s="2"/>
      <c r="J64" s="2"/>
      <c r="L64" s="2"/>
      <c r="M64" s="2"/>
    </row>
    <row r="65" spans="6:13" x14ac:dyDescent="0.2">
      <c r="F65" s="2"/>
      <c r="G65" s="2"/>
      <c r="I65" s="2"/>
      <c r="J65" s="2"/>
      <c r="L65" s="2"/>
      <c r="M65" s="2"/>
    </row>
  </sheetData>
  <mergeCells count="21">
    <mergeCell ref="B21:B23"/>
    <mergeCell ref="R10:T10"/>
    <mergeCell ref="B13:B15"/>
    <mergeCell ref="C18:E18"/>
    <mergeCell ref="F18:H18"/>
    <mergeCell ref="I18:K18"/>
    <mergeCell ref="L18:N18"/>
    <mergeCell ref="O18:Q18"/>
    <mergeCell ref="R18:T18"/>
    <mergeCell ref="O10:Q10"/>
    <mergeCell ref="B5:B7"/>
    <mergeCell ref="C10:E10"/>
    <mergeCell ref="F10:H10"/>
    <mergeCell ref="I10:K10"/>
    <mergeCell ref="L10:N10"/>
    <mergeCell ref="R2:T2"/>
    <mergeCell ref="C2:E2"/>
    <mergeCell ref="F2:H2"/>
    <mergeCell ref="I2:K2"/>
    <mergeCell ref="L2:N2"/>
    <mergeCell ref="O2:Q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 7a</vt:lpstr>
      <vt:lpstr>Fig 7b, 7c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Armstrong</dc:creator>
  <cp:lastModifiedBy>Owen Armstrong</cp:lastModifiedBy>
  <dcterms:created xsi:type="dcterms:W3CDTF">2024-10-09T20:29:59Z</dcterms:created>
  <dcterms:modified xsi:type="dcterms:W3CDTF">2026-04-13T15:59:16Z</dcterms:modified>
</cp:coreProperties>
</file>