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Data Feb 2026/"/>
    </mc:Choice>
  </mc:AlternateContent>
  <xr:revisionPtr revIDLastSave="0" documentId="8_{730F6211-BFEB-E747-81EF-FE9887BD1D51}" xr6:coauthVersionLast="47" xr6:coauthVersionMax="47" xr10:uidLastSave="{00000000-0000-0000-0000-000000000000}"/>
  <bookViews>
    <workbookView xWindow="0" yWindow="500" windowWidth="28800" windowHeight="16240" xr2:uid="{980CDB93-2DAD-1F4F-B6DF-9E59BE5E07BA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1" i="1" l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1" i="1"/>
  <c r="C20" i="1" l="1"/>
  <c r="C19" i="1"/>
  <c r="C18" i="1"/>
  <c r="C17" i="1"/>
  <c r="C16" i="1"/>
  <c r="C15" i="1"/>
  <c r="E12" i="1" l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D12" i="1"/>
  <c r="C12" i="1"/>
  <c r="D17" i="1" l="1"/>
  <c r="E17" i="1"/>
  <c r="D18" i="1"/>
  <c r="E18" i="1"/>
  <c r="D15" i="1"/>
  <c r="E19" i="1"/>
  <c r="D19" i="1"/>
  <c r="E16" i="1"/>
  <c r="D16" i="1"/>
  <c r="E20" i="1"/>
  <c r="D20" i="1"/>
</calcChain>
</file>

<file path=xl/sharedStrings.xml><?xml version="1.0" encoding="utf-8"?>
<sst xmlns="http://schemas.openxmlformats.org/spreadsheetml/2006/main" count="33" uniqueCount="18">
  <si>
    <t>Jar 1</t>
  </si>
  <si>
    <t>Jar 2</t>
  </si>
  <si>
    <t>Jar 3</t>
  </si>
  <si>
    <t>condition 1</t>
  </si>
  <si>
    <t>condition 2</t>
  </si>
  <si>
    <t>condition 3</t>
  </si>
  <si>
    <t>initial</t>
  </si>
  <si>
    <t>180s settling</t>
  </si>
  <si>
    <t>condition 4</t>
  </si>
  <si>
    <t>condition 5</t>
  </si>
  <si>
    <t>avg initial</t>
  </si>
  <si>
    <t>avg 180s</t>
  </si>
  <si>
    <t>condition 6</t>
  </si>
  <si>
    <t>Conventional</t>
  </si>
  <si>
    <t>RPM</t>
  </si>
  <si>
    <t>180s</t>
  </si>
  <si>
    <t>stdev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</si>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</sst>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16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5C7A"/>
      <color rgb="FF85C6D4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39123164469971"/>
          <c:y val="6.8247937408702469E-2"/>
          <c:w val="0.78981730670362627"/>
          <c:h val="0.76698389980809611"/>
        </c:manualLayout>
      </c:layout>
      <c:barChart>
        <c:barDir val="col"/>
        <c:grouping val="clustered"/>
        <c:varyColors val="0"/>
        <c:ser>
          <c:idx val="1"/>
          <c:order val="0"/>
          <c:tx>
            <c:v>180 s settling</c:v>
          </c:tx>
          <c:spPr>
            <a:solidFill>
              <a:srgbClr val="0F5C7A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'Sheet 1'!$E$15:$E$20</c:f>
                <c:numCache>
                  <c:formatCode>General</c:formatCode>
                  <c:ptCount val="6"/>
                  <c:pt idx="0">
                    <c:v>5.1346318703919414</c:v>
                  </c:pt>
                  <c:pt idx="1">
                    <c:v>2.1894528320344553</c:v>
                  </c:pt>
                  <c:pt idx="2">
                    <c:v>1.4690636977844584</c:v>
                  </c:pt>
                  <c:pt idx="3">
                    <c:v>2.9103264421710446</c:v>
                  </c:pt>
                  <c:pt idx="4">
                    <c:v>2.4667417405993026</c:v>
                  </c:pt>
                  <c:pt idx="5">
                    <c:v>0.18559214542766769</c:v>
                  </c:pt>
                </c:numCache>
              </c:numRef>
            </c:plus>
            <c:minus>
              <c:numRef>
                <c:f>'Sheet 1'!$E$15:$E$20</c:f>
                <c:numCache>
                  <c:formatCode>General</c:formatCode>
                  <c:ptCount val="6"/>
                  <c:pt idx="0">
                    <c:v>5.1346318703919414</c:v>
                  </c:pt>
                  <c:pt idx="1">
                    <c:v>2.1894528320344553</c:v>
                  </c:pt>
                  <c:pt idx="2">
                    <c:v>1.4690636977844584</c:v>
                  </c:pt>
                  <c:pt idx="3">
                    <c:v>2.9103264421710446</c:v>
                  </c:pt>
                  <c:pt idx="4">
                    <c:v>2.4667417405993026</c:v>
                  </c:pt>
                  <c:pt idx="5">
                    <c:v>0.18559214542766769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'Sheet 1'!$C$15:$C$20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cat>
          <c:val>
            <c:numRef>
              <c:f>'Sheet 1'!$D$15:$D$20</c:f>
              <c:numCache>
                <c:formatCode>0.0</c:formatCode>
                <c:ptCount val="6"/>
                <c:pt idx="0">
                  <c:v>36.266666666666659</c:v>
                </c:pt>
                <c:pt idx="1">
                  <c:v>25.911111111111111</c:v>
                </c:pt>
                <c:pt idx="2">
                  <c:v>15.511111111111111</c:v>
                </c:pt>
                <c:pt idx="3" formatCode="General">
                  <c:v>13.666666666666666</c:v>
                </c:pt>
                <c:pt idx="4" formatCode="General">
                  <c:v>14.588888888888889</c:v>
                </c:pt>
                <c:pt idx="5" formatCode="General">
                  <c:v>12.033333333333333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7-4C49-BDD9-48090AD4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430513487"/>
        <c:axId val="452223535"/>
      </c:barChart>
      <c:catAx>
        <c:axId val="43051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stirring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2223535"/>
        <c:crosses val="autoZero"/>
        <c:auto val="1"/>
        <c:lblAlgn val="ctr"/>
        <c:lblOffset val="100"/>
        <c:noMultiLvlLbl val="0"/>
      </c:catAx>
      <c:valAx>
        <c:axId val="452223535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0513487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356877</xdr:colOff>
      <xdr:row>14</xdr:row>
      <xdr:rowOff>154582</xdr:rowOff>
    </xdr:from>
    <xdr:to>
      <xdr:col>10</xdr:col>
      <xdr:colOff>467321</xdr:colOff>
      <xdr:row>22</xdr:row>
      <xdr:rowOff>137693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50011-D957-AD42-871D-83F2389A9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X70"/>
  <sheetViews>
    <sheetView tabSelected="1" zoomScale="111" zoomScaleNormal="180" workbookViewId="0">
      <selection activeCell="L23" sqref="L23"/>
    </sheetView>
  </sheetViews>
  <sheetFormatPr baseColWidth="10" defaultRowHeight="16" x14ac:dyDescent="0.2"/>
  <cols>
    <col min="2" max="2" width="14" customWidth="1"/>
    <col min="3" max="20" width="7.33203125" bestFit="1" customWidth="1"/>
    <col min="23" max="23" width="12.33203125" customWidth="1"/>
  </cols>
  <sheetData>
    <row r="2" spans="2:24" x14ac:dyDescent="0.2">
      <c r="B2" s="5" t="s">
        <v>13</v>
      </c>
      <c r="C2" s="17" t="s">
        <v>3</v>
      </c>
      <c r="D2" s="17"/>
      <c r="E2" s="17"/>
      <c r="F2" s="17" t="s">
        <v>4</v>
      </c>
      <c r="G2" s="17"/>
      <c r="H2" s="17"/>
      <c r="I2" s="17" t="s">
        <v>5</v>
      </c>
      <c r="J2" s="17"/>
      <c r="K2" s="17"/>
      <c r="L2" s="17" t="s">
        <v>8</v>
      </c>
      <c r="M2" s="17"/>
      <c r="N2" s="17"/>
      <c r="O2" s="17" t="s">
        <v>9</v>
      </c>
      <c r="P2" s="17"/>
      <c r="Q2" s="17"/>
      <c r="R2" s="17" t="s">
        <v>12</v>
      </c>
      <c r="S2" s="17"/>
      <c r="T2" s="17"/>
    </row>
    <row r="3" spans="2:24" x14ac:dyDescent="0.2">
      <c r="B3" t="s">
        <v>14</v>
      </c>
      <c r="C3" s="17">
        <v>100</v>
      </c>
      <c r="D3" s="17"/>
      <c r="E3" s="17"/>
      <c r="F3" s="17">
        <v>150</v>
      </c>
      <c r="G3" s="17"/>
      <c r="H3" s="17"/>
      <c r="I3" s="17">
        <v>200</v>
      </c>
      <c r="J3" s="17"/>
      <c r="K3" s="17"/>
      <c r="L3" s="17">
        <v>250</v>
      </c>
      <c r="M3" s="17"/>
      <c r="N3" s="17"/>
      <c r="O3" s="17">
        <v>300</v>
      </c>
      <c r="P3" s="17"/>
      <c r="Q3" s="17"/>
      <c r="R3" s="17">
        <v>350</v>
      </c>
      <c r="S3" s="17"/>
      <c r="T3" s="17"/>
    </row>
    <row r="4" spans="2:24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  <c r="R4" s="1" t="s">
        <v>0</v>
      </c>
      <c r="S4" s="1" t="s">
        <v>1</v>
      </c>
      <c r="T4" s="1" t="s">
        <v>2</v>
      </c>
      <c r="W4" s="8"/>
      <c r="X4" s="9"/>
    </row>
    <row r="5" spans="2:24" x14ac:dyDescent="0.2">
      <c r="B5" s="14" t="s">
        <v>6</v>
      </c>
      <c r="C5" s="11">
        <v>60.9</v>
      </c>
      <c r="D5" s="11">
        <v>61.1</v>
      </c>
      <c r="E5" s="11">
        <v>59.8</v>
      </c>
      <c r="F5" s="11">
        <v>61.8</v>
      </c>
      <c r="G5" s="11">
        <v>60.4</v>
      </c>
      <c r="H5" s="11">
        <v>60.9</v>
      </c>
      <c r="I5" s="11">
        <v>62.7</v>
      </c>
      <c r="J5" s="11">
        <v>62.5</v>
      </c>
      <c r="K5" s="11">
        <v>59.9</v>
      </c>
      <c r="L5" s="11">
        <v>60.3</v>
      </c>
      <c r="M5" s="11">
        <v>62.2</v>
      </c>
      <c r="N5" s="11">
        <v>63.1</v>
      </c>
      <c r="O5" s="11">
        <v>63.6</v>
      </c>
      <c r="P5" s="11">
        <v>64.099999999999994</v>
      </c>
      <c r="Q5" s="11">
        <v>64.3</v>
      </c>
      <c r="R5" s="11">
        <v>64</v>
      </c>
      <c r="S5" s="11">
        <v>62.9</v>
      </c>
      <c r="T5" s="11">
        <v>63.7</v>
      </c>
      <c r="U5" s="2"/>
    </row>
    <row r="6" spans="2:24" x14ac:dyDescent="0.2">
      <c r="B6" s="15"/>
      <c r="C6" s="11">
        <v>61.4</v>
      </c>
      <c r="D6" s="11">
        <v>61.3</v>
      </c>
      <c r="E6" s="11">
        <v>59.9</v>
      </c>
      <c r="F6" s="11">
        <v>62.3</v>
      </c>
      <c r="G6" s="11">
        <v>60.7</v>
      </c>
      <c r="H6" s="11">
        <v>61.3</v>
      </c>
      <c r="I6" s="11">
        <v>61.9</v>
      </c>
      <c r="J6" s="11">
        <v>61.8</v>
      </c>
      <c r="K6" s="11">
        <v>60.1</v>
      </c>
      <c r="L6" s="11">
        <v>62.1</v>
      </c>
      <c r="M6" s="11">
        <v>62.2</v>
      </c>
      <c r="N6" s="11">
        <v>63.4</v>
      </c>
      <c r="O6" s="11">
        <v>63.5</v>
      </c>
      <c r="P6" s="11">
        <v>64.5</v>
      </c>
      <c r="Q6" s="11">
        <v>64</v>
      </c>
      <c r="R6" s="11">
        <v>64.099999999999994</v>
      </c>
      <c r="S6" s="11">
        <v>64.2</v>
      </c>
      <c r="T6" s="11">
        <v>63.1</v>
      </c>
      <c r="U6" s="2"/>
      <c r="V6" s="2"/>
      <c r="X6" s="10"/>
    </row>
    <row r="7" spans="2:24" x14ac:dyDescent="0.2">
      <c r="B7" s="16"/>
      <c r="C7" s="12">
        <v>61.6</v>
      </c>
      <c r="D7" s="12">
        <v>62.1</v>
      </c>
      <c r="E7" s="12">
        <v>60.5</v>
      </c>
      <c r="F7" s="12">
        <v>62.2</v>
      </c>
      <c r="G7" s="12">
        <v>61</v>
      </c>
      <c r="H7" s="12">
        <v>61.7</v>
      </c>
      <c r="I7" s="12">
        <v>61.6</v>
      </c>
      <c r="J7" s="12">
        <v>62.2</v>
      </c>
      <c r="K7" s="12">
        <v>60.3</v>
      </c>
      <c r="L7" s="12">
        <v>62</v>
      </c>
      <c r="M7" s="12">
        <v>62.3</v>
      </c>
      <c r="N7" s="12">
        <v>63.8</v>
      </c>
      <c r="O7" s="12">
        <v>64.099999999999994</v>
      </c>
      <c r="P7" s="12">
        <v>64.7</v>
      </c>
      <c r="Q7" s="12">
        <v>64.099999999999994</v>
      </c>
      <c r="R7" s="12">
        <v>64.400000000000006</v>
      </c>
      <c r="S7" s="12">
        <v>64.099999999999994</v>
      </c>
      <c r="T7" s="12">
        <v>63.2</v>
      </c>
      <c r="U7" s="2"/>
      <c r="V7" s="2"/>
      <c r="W7" s="2"/>
      <c r="X7" s="10"/>
    </row>
    <row r="8" spans="2:24" x14ac:dyDescent="0.2">
      <c r="B8" s="14" t="s">
        <v>7</v>
      </c>
      <c r="C8" s="13">
        <v>41.9</v>
      </c>
      <c r="D8" s="13">
        <v>31</v>
      </c>
      <c r="E8" s="13">
        <v>36</v>
      </c>
      <c r="F8" s="13">
        <v>23.6</v>
      </c>
      <c r="G8" s="13">
        <v>26.5</v>
      </c>
      <c r="H8" s="13">
        <v>28</v>
      </c>
      <c r="I8" s="13">
        <v>16.7</v>
      </c>
      <c r="J8" s="13">
        <v>13.8</v>
      </c>
      <c r="K8" s="13">
        <v>15.6</v>
      </c>
      <c r="L8" s="13">
        <v>16.5</v>
      </c>
      <c r="M8" s="13">
        <v>14.6</v>
      </c>
      <c r="N8" s="13">
        <v>10.5</v>
      </c>
      <c r="O8" s="13">
        <v>18.3</v>
      </c>
      <c r="P8" s="13">
        <v>12.2</v>
      </c>
      <c r="Q8" s="13">
        <v>14.6</v>
      </c>
      <c r="R8" s="13">
        <v>11.8</v>
      </c>
      <c r="S8" s="13">
        <v>12.1</v>
      </c>
      <c r="T8" s="13">
        <v>11.8</v>
      </c>
      <c r="U8" s="2"/>
      <c r="V8" s="2"/>
      <c r="W8" s="2"/>
      <c r="X8" s="9"/>
    </row>
    <row r="9" spans="2:24" x14ac:dyDescent="0.2">
      <c r="B9" s="15"/>
      <c r="C9" s="11">
        <v>41.2</v>
      </c>
      <c r="D9" s="11">
        <v>31.3</v>
      </c>
      <c r="E9" s="11">
        <v>36.700000000000003</v>
      </c>
      <c r="F9" s="11">
        <v>23.6</v>
      </c>
      <c r="G9" s="11">
        <v>25.8</v>
      </c>
      <c r="H9" s="11">
        <v>28.2</v>
      </c>
      <c r="I9" s="11">
        <v>16.600000000000001</v>
      </c>
      <c r="J9" s="11">
        <v>13.8</v>
      </c>
      <c r="K9" s="11">
        <v>17.3</v>
      </c>
      <c r="L9" s="11">
        <v>15.6</v>
      </c>
      <c r="M9" s="11">
        <v>14.8</v>
      </c>
      <c r="N9" s="11">
        <v>10.3</v>
      </c>
      <c r="O9" s="11">
        <v>16.3</v>
      </c>
      <c r="P9" s="11">
        <v>12.1</v>
      </c>
      <c r="Q9" s="11">
        <v>14.5</v>
      </c>
      <c r="R9" s="11">
        <v>11.8</v>
      </c>
      <c r="S9" s="11">
        <v>12</v>
      </c>
      <c r="T9" s="11">
        <v>12</v>
      </c>
      <c r="U9" s="2"/>
      <c r="V9" s="2"/>
      <c r="W9" s="2"/>
    </row>
    <row r="10" spans="2:24" x14ac:dyDescent="0.2">
      <c r="B10" s="16"/>
      <c r="C10" s="11">
        <v>41.3</v>
      </c>
      <c r="D10" s="11">
        <v>31.3</v>
      </c>
      <c r="E10" s="11">
        <v>35.700000000000003</v>
      </c>
      <c r="F10" s="11">
        <v>23.7</v>
      </c>
      <c r="G10" s="11">
        <v>26</v>
      </c>
      <c r="H10" s="11">
        <v>27.8</v>
      </c>
      <c r="I10" s="11">
        <v>16.399999999999999</v>
      </c>
      <c r="J10" s="11">
        <v>13.9</v>
      </c>
      <c r="K10" s="11">
        <v>15.5</v>
      </c>
      <c r="L10" s="11">
        <v>15.5</v>
      </c>
      <c r="M10" s="11">
        <v>14.9</v>
      </c>
      <c r="N10" s="11">
        <v>10.3</v>
      </c>
      <c r="O10" s="11">
        <v>16.600000000000001</v>
      </c>
      <c r="P10" s="11">
        <v>12.1</v>
      </c>
      <c r="Q10" s="11">
        <v>14.6</v>
      </c>
      <c r="R10" s="11">
        <v>12</v>
      </c>
      <c r="S10" s="11">
        <v>12.6</v>
      </c>
      <c r="T10" s="11">
        <v>12.2</v>
      </c>
      <c r="U10" s="2"/>
      <c r="V10" s="2"/>
      <c r="W10" s="2"/>
      <c r="X10" s="9"/>
    </row>
    <row r="11" spans="2:24" x14ac:dyDescent="0.2">
      <c r="B11" s="3" t="s">
        <v>10</v>
      </c>
      <c r="C11" s="7">
        <f>AVERAGE(C5:C7)</f>
        <v>61.300000000000004</v>
      </c>
      <c r="D11" s="7">
        <f>AVERAGE(D5:D7)</f>
        <v>61.5</v>
      </c>
      <c r="E11" s="7">
        <f>AVERAGE(E5:E7)</f>
        <v>60.066666666666663</v>
      </c>
      <c r="F11" s="7">
        <f>AVERAGE(F5:F7)</f>
        <v>62.1</v>
      </c>
      <c r="G11" s="7">
        <f>AVERAGE(G5:G7)</f>
        <v>60.699999999999996</v>
      </c>
      <c r="H11" s="7">
        <f>AVERAGE(H5:H7)</f>
        <v>61.29999999999999</v>
      </c>
      <c r="I11" s="7">
        <f>AVERAGE(I5:I7)</f>
        <v>62.066666666666663</v>
      </c>
      <c r="J11" s="7">
        <f>AVERAGE(J5:J7)</f>
        <v>62.166666666666664</v>
      </c>
      <c r="K11" s="7">
        <f>AVERAGE(K5:K7)</f>
        <v>60.1</v>
      </c>
      <c r="L11" s="7">
        <f>AVERAGE(L5:L7)</f>
        <v>61.466666666666669</v>
      </c>
      <c r="M11" s="7">
        <f>AVERAGE(M5:M7)</f>
        <v>62.233333333333327</v>
      </c>
      <c r="N11" s="7">
        <f>AVERAGE(N5:N7)</f>
        <v>63.433333333333337</v>
      </c>
      <c r="O11" s="7">
        <f>AVERAGE(O5:O7)</f>
        <v>63.733333333333327</v>
      </c>
      <c r="P11" s="7">
        <f>AVERAGE(P5:P7)</f>
        <v>64.433333333333337</v>
      </c>
      <c r="Q11" s="7">
        <f>AVERAGE(Q5:Q7)</f>
        <v>64.13333333333334</v>
      </c>
      <c r="R11" s="7">
        <f>AVERAGE(R5:R7)</f>
        <v>64.166666666666671</v>
      </c>
      <c r="S11" s="7">
        <f>AVERAGE(S5:S7)</f>
        <v>63.733333333333327</v>
      </c>
      <c r="T11" s="7">
        <f>AVERAGE(T5:T7)</f>
        <v>63.333333333333336</v>
      </c>
    </row>
    <row r="12" spans="2:24" x14ac:dyDescent="0.2">
      <c r="B12" s="4" t="s">
        <v>11</v>
      </c>
      <c r="C12" s="6">
        <f>AVERAGE(C8:C10)</f>
        <v>41.466666666666661</v>
      </c>
      <c r="D12" s="6">
        <f>AVERAGE(D8:D10)</f>
        <v>31.2</v>
      </c>
      <c r="E12" s="6">
        <f t="shared" ref="E12:T12" si="0">AVERAGE(E8:E10)</f>
        <v>36.133333333333333</v>
      </c>
      <c r="F12" s="6">
        <f t="shared" si="0"/>
        <v>23.633333333333336</v>
      </c>
      <c r="G12" s="6">
        <f t="shared" si="0"/>
        <v>26.099999999999998</v>
      </c>
      <c r="H12" s="6">
        <f t="shared" si="0"/>
        <v>28</v>
      </c>
      <c r="I12" s="6">
        <f t="shared" si="0"/>
        <v>16.566666666666666</v>
      </c>
      <c r="J12" s="6">
        <f t="shared" si="0"/>
        <v>13.833333333333334</v>
      </c>
      <c r="K12" s="6">
        <f t="shared" si="0"/>
        <v>16.133333333333333</v>
      </c>
      <c r="L12" s="1">
        <f t="shared" si="0"/>
        <v>15.866666666666667</v>
      </c>
      <c r="M12" s="1">
        <f t="shared" si="0"/>
        <v>14.766666666666666</v>
      </c>
      <c r="N12" s="1">
        <f t="shared" si="0"/>
        <v>10.366666666666667</v>
      </c>
      <c r="O12" s="1">
        <f t="shared" si="0"/>
        <v>17.066666666666666</v>
      </c>
      <c r="P12" s="1">
        <f t="shared" si="0"/>
        <v>12.133333333333333</v>
      </c>
      <c r="Q12" s="1">
        <f t="shared" si="0"/>
        <v>14.566666666666668</v>
      </c>
      <c r="R12" s="1">
        <f t="shared" si="0"/>
        <v>11.866666666666667</v>
      </c>
      <c r="S12" s="1">
        <f t="shared" si="0"/>
        <v>12.233333333333334</v>
      </c>
      <c r="T12" s="1">
        <f t="shared" si="0"/>
        <v>12</v>
      </c>
      <c r="W12" s="2"/>
    </row>
    <row r="14" spans="2:24" x14ac:dyDescent="0.2">
      <c r="D14" t="s">
        <v>17</v>
      </c>
      <c r="E14" t="s">
        <v>16</v>
      </c>
    </row>
    <row r="15" spans="2:24" x14ac:dyDescent="0.2">
      <c r="B15" t="s">
        <v>15</v>
      </c>
      <c r="C15">
        <f>C3</f>
        <v>100</v>
      </c>
      <c r="D15" s="2">
        <f>AVERAGE(C12:E12)</f>
        <v>36.266666666666659</v>
      </c>
      <c r="E15">
        <f>STDEV(C12:E12)</f>
        <v>5.1346318703919414</v>
      </c>
    </row>
    <row r="16" spans="2:24" x14ac:dyDescent="0.2">
      <c r="C16">
        <f>F3</f>
        <v>150</v>
      </c>
      <c r="D16" s="2">
        <f>AVERAGE(F12:H12)</f>
        <v>25.911111111111111</v>
      </c>
      <c r="E16">
        <f>STDEV(F12:H12)</f>
        <v>2.1894528320344553</v>
      </c>
    </row>
    <row r="17" spans="3:6" x14ac:dyDescent="0.2">
      <c r="C17">
        <f>I3</f>
        <v>200</v>
      </c>
      <c r="D17" s="2">
        <f>AVERAGE(I12:K12)</f>
        <v>15.511111111111111</v>
      </c>
      <c r="E17">
        <f>STDEV(I12:K12)</f>
        <v>1.4690636977844584</v>
      </c>
    </row>
    <row r="18" spans="3:6" x14ac:dyDescent="0.2">
      <c r="C18">
        <f>L3</f>
        <v>250</v>
      </c>
      <c r="D18">
        <f>AVERAGE(L12:N12)</f>
        <v>13.666666666666666</v>
      </c>
      <c r="E18">
        <f>STDEV(L12:N12)</f>
        <v>2.9103264421710446</v>
      </c>
    </row>
    <row r="19" spans="3:6" x14ac:dyDescent="0.2">
      <c r="C19">
        <f>O3</f>
        <v>300</v>
      </c>
      <c r="D19">
        <f>AVERAGE(O12:Q12)</f>
        <v>14.588888888888889</v>
      </c>
      <c r="E19">
        <f>STDEV(O12:Q12)</f>
        <v>2.4667417405993026</v>
      </c>
    </row>
    <row r="20" spans="3:6" x14ac:dyDescent="0.2">
      <c r="C20">
        <f>R3</f>
        <v>350</v>
      </c>
      <c r="D20">
        <f>AVERAGE(R12:T12)</f>
        <v>12.033333333333333</v>
      </c>
      <c r="E20">
        <f>STDEV(R12:T12)</f>
        <v>0.18559214542766769</v>
      </c>
    </row>
    <row r="22" spans="3:6" x14ac:dyDescent="0.2">
      <c r="F22" s="2"/>
    </row>
    <row r="23" spans="3:6" x14ac:dyDescent="0.2">
      <c r="F23" s="2"/>
    </row>
    <row r="24" spans="3:6" x14ac:dyDescent="0.2">
      <c r="F24" s="2"/>
    </row>
    <row r="33" spans="20:20" x14ac:dyDescent="0.2">
      <c r="T33" s="2"/>
    </row>
    <row r="34" spans="20:20" x14ac:dyDescent="0.2">
      <c r="T34" s="2"/>
    </row>
    <row r="35" spans="20:20" x14ac:dyDescent="0.2">
      <c r="T35" s="2"/>
    </row>
    <row r="60" spans="6:20" x14ac:dyDescent="0.2">
      <c r="F60" s="2"/>
      <c r="G60" s="2"/>
      <c r="I60" s="2"/>
      <c r="J60" s="2"/>
      <c r="L60" s="2"/>
      <c r="M60" s="2"/>
      <c r="O60" s="2"/>
      <c r="P60" s="2"/>
      <c r="R60" s="2"/>
      <c r="S60" s="2"/>
    </row>
    <row r="61" spans="6:20" x14ac:dyDescent="0.2">
      <c r="F61" s="2"/>
      <c r="G61" s="2"/>
      <c r="I61" s="2"/>
      <c r="J61" s="2"/>
      <c r="L61" s="2"/>
      <c r="M61" s="2"/>
      <c r="O61" s="2"/>
      <c r="P61" s="2"/>
      <c r="R61" s="2"/>
      <c r="S61" s="2"/>
    </row>
    <row r="62" spans="6:20" x14ac:dyDescent="0.2">
      <c r="F62" s="2"/>
      <c r="G62" s="2"/>
      <c r="I62" s="2"/>
      <c r="J62" s="2"/>
      <c r="L62" s="2"/>
      <c r="M62" s="2"/>
      <c r="O62" s="2"/>
      <c r="P62" s="2"/>
      <c r="R62" s="2"/>
      <c r="S62" s="2"/>
    </row>
    <row r="64" spans="6:20" x14ac:dyDescent="0.2">
      <c r="T64" s="2"/>
    </row>
    <row r="65" spans="20:20" x14ac:dyDescent="0.2">
      <c r="T65" s="2"/>
    </row>
    <row r="66" spans="20:20" x14ac:dyDescent="0.2">
      <c r="T66" s="2"/>
    </row>
    <row r="67" spans="20:20" x14ac:dyDescent="0.2">
      <c r="T67" s="2"/>
    </row>
    <row r="68" spans="20:20" x14ac:dyDescent="0.2">
      <c r="T68" s="2"/>
    </row>
    <row r="69" spans="20:20" x14ac:dyDescent="0.2">
      <c r="T69" s="2"/>
    </row>
    <row r="70" spans="20:20" x14ac:dyDescent="0.2">
      <c r="T70" s="2"/>
    </row>
  </sheetData>
  <mergeCells count="14">
    <mergeCell ref="B5:B7"/>
    <mergeCell ref="B8:B10"/>
    <mergeCell ref="R2:T2"/>
    <mergeCell ref="C3:E3"/>
    <mergeCell ref="F3:H3"/>
    <mergeCell ref="I3:K3"/>
    <mergeCell ref="L3:N3"/>
    <mergeCell ref="O3:Q3"/>
    <mergeCell ref="R3:T3"/>
    <mergeCell ref="C2:E2"/>
    <mergeCell ref="F2:H2"/>
    <mergeCell ref="I2:K2"/>
    <mergeCell ref="L2:N2"/>
    <mergeCell ref="O2:Q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2026-02-04T22:10:54Z</dcterms:modified>
</cp:coreProperties>
</file>